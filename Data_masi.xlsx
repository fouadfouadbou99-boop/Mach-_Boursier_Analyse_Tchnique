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ukhnif\Desktop\Dossier Applications Streamli\Dossier Marché_Boursier\"/>
    </mc:Choice>
  </mc:AlternateContent>
  <xr:revisionPtr revIDLastSave="0" documentId="13_ncr:1_{95411590-AB07-4462-9354-DF786388AF4F}" xr6:coauthVersionLast="47" xr6:coauthVersionMax="47" xr10:uidLastSave="{00000000-0000-0000-0000-000000000000}"/>
  <bookViews>
    <workbookView xWindow="-80" yWindow="-80" windowWidth="19360" windowHeight="11440" activeTab="1" xr2:uid="{DC30DB54-2B46-4D3D-8AB8-9CF7609B2F1A}"/>
  </bookViews>
  <sheets>
    <sheet name="Data_masi" sheetId="1" r:id="rId1"/>
    <sheet name="data calculs" sheetId="3" r:id="rId2"/>
    <sheet name="Feuil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7" i="3" l="1"/>
  <c r="U13" i="3"/>
  <c r="U36" i="3"/>
  <c r="U37" i="3"/>
  <c r="U103" i="3"/>
  <c r="U104" i="3"/>
  <c r="U128" i="3"/>
  <c r="U138" i="3"/>
  <c r="U141" i="3"/>
  <c r="U241" i="3"/>
  <c r="U246" i="3"/>
  <c r="U320" i="3"/>
  <c r="U337" i="3"/>
  <c r="U341" i="3"/>
  <c r="U342" i="3"/>
  <c r="U463" i="3"/>
  <c r="U521" i="3"/>
  <c r="U534" i="3"/>
  <c r="U545" i="3"/>
  <c r="U546" i="3"/>
  <c r="U581" i="3"/>
  <c r="U593" i="3"/>
  <c r="U597" i="3"/>
  <c r="U618" i="3"/>
  <c r="U620" i="3"/>
  <c r="U665" i="3"/>
  <c r="U670" i="3"/>
  <c r="U677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H44" i="3" s="1"/>
  <c r="G26" i="3"/>
  <c r="G27" i="3"/>
  <c r="G28" i="3"/>
  <c r="G29" i="3"/>
  <c r="G30" i="3"/>
  <c r="G31" i="3"/>
  <c r="G32" i="3"/>
  <c r="G33" i="3"/>
  <c r="G34" i="3"/>
  <c r="G35" i="3"/>
  <c r="G36" i="3"/>
  <c r="G37" i="3"/>
  <c r="H56" i="3" s="1"/>
  <c r="G38" i="3"/>
  <c r="G39" i="3"/>
  <c r="G40" i="3"/>
  <c r="G41" i="3"/>
  <c r="G42" i="3"/>
  <c r="G43" i="3"/>
  <c r="G44" i="3"/>
  <c r="G45" i="3"/>
  <c r="G46" i="3"/>
  <c r="G47" i="3"/>
  <c r="G48" i="3"/>
  <c r="G49" i="3"/>
  <c r="H62" i="3" s="1"/>
  <c r="G50" i="3"/>
  <c r="G51" i="3"/>
  <c r="G52" i="3"/>
  <c r="G53" i="3"/>
  <c r="G54" i="3"/>
  <c r="G55" i="3"/>
  <c r="G56" i="3"/>
  <c r="G57" i="3"/>
  <c r="G58" i="3"/>
  <c r="G59" i="3"/>
  <c r="G60" i="3"/>
  <c r="G61" i="3"/>
  <c r="H78" i="3" s="1"/>
  <c r="G62" i="3"/>
  <c r="G63" i="3"/>
  <c r="G64" i="3"/>
  <c r="G65" i="3"/>
  <c r="G66" i="3"/>
  <c r="G67" i="3"/>
  <c r="G68" i="3"/>
  <c r="G69" i="3"/>
  <c r="G70" i="3"/>
  <c r="G71" i="3"/>
  <c r="G72" i="3"/>
  <c r="G73" i="3"/>
  <c r="H83" i="3" s="1"/>
  <c r="G74" i="3"/>
  <c r="G75" i="3"/>
  <c r="G76" i="3"/>
  <c r="G77" i="3"/>
  <c r="G78" i="3"/>
  <c r="G79" i="3"/>
  <c r="G80" i="3"/>
  <c r="G81" i="3"/>
  <c r="G82" i="3"/>
  <c r="G83" i="3"/>
  <c r="G84" i="3"/>
  <c r="G85" i="3"/>
  <c r="H104" i="3" s="1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H125" i="3" s="1"/>
  <c r="G110" i="3"/>
  <c r="G111" i="3"/>
  <c r="G112" i="3"/>
  <c r="G113" i="3"/>
  <c r="G114" i="3"/>
  <c r="G115" i="3"/>
  <c r="G116" i="3"/>
  <c r="G117" i="3"/>
  <c r="G118" i="3"/>
  <c r="G119" i="3"/>
  <c r="G120" i="3"/>
  <c r="G121" i="3"/>
  <c r="H140" i="3" s="1"/>
  <c r="G122" i="3"/>
  <c r="G123" i="3"/>
  <c r="G124" i="3"/>
  <c r="G125" i="3"/>
  <c r="G126" i="3"/>
  <c r="G127" i="3"/>
  <c r="G128" i="3"/>
  <c r="G129" i="3"/>
  <c r="G130" i="3"/>
  <c r="G131" i="3"/>
  <c r="G132" i="3"/>
  <c r="G133" i="3"/>
  <c r="H141" i="3" s="1"/>
  <c r="G134" i="3"/>
  <c r="G135" i="3"/>
  <c r="G136" i="3"/>
  <c r="G137" i="3"/>
  <c r="G138" i="3"/>
  <c r="G139" i="3"/>
  <c r="G140" i="3"/>
  <c r="G141" i="3"/>
  <c r="G142" i="3"/>
  <c r="G143" i="3"/>
  <c r="G144" i="3"/>
  <c r="G145" i="3"/>
  <c r="H162" i="3" s="1"/>
  <c r="G146" i="3"/>
  <c r="G147" i="3"/>
  <c r="G148" i="3"/>
  <c r="G149" i="3"/>
  <c r="G150" i="3"/>
  <c r="G151" i="3"/>
  <c r="G152" i="3"/>
  <c r="G153" i="3"/>
  <c r="G154" i="3"/>
  <c r="G155" i="3"/>
  <c r="G156" i="3"/>
  <c r="G157" i="3"/>
  <c r="H175" i="3" s="1"/>
  <c r="G158" i="3"/>
  <c r="H177" i="3" s="1"/>
  <c r="G159" i="3"/>
  <c r="H178" i="3" s="1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H200" i="3" s="1"/>
  <c r="G182" i="3"/>
  <c r="G183" i="3"/>
  <c r="G184" i="3"/>
  <c r="G185" i="3"/>
  <c r="G186" i="3"/>
  <c r="G187" i="3"/>
  <c r="G188" i="3"/>
  <c r="G189" i="3"/>
  <c r="G190" i="3"/>
  <c r="G191" i="3"/>
  <c r="G192" i="3"/>
  <c r="G193" i="3"/>
  <c r="H212" i="3" s="1"/>
  <c r="G194" i="3"/>
  <c r="G195" i="3"/>
  <c r="G196" i="3"/>
  <c r="G197" i="3"/>
  <c r="G198" i="3"/>
  <c r="G199" i="3"/>
  <c r="G200" i="3"/>
  <c r="G201" i="3"/>
  <c r="G202" i="3"/>
  <c r="G203" i="3"/>
  <c r="G204" i="3"/>
  <c r="G205" i="3"/>
  <c r="H214" i="3" s="1"/>
  <c r="G206" i="3"/>
  <c r="G207" i="3"/>
  <c r="G208" i="3"/>
  <c r="G209" i="3"/>
  <c r="G210" i="3"/>
  <c r="G211" i="3"/>
  <c r="G212" i="3"/>
  <c r="G213" i="3"/>
  <c r="G214" i="3"/>
  <c r="G215" i="3"/>
  <c r="G216" i="3"/>
  <c r="G217" i="3"/>
  <c r="H231" i="3" s="1"/>
  <c r="G218" i="3"/>
  <c r="G219" i="3"/>
  <c r="G220" i="3"/>
  <c r="G221" i="3"/>
  <c r="G222" i="3"/>
  <c r="G223" i="3"/>
  <c r="G224" i="3"/>
  <c r="G225" i="3"/>
  <c r="G226" i="3"/>
  <c r="G227" i="3"/>
  <c r="G228" i="3"/>
  <c r="G229" i="3"/>
  <c r="H246" i="3" s="1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H262" i="3" s="1"/>
  <c r="G244" i="3"/>
  <c r="G245" i="3"/>
  <c r="G246" i="3"/>
  <c r="G247" i="3"/>
  <c r="G248" i="3"/>
  <c r="G249" i="3"/>
  <c r="G250" i="3"/>
  <c r="G251" i="3"/>
  <c r="G252" i="3"/>
  <c r="G253" i="3"/>
  <c r="H266" i="3" s="1"/>
  <c r="G254" i="3"/>
  <c r="G255" i="3"/>
  <c r="G256" i="3"/>
  <c r="G257" i="3"/>
  <c r="G258" i="3"/>
  <c r="G259" i="3"/>
  <c r="G260" i="3"/>
  <c r="G261" i="3"/>
  <c r="G262" i="3"/>
  <c r="G263" i="3"/>
  <c r="G264" i="3"/>
  <c r="G265" i="3"/>
  <c r="H279" i="3" s="1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H298" i="3" s="1"/>
  <c r="G290" i="3"/>
  <c r="G291" i="3"/>
  <c r="G292" i="3"/>
  <c r="G293" i="3"/>
  <c r="G294" i="3"/>
  <c r="G295" i="3"/>
  <c r="G296" i="3"/>
  <c r="G297" i="3"/>
  <c r="G298" i="3"/>
  <c r="G299" i="3"/>
  <c r="G300" i="3"/>
  <c r="G301" i="3"/>
  <c r="H320" i="3" s="1"/>
  <c r="G302" i="3"/>
  <c r="G303" i="3"/>
  <c r="G304" i="3"/>
  <c r="G305" i="3"/>
  <c r="G306" i="3"/>
  <c r="G307" i="3"/>
  <c r="G308" i="3"/>
  <c r="G309" i="3"/>
  <c r="G310" i="3"/>
  <c r="G311" i="3"/>
  <c r="G312" i="3"/>
  <c r="G313" i="3"/>
  <c r="H332" i="3" s="1"/>
  <c r="G314" i="3"/>
  <c r="G315" i="3"/>
  <c r="H334" i="3" s="1"/>
  <c r="G316" i="3"/>
  <c r="G317" i="3"/>
  <c r="G318" i="3"/>
  <c r="G319" i="3"/>
  <c r="G320" i="3"/>
  <c r="G321" i="3"/>
  <c r="G322" i="3"/>
  <c r="G323" i="3"/>
  <c r="G324" i="3"/>
  <c r="G325" i="3"/>
  <c r="H344" i="3" s="1"/>
  <c r="G326" i="3"/>
  <c r="G327" i="3"/>
  <c r="G328" i="3"/>
  <c r="G329" i="3"/>
  <c r="G330" i="3"/>
  <c r="G331" i="3"/>
  <c r="G332" i="3"/>
  <c r="G333" i="3"/>
  <c r="G334" i="3"/>
  <c r="G335" i="3"/>
  <c r="G336" i="3"/>
  <c r="G337" i="3"/>
  <c r="H350" i="3" s="1"/>
  <c r="G338" i="3"/>
  <c r="G339" i="3"/>
  <c r="G340" i="3"/>
  <c r="G341" i="3"/>
  <c r="G342" i="3"/>
  <c r="G343" i="3"/>
  <c r="G344" i="3"/>
  <c r="G345" i="3"/>
  <c r="G346" i="3"/>
  <c r="G347" i="3"/>
  <c r="G348" i="3"/>
  <c r="G349" i="3"/>
  <c r="H367" i="3" s="1"/>
  <c r="G350" i="3"/>
  <c r="G351" i="3"/>
  <c r="G352" i="3"/>
  <c r="G353" i="3"/>
  <c r="G354" i="3"/>
  <c r="G355" i="3"/>
  <c r="G356" i="3"/>
  <c r="G357" i="3"/>
  <c r="G358" i="3"/>
  <c r="G359" i="3"/>
  <c r="G360" i="3"/>
  <c r="G361" i="3"/>
  <c r="H371" i="3" s="1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H403" i="3" s="1"/>
  <c r="G386" i="3"/>
  <c r="G387" i="3"/>
  <c r="G388" i="3"/>
  <c r="G389" i="3"/>
  <c r="G390" i="3"/>
  <c r="G391" i="3"/>
  <c r="G392" i="3"/>
  <c r="G393" i="3"/>
  <c r="G394" i="3"/>
  <c r="G395" i="3"/>
  <c r="G396" i="3"/>
  <c r="G397" i="3"/>
  <c r="H405" i="3" s="1"/>
  <c r="G398" i="3"/>
  <c r="G399" i="3"/>
  <c r="G400" i="3"/>
  <c r="G401" i="3"/>
  <c r="G402" i="3"/>
  <c r="G403" i="3"/>
  <c r="G404" i="3"/>
  <c r="G405" i="3"/>
  <c r="G406" i="3"/>
  <c r="G407" i="3"/>
  <c r="H419" i="3" s="1"/>
  <c r="G408" i="3"/>
  <c r="G409" i="3"/>
  <c r="H423" i="3" s="1"/>
  <c r="G410" i="3"/>
  <c r="G411" i="3"/>
  <c r="G412" i="3"/>
  <c r="G413" i="3"/>
  <c r="G414" i="3"/>
  <c r="G415" i="3"/>
  <c r="G416" i="3"/>
  <c r="G417" i="3"/>
  <c r="G418" i="3"/>
  <c r="G419" i="3"/>
  <c r="G420" i="3"/>
  <c r="G421" i="3"/>
  <c r="H439" i="3" s="1"/>
  <c r="G422" i="3"/>
  <c r="G423" i="3"/>
  <c r="G424" i="3"/>
  <c r="G425" i="3"/>
  <c r="G426" i="3"/>
  <c r="G427" i="3"/>
  <c r="G428" i="3"/>
  <c r="G429" i="3"/>
  <c r="G430" i="3"/>
  <c r="G431" i="3"/>
  <c r="G432" i="3"/>
  <c r="G433" i="3"/>
  <c r="H452" i="3" s="1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H471" i="3" s="1"/>
  <c r="G456" i="3"/>
  <c r="G457" i="3"/>
  <c r="H476" i="3" s="1"/>
  <c r="G458" i="3"/>
  <c r="G459" i="3"/>
  <c r="G460" i="3"/>
  <c r="G461" i="3"/>
  <c r="G462" i="3"/>
  <c r="G463" i="3"/>
  <c r="G464" i="3"/>
  <c r="G465" i="3"/>
  <c r="G466" i="3"/>
  <c r="G467" i="3"/>
  <c r="G468" i="3"/>
  <c r="G469" i="3"/>
  <c r="H488" i="3" s="1"/>
  <c r="G470" i="3"/>
  <c r="G471" i="3"/>
  <c r="G472" i="3"/>
  <c r="G473" i="3"/>
  <c r="G474" i="3"/>
  <c r="G475" i="3"/>
  <c r="G476" i="3"/>
  <c r="G477" i="3"/>
  <c r="G478" i="3"/>
  <c r="G479" i="3"/>
  <c r="G480" i="3"/>
  <c r="G481" i="3"/>
  <c r="H493" i="3" s="1"/>
  <c r="G482" i="3"/>
  <c r="G483" i="3"/>
  <c r="G484" i="3"/>
  <c r="G485" i="3"/>
  <c r="G486" i="3"/>
  <c r="G487" i="3"/>
  <c r="G488" i="3"/>
  <c r="G489" i="3"/>
  <c r="G490" i="3"/>
  <c r="G491" i="3"/>
  <c r="G492" i="3"/>
  <c r="G493" i="3"/>
  <c r="H507" i="3" s="1"/>
  <c r="G494" i="3"/>
  <c r="G495" i="3"/>
  <c r="G496" i="3"/>
  <c r="G497" i="3"/>
  <c r="G498" i="3"/>
  <c r="G499" i="3"/>
  <c r="G500" i="3"/>
  <c r="G501" i="3"/>
  <c r="G502" i="3"/>
  <c r="G503" i="3"/>
  <c r="G504" i="3"/>
  <c r="G505" i="3"/>
  <c r="H523" i="3" s="1"/>
  <c r="G506" i="3"/>
  <c r="G507" i="3"/>
  <c r="G508" i="3"/>
  <c r="G509" i="3"/>
  <c r="G510" i="3"/>
  <c r="G511" i="3"/>
  <c r="G512" i="3"/>
  <c r="G513" i="3"/>
  <c r="G514" i="3"/>
  <c r="G515" i="3"/>
  <c r="H525" i="3" s="1"/>
  <c r="G516" i="3"/>
  <c r="G517" i="3"/>
  <c r="H528" i="3" s="1"/>
  <c r="G518" i="3"/>
  <c r="G519" i="3"/>
  <c r="G520" i="3"/>
  <c r="G521" i="3"/>
  <c r="G522" i="3"/>
  <c r="G523" i="3"/>
  <c r="G524" i="3"/>
  <c r="G525" i="3"/>
  <c r="G526" i="3"/>
  <c r="G527" i="3"/>
  <c r="G528" i="3"/>
  <c r="G529" i="3"/>
  <c r="H544" i="3" s="1"/>
  <c r="G530" i="3"/>
  <c r="G531" i="3"/>
  <c r="G532" i="3"/>
  <c r="G533" i="3"/>
  <c r="G534" i="3"/>
  <c r="G535" i="3"/>
  <c r="G536" i="3"/>
  <c r="G537" i="3"/>
  <c r="G538" i="3"/>
  <c r="G539" i="3"/>
  <c r="G540" i="3"/>
  <c r="G541" i="3"/>
  <c r="H560" i="3" s="1"/>
  <c r="G542" i="3"/>
  <c r="G543" i="3"/>
  <c r="G544" i="3"/>
  <c r="G545" i="3"/>
  <c r="G546" i="3"/>
  <c r="G547" i="3"/>
  <c r="G548" i="3"/>
  <c r="G549" i="3"/>
  <c r="G550" i="3"/>
  <c r="G551" i="3"/>
  <c r="G552" i="3"/>
  <c r="G553" i="3"/>
  <c r="H571" i="3" s="1"/>
  <c r="G554" i="3"/>
  <c r="G555" i="3"/>
  <c r="G556" i="3"/>
  <c r="G557" i="3"/>
  <c r="G558" i="3"/>
  <c r="G559" i="3"/>
  <c r="G560" i="3"/>
  <c r="G561" i="3"/>
  <c r="G562" i="3"/>
  <c r="G563" i="3"/>
  <c r="H573" i="3" s="1"/>
  <c r="G564" i="3"/>
  <c r="G565" i="3"/>
  <c r="H576" i="3" s="1"/>
  <c r="G566" i="3"/>
  <c r="G567" i="3"/>
  <c r="G568" i="3"/>
  <c r="G569" i="3"/>
  <c r="G570" i="3"/>
  <c r="G571" i="3"/>
  <c r="G572" i="3"/>
  <c r="G573" i="3"/>
  <c r="G574" i="3"/>
  <c r="G575" i="3"/>
  <c r="G576" i="3"/>
  <c r="G577" i="3"/>
  <c r="H588" i="3" s="1"/>
  <c r="G578" i="3"/>
  <c r="G579" i="3"/>
  <c r="G580" i="3"/>
  <c r="G581" i="3"/>
  <c r="G582" i="3"/>
  <c r="G583" i="3"/>
  <c r="G584" i="3"/>
  <c r="G585" i="3"/>
  <c r="G586" i="3"/>
  <c r="G587" i="3"/>
  <c r="G588" i="3"/>
  <c r="G589" i="3"/>
  <c r="H605" i="3" s="1"/>
  <c r="G590" i="3"/>
  <c r="G591" i="3"/>
  <c r="G592" i="3"/>
  <c r="G593" i="3"/>
  <c r="G594" i="3"/>
  <c r="G595" i="3"/>
  <c r="G596" i="3"/>
  <c r="G597" i="3"/>
  <c r="G598" i="3"/>
  <c r="G599" i="3"/>
  <c r="G600" i="3"/>
  <c r="G601" i="3"/>
  <c r="H619" i="3" s="1"/>
  <c r="G602" i="3"/>
  <c r="G603" i="3"/>
  <c r="G604" i="3"/>
  <c r="G605" i="3"/>
  <c r="G606" i="3"/>
  <c r="G607" i="3"/>
  <c r="G608" i="3"/>
  <c r="G609" i="3"/>
  <c r="G610" i="3"/>
  <c r="G611" i="3"/>
  <c r="H621" i="3" s="1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H656" i="3" s="1"/>
  <c r="G638" i="3"/>
  <c r="G639" i="3"/>
  <c r="G640" i="3"/>
  <c r="G641" i="3"/>
  <c r="G642" i="3"/>
  <c r="G643" i="3"/>
  <c r="G644" i="3"/>
  <c r="G645" i="3"/>
  <c r="G646" i="3"/>
  <c r="G647" i="3"/>
  <c r="G648" i="3"/>
  <c r="G649" i="3"/>
  <c r="H667" i="3" s="1"/>
  <c r="G650" i="3"/>
  <c r="G651" i="3"/>
  <c r="G652" i="3"/>
  <c r="G653" i="3"/>
  <c r="G654" i="3"/>
  <c r="G655" i="3"/>
  <c r="G656" i="3"/>
  <c r="G657" i="3"/>
  <c r="G658" i="3"/>
  <c r="G659" i="3"/>
  <c r="H669" i="3" s="1"/>
  <c r="G660" i="3"/>
  <c r="G661" i="3"/>
  <c r="H672" i="3" s="1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H704" i="3" s="1"/>
  <c r="G686" i="3"/>
  <c r="G687" i="3"/>
  <c r="G688" i="3"/>
  <c r="G689" i="3"/>
  <c r="G690" i="3"/>
  <c r="G691" i="3"/>
  <c r="G692" i="3"/>
  <c r="G693" i="3"/>
  <c r="G694" i="3"/>
  <c r="G695" i="3"/>
  <c r="G696" i="3"/>
  <c r="G697" i="3"/>
  <c r="H715" i="3" s="1"/>
  <c r="G698" i="3"/>
  <c r="G699" i="3"/>
  <c r="G700" i="3"/>
  <c r="G701" i="3"/>
  <c r="G702" i="3"/>
  <c r="G703" i="3"/>
  <c r="G704" i="3"/>
  <c r="G705" i="3"/>
  <c r="G706" i="3"/>
  <c r="G707" i="3"/>
  <c r="H717" i="3" s="1"/>
  <c r="G708" i="3"/>
  <c r="G709" i="3"/>
  <c r="H720" i="3" s="1"/>
  <c r="G710" i="3"/>
  <c r="G711" i="3"/>
  <c r="G712" i="3"/>
  <c r="G713" i="3"/>
  <c r="G714" i="3"/>
  <c r="G715" i="3"/>
  <c r="G716" i="3"/>
  <c r="G717" i="3"/>
  <c r="G718" i="3"/>
  <c r="G719" i="3"/>
  <c r="G720" i="3"/>
  <c r="H736" i="3" s="1"/>
  <c r="G721" i="3"/>
  <c r="H732" i="3" s="1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5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C4" i="3"/>
  <c r="U4" i="3" s="1"/>
  <c r="C5" i="3"/>
  <c r="U5" i="3" s="1"/>
  <c r="C6" i="3"/>
  <c r="U6" i="3" s="1"/>
  <c r="C7" i="3"/>
  <c r="C8" i="3"/>
  <c r="U8" i="3" s="1"/>
  <c r="C9" i="3"/>
  <c r="U9" i="3" s="1"/>
  <c r="C10" i="3"/>
  <c r="U10" i="3" s="1"/>
  <c r="C11" i="3"/>
  <c r="U11" i="3" s="1"/>
  <c r="C12" i="3"/>
  <c r="U12" i="3" s="1"/>
  <c r="C13" i="3"/>
  <c r="C14" i="3"/>
  <c r="U14" i="3" s="1"/>
  <c r="C15" i="3"/>
  <c r="U15" i="3" s="1"/>
  <c r="C16" i="3"/>
  <c r="U16" i="3" s="1"/>
  <c r="C17" i="3"/>
  <c r="U17" i="3" s="1"/>
  <c r="C18" i="3"/>
  <c r="U18" i="3" s="1"/>
  <c r="C19" i="3"/>
  <c r="U19" i="3" s="1"/>
  <c r="C20" i="3"/>
  <c r="U20" i="3" s="1"/>
  <c r="C21" i="3"/>
  <c r="U21" i="3" s="1"/>
  <c r="C22" i="3"/>
  <c r="U22" i="3" s="1"/>
  <c r="C23" i="3"/>
  <c r="U23" i="3" s="1"/>
  <c r="C24" i="3"/>
  <c r="U24" i="3" s="1"/>
  <c r="C25" i="3"/>
  <c r="U25" i="3" s="1"/>
  <c r="C26" i="3"/>
  <c r="U26" i="3" s="1"/>
  <c r="C27" i="3"/>
  <c r="U27" i="3" s="1"/>
  <c r="C28" i="3"/>
  <c r="U28" i="3" s="1"/>
  <c r="C29" i="3"/>
  <c r="U29" i="3" s="1"/>
  <c r="C30" i="3"/>
  <c r="U30" i="3" s="1"/>
  <c r="C31" i="3"/>
  <c r="U31" i="3" s="1"/>
  <c r="C32" i="3"/>
  <c r="U32" i="3" s="1"/>
  <c r="C33" i="3"/>
  <c r="U33" i="3" s="1"/>
  <c r="C34" i="3"/>
  <c r="U34" i="3" s="1"/>
  <c r="C35" i="3"/>
  <c r="U35" i="3" s="1"/>
  <c r="C36" i="3"/>
  <c r="C37" i="3"/>
  <c r="C38" i="3"/>
  <c r="U38" i="3" s="1"/>
  <c r="C39" i="3"/>
  <c r="U39" i="3" s="1"/>
  <c r="C40" i="3"/>
  <c r="U40" i="3" s="1"/>
  <c r="C41" i="3"/>
  <c r="U41" i="3" s="1"/>
  <c r="C42" i="3"/>
  <c r="U42" i="3" s="1"/>
  <c r="C43" i="3"/>
  <c r="U43" i="3" s="1"/>
  <c r="C44" i="3"/>
  <c r="U44" i="3" s="1"/>
  <c r="C45" i="3"/>
  <c r="U45" i="3" s="1"/>
  <c r="C46" i="3"/>
  <c r="U46" i="3" s="1"/>
  <c r="C47" i="3"/>
  <c r="U47" i="3" s="1"/>
  <c r="C48" i="3"/>
  <c r="U48" i="3" s="1"/>
  <c r="C49" i="3"/>
  <c r="U49" i="3" s="1"/>
  <c r="C50" i="3"/>
  <c r="U50" i="3" s="1"/>
  <c r="C51" i="3"/>
  <c r="U51" i="3" s="1"/>
  <c r="C52" i="3"/>
  <c r="U52" i="3" s="1"/>
  <c r="C53" i="3"/>
  <c r="U53" i="3" s="1"/>
  <c r="C54" i="3"/>
  <c r="U54" i="3" s="1"/>
  <c r="C55" i="3"/>
  <c r="U55" i="3" s="1"/>
  <c r="C56" i="3"/>
  <c r="U56" i="3" s="1"/>
  <c r="C57" i="3"/>
  <c r="U57" i="3" s="1"/>
  <c r="C58" i="3"/>
  <c r="U58" i="3" s="1"/>
  <c r="C59" i="3"/>
  <c r="U59" i="3" s="1"/>
  <c r="C60" i="3"/>
  <c r="U60" i="3" s="1"/>
  <c r="C61" i="3"/>
  <c r="U61" i="3" s="1"/>
  <c r="C62" i="3"/>
  <c r="U62" i="3" s="1"/>
  <c r="C63" i="3"/>
  <c r="U63" i="3" s="1"/>
  <c r="C64" i="3"/>
  <c r="U64" i="3" s="1"/>
  <c r="C65" i="3"/>
  <c r="U65" i="3" s="1"/>
  <c r="C66" i="3"/>
  <c r="U66" i="3" s="1"/>
  <c r="C67" i="3"/>
  <c r="U67" i="3" s="1"/>
  <c r="C68" i="3"/>
  <c r="U68" i="3" s="1"/>
  <c r="C69" i="3"/>
  <c r="U69" i="3" s="1"/>
  <c r="C70" i="3"/>
  <c r="U70" i="3" s="1"/>
  <c r="C71" i="3"/>
  <c r="U71" i="3" s="1"/>
  <c r="C72" i="3"/>
  <c r="U72" i="3" s="1"/>
  <c r="C73" i="3"/>
  <c r="U73" i="3" s="1"/>
  <c r="C74" i="3"/>
  <c r="U74" i="3" s="1"/>
  <c r="C75" i="3"/>
  <c r="U75" i="3" s="1"/>
  <c r="C76" i="3"/>
  <c r="U76" i="3" s="1"/>
  <c r="C77" i="3"/>
  <c r="U77" i="3" s="1"/>
  <c r="C78" i="3"/>
  <c r="U78" i="3" s="1"/>
  <c r="C79" i="3"/>
  <c r="U79" i="3" s="1"/>
  <c r="C80" i="3"/>
  <c r="U80" i="3" s="1"/>
  <c r="C81" i="3"/>
  <c r="U81" i="3" s="1"/>
  <c r="C82" i="3"/>
  <c r="U82" i="3" s="1"/>
  <c r="C83" i="3"/>
  <c r="U83" i="3" s="1"/>
  <c r="C84" i="3"/>
  <c r="U84" i="3" s="1"/>
  <c r="C85" i="3"/>
  <c r="U85" i="3" s="1"/>
  <c r="C86" i="3"/>
  <c r="U86" i="3" s="1"/>
  <c r="C87" i="3"/>
  <c r="U87" i="3" s="1"/>
  <c r="C88" i="3"/>
  <c r="U88" i="3" s="1"/>
  <c r="C89" i="3"/>
  <c r="U89" i="3" s="1"/>
  <c r="C90" i="3"/>
  <c r="U90" i="3" s="1"/>
  <c r="C91" i="3"/>
  <c r="U91" i="3" s="1"/>
  <c r="C92" i="3"/>
  <c r="U92" i="3" s="1"/>
  <c r="C93" i="3"/>
  <c r="U93" i="3" s="1"/>
  <c r="C94" i="3"/>
  <c r="U94" i="3" s="1"/>
  <c r="C95" i="3"/>
  <c r="U95" i="3" s="1"/>
  <c r="C96" i="3"/>
  <c r="U96" i="3" s="1"/>
  <c r="C97" i="3"/>
  <c r="U97" i="3" s="1"/>
  <c r="C98" i="3"/>
  <c r="U98" i="3" s="1"/>
  <c r="C99" i="3"/>
  <c r="U99" i="3" s="1"/>
  <c r="C100" i="3"/>
  <c r="U100" i="3" s="1"/>
  <c r="C101" i="3"/>
  <c r="U101" i="3" s="1"/>
  <c r="C102" i="3"/>
  <c r="U102" i="3" s="1"/>
  <c r="C103" i="3"/>
  <c r="C104" i="3"/>
  <c r="C105" i="3"/>
  <c r="U105" i="3" s="1"/>
  <c r="C106" i="3"/>
  <c r="U106" i="3" s="1"/>
  <c r="C107" i="3"/>
  <c r="U107" i="3" s="1"/>
  <c r="C108" i="3"/>
  <c r="U108" i="3" s="1"/>
  <c r="C109" i="3"/>
  <c r="U109" i="3" s="1"/>
  <c r="C110" i="3"/>
  <c r="U110" i="3" s="1"/>
  <c r="C111" i="3"/>
  <c r="U111" i="3" s="1"/>
  <c r="C112" i="3"/>
  <c r="U112" i="3" s="1"/>
  <c r="C113" i="3"/>
  <c r="U113" i="3" s="1"/>
  <c r="C114" i="3"/>
  <c r="U114" i="3" s="1"/>
  <c r="C115" i="3"/>
  <c r="U115" i="3" s="1"/>
  <c r="C116" i="3"/>
  <c r="U116" i="3" s="1"/>
  <c r="C117" i="3"/>
  <c r="U117" i="3" s="1"/>
  <c r="C118" i="3"/>
  <c r="U118" i="3" s="1"/>
  <c r="C119" i="3"/>
  <c r="U119" i="3" s="1"/>
  <c r="C120" i="3"/>
  <c r="U120" i="3" s="1"/>
  <c r="C121" i="3"/>
  <c r="U121" i="3" s="1"/>
  <c r="C122" i="3"/>
  <c r="U122" i="3" s="1"/>
  <c r="C123" i="3"/>
  <c r="U123" i="3" s="1"/>
  <c r="C124" i="3"/>
  <c r="U124" i="3" s="1"/>
  <c r="C125" i="3"/>
  <c r="U125" i="3" s="1"/>
  <c r="C126" i="3"/>
  <c r="U126" i="3" s="1"/>
  <c r="C127" i="3"/>
  <c r="U127" i="3" s="1"/>
  <c r="C128" i="3"/>
  <c r="C129" i="3"/>
  <c r="U129" i="3" s="1"/>
  <c r="C130" i="3"/>
  <c r="U130" i="3" s="1"/>
  <c r="C131" i="3"/>
  <c r="U131" i="3" s="1"/>
  <c r="C132" i="3"/>
  <c r="U132" i="3" s="1"/>
  <c r="C133" i="3"/>
  <c r="U133" i="3" s="1"/>
  <c r="C134" i="3"/>
  <c r="U134" i="3" s="1"/>
  <c r="C135" i="3"/>
  <c r="U135" i="3" s="1"/>
  <c r="C136" i="3"/>
  <c r="U136" i="3" s="1"/>
  <c r="C137" i="3"/>
  <c r="U137" i="3" s="1"/>
  <c r="C138" i="3"/>
  <c r="C139" i="3"/>
  <c r="U139" i="3" s="1"/>
  <c r="C140" i="3"/>
  <c r="U140" i="3" s="1"/>
  <c r="C141" i="3"/>
  <c r="C142" i="3"/>
  <c r="U142" i="3" s="1"/>
  <c r="C143" i="3"/>
  <c r="U143" i="3" s="1"/>
  <c r="C144" i="3"/>
  <c r="U144" i="3" s="1"/>
  <c r="C145" i="3"/>
  <c r="U145" i="3" s="1"/>
  <c r="C146" i="3"/>
  <c r="U146" i="3" s="1"/>
  <c r="C147" i="3"/>
  <c r="U147" i="3" s="1"/>
  <c r="C148" i="3"/>
  <c r="U148" i="3" s="1"/>
  <c r="C149" i="3"/>
  <c r="U149" i="3" s="1"/>
  <c r="C150" i="3"/>
  <c r="U150" i="3" s="1"/>
  <c r="C151" i="3"/>
  <c r="U151" i="3" s="1"/>
  <c r="C152" i="3"/>
  <c r="U152" i="3" s="1"/>
  <c r="C153" i="3"/>
  <c r="U153" i="3" s="1"/>
  <c r="C154" i="3"/>
  <c r="U154" i="3" s="1"/>
  <c r="C155" i="3"/>
  <c r="U155" i="3" s="1"/>
  <c r="C156" i="3"/>
  <c r="U156" i="3" s="1"/>
  <c r="C157" i="3"/>
  <c r="U157" i="3" s="1"/>
  <c r="C158" i="3"/>
  <c r="U158" i="3" s="1"/>
  <c r="C159" i="3"/>
  <c r="U159" i="3" s="1"/>
  <c r="C160" i="3"/>
  <c r="U160" i="3" s="1"/>
  <c r="C161" i="3"/>
  <c r="U161" i="3" s="1"/>
  <c r="C162" i="3"/>
  <c r="U162" i="3" s="1"/>
  <c r="C163" i="3"/>
  <c r="U163" i="3" s="1"/>
  <c r="C164" i="3"/>
  <c r="U164" i="3" s="1"/>
  <c r="C165" i="3"/>
  <c r="U165" i="3" s="1"/>
  <c r="C166" i="3"/>
  <c r="U166" i="3" s="1"/>
  <c r="C167" i="3"/>
  <c r="U167" i="3" s="1"/>
  <c r="C168" i="3"/>
  <c r="U168" i="3" s="1"/>
  <c r="C169" i="3"/>
  <c r="U169" i="3" s="1"/>
  <c r="C170" i="3"/>
  <c r="U170" i="3" s="1"/>
  <c r="C171" i="3"/>
  <c r="U171" i="3" s="1"/>
  <c r="C172" i="3"/>
  <c r="U172" i="3" s="1"/>
  <c r="C173" i="3"/>
  <c r="U173" i="3" s="1"/>
  <c r="C174" i="3"/>
  <c r="U174" i="3" s="1"/>
  <c r="C175" i="3"/>
  <c r="U175" i="3" s="1"/>
  <c r="C176" i="3"/>
  <c r="U176" i="3" s="1"/>
  <c r="C177" i="3"/>
  <c r="U177" i="3" s="1"/>
  <c r="C178" i="3"/>
  <c r="U178" i="3" s="1"/>
  <c r="C179" i="3"/>
  <c r="U179" i="3" s="1"/>
  <c r="C180" i="3"/>
  <c r="U180" i="3" s="1"/>
  <c r="C181" i="3"/>
  <c r="U181" i="3" s="1"/>
  <c r="C182" i="3"/>
  <c r="U182" i="3" s="1"/>
  <c r="C183" i="3"/>
  <c r="U183" i="3" s="1"/>
  <c r="C184" i="3"/>
  <c r="U184" i="3" s="1"/>
  <c r="C185" i="3"/>
  <c r="U185" i="3" s="1"/>
  <c r="C186" i="3"/>
  <c r="U186" i="3" s="1"/>
  <c r="C187" i="3"/>
  <c r="U187" i="3" s="1"/>
  <c r="C188" i="3"/>
  <c r="U188" i="3" s="1"/>
  <c r="C189" i="3"/>
  <c r="U189" i="3" s="1"/>
  <c r="C190" i="3"/>
  <c r="U190" i="3" s="1"/>
  <c r="C191" i="3"/>
  <c r="U191" i="3" s="1"/>
  <c r="C192" i="3"/>
  <c r="U192" i="3" s="1"/>
  <c r="C193" i="3"/>
  <c r="U193" i="3" s="1"/>
  <c r="C194" i="3"/>
  <c r="U194" i="3" s="1"/>
  <c r="C195" i="3"/>
  <c r="U195" i="3" s="1"/>
  <c r="C196" i="3"/>
  <c r="U196" i="3" s="1"/>
  <c r="C197" i="3"/>
  <c r="U197" i="3" s="1"/>
  <c r="C198" i="3"/>
  <c r="U198" i="3" s="1"/>
  <c r="C199" i="3"/>
  <c r="U199" i="3" s="1"/>
  <c r="C200" i="3"/>
  <c r="U200" i="3" s="1"/>
  <c r="C201" i="3"/>
  <c r="U201" i="3" s="1"/>
  <c r="C202" i="3"/>
  <c r="U202" i="3" s="1"/>
  <c r="C203" i="3"/>
  <c r="U203" i="3" s="1"/>
  <c r="C204" i="3"/>
  <c r="U204" i="3" s="1"/>
  <c r="C205" i="3"/>
  <c r="U205" i="3" s="1"/>
  <c r="C206" i="3"/>
  <c r="U206" i="3" s="1"/>
  <c r="C207" i="3"/>
  <c r="U207" i="3" s="1"/>
  <c r="C208" i="3"/>
  <c r="U208" i="3" s="1"/>
  <c r="C209" i="3"/>
  <c r="U209" i="3" s="1"/>
  <c r="C210" i="3"/>
  <c r="U210" i="3" s="1"/>
  <c r="C211" i="3"/>
  <c r="U211" i="3" s="1"/>
  <c r="C212" i="3"/>
  <c r="U212" i="3" s="1"/>
  <c r="C213" i="3"/>
  <c r="U213" i="3" s="1"/>
  <c r="C214" i="3"/>
  <c r="U214" i="3" s="1"/>
  <c r="C215" i="3"/>
  <c r="U215" i="3" s="1"/>
  <c r="C216" i="3"/>
  <c r="U216" i="3" s="1"/>
  <c r="C217" i="3"/>
  <c r="U217" i="3" s="1"/>
  <c r="C218" i="3"/>
  <c r="U218" i="3" s="1"/>
  <c r="C219" i="3"/>
  <c r="U219" i="3" s="1"/>
  <c r="C220" i="3"/>
  <c r="U220" i="3" s="1"/>
  <c r="C221" i="3"/>
  <c r="U221" i="3" s="1"/>
  <c r="C222" i="3"/>
  <c r="U222" i="3" s="1"/>
  <c r="C223" i="3"/>
  <c r="U223" i="3" s="1"/>
  <c r="C224" i="3"/>
  <c r="U224" i="3" s="1"/>
  <c r="C225" i="3"/>
  <c r="U225" i="3" s="1"/>
  <c r="C226" i="3"/>
  <c r="U226" i="3" s="1"/>
  <c r="C227" i="3"/>
  <c r="U227" i="3" s="1"/>
  <c r="C228" i="3"/>
  <c r="U228" i="3" s="1"/>
  <c r="C229" i="3"/>
  <c r="U229" i="3" s="1"/>
  <c r="C230" i="3"/>
  <c r="U230" i="3" s="1"/>
  <c r="C231" i="3"/>
  <c r="U231" i="3" s="1"/>
  <c r="C232" i="3"/>
  <c r="U232" i="3" s="1"/>
  <c r="C233" i="3"/>
  <c r="U233" i="3" s="1"/>
  <c r="C234" i="3"/>
  <c r="U234" i="3" s="1"/>
  <c r="C235" i="3"/>
  <c r="U235" i="3" s="1"/>
  <c r="C236" i="3"/>
  <c r="U236" i="3" s="1"/>
  <c r="C237" i="3"/>
  <c r="U237" i="3" s="1"/>
  <c r="C238" i="3"/>
  <c r="U238" i="3" s="1"/>
  <c r="C239" i="3"/>
  <c r="U239" i="3" s="1"/>
  <c r="C240" i="3"/>
  <c r="U240" i="3" s="1"/>
  <c r="C241" i="3"/>
  <c r="C242" i="3"/>
  <c r="U242" i="3" s="1"/>
  <c r="C243" i="3"/>
  <c r="U243" i="3" s="1"/>
  <c r="C244" i="3"/>
  <c r="U244" i="3" s="1"/>
  <c r="C245" i="3"/>
  <c r="U245" i="3" s="1"/>
  <c r="C246" i="3"/>
  <c r="C247" i="3"/>
  <c r="U247" i="3" s="1"/>
  <c r="C248" i="3"/>
  <c r="U248" i="3" s="1"/>
  <c r="C249" i="3"/>
  <c r="U249" i="3" s="1"/>
  <c r="C250" i="3"/>
  <c r="U250" i="3" s="1"/>
  <c r="C251" i="3"/>
  <c r="U251" i="3" s="1"/>
  <c r="C252" i="3"/>
  <c r="U252" i="3" s="1"/>
  <c r="C253" i="3"/>
  <c r="U253" i="3" s="1"/>
  <c r="C254" i="3"/>
  <c r="U254" i="3" s="1"/>
  <c r="C255" i="3"/>
  <c r="U255" i="3" s="1"/>
  <c r="C256" i="3"/>
  <c r="U256" i="3" s="1"/>
  <c r="C257" i="3"/>
  <c r="U257" i="3" s="1"/>
  <c r="C258" i="3"/>
  <c r="U258" i="3" s="1"/>
  <c r="C259" i="3"/>
  <c r="U259" i="3" s="1"/>
  <c r="C260" i="3"/>
  <c r="U260" i="3" s="1"/>
  <c r="C261" i="3"/>
  <c r="U261" i="3" s="1"/>
  <c r="C262" i="3"/>
  <c r="U262" i="3" s="1"/>
  <c r="C263" i="3"/>
  <c r="U263" i="3" s="1"/>
  <c r="C264" i="3"/>
  <c r="U264" i="3" s="1"/>
  <c r="C265" i="3"/>
  <c r="U265" i="3" s="1"/>
  <c r="C266" i="3"/>
  <c r="U266" i="3" s="1"/>
  <c r="C267" i="3"/>
  <c r="U267" i="3" s="1"/>
  <c r="C268" i="3"/>
  <c r="U268" i="3" s="1"/>
  <c r="C269" i="3"/>
  <c r="U269" i="3" s="1"/>
  <c r="C270" i="3"/>
  <c r="U270" i="3" s="1"/>
  <c r="C271" i="3"/>
  <c r="U271" i="3" s="1"/>
  <c r="C272" i="3"/>
  <c r="U272" i="3" s="1"/>
  <c r="C273" i="3"/>
  <c r="U273" i="3" s="1"/>
  <c r="C274" i="3"/>
  <c r="U274" i="3" s="1"/>
  <c r="C275" i="3"/>
  <c r="U275" i="3" s="1"/>
  <c r="C276" i="3"/>
  <c r="U276" i="3" s="1"/>
  <c r="C277" i="3"/>
  <c r="U277" i="3" s="1"/>
  <c r="C278" i="3"/>
  <c r="U278" i="3" s="1"/>
  <c r="C279" i="3"/>
  <c r="U279" i="3" s="1"/>
  <c r="C280" i="3"/>
  <c r="U280" i="3" s="1"/>
  <c r="C281" i="3"/>
  <c r="U281" i="3" s="1"/>
  <c r="C282" i="3"/>
  <c r="U282" i="3" s="1"/>
  <c r="C283" i="3"/>
  <c r="U283" i="3" s="1"/>
  <c r="C284" i="3"/>
  <c r="U284" i="3" s="1"/>
  <c r="C285" i="3"/>
  <c r="U285" i="3" s="1"/>
  <c r="C286" i="3"/>
  <c r="U286" i="3" s="1"/>
  <c r="C287" i="3"/>
  <c r="U287" i="3" s="1"/>
  <c r="C288" i="3"/>
  <c r="U288" i="3" s="1"/>
  <c r="C289" i="3"/>
  <c r="U289" i="3" s="1"/>
  <c r="C290" i="3"/>
  <c r="U290" i="3" s="1"/>
  <c r="C291" i="3"/>
  <c r="U291" i="3" s="1"/>
  <c r="C292" i="3"/>
  <c r="U292" i="3" s="1"/>
  <c r="C293" i="3"/>
  <c r="U293" i="3" s="1"/>
  <c r="C294" i="3"/>
  <c r="U294" i="3" s="1"/>
  <c r="C295" i="3"/>
  <c r="U295" i="3" s="1"/>
  <c r="C296" i="3"/>
  <c r="U296" i="3" s="1"/>
  <c r="C297" i="3"/>
  <c r="U297" i="3" s="1"/>
  <c r="C298" i="3"/>
  <c r="U298" i="3" s="1"/>
  <c r="C299" i="3"/>
  <c r="U299" i="3" s="1"/>
  <c r="C300" i="3"/>
  <c r="U300" i="3" s="1"/>
  <c r="C301" i="3"/>
  <c r="U301" i="3" s="1"/>
  <c r="C302" i="3"/>
  <c r="U302" i="3" s="1"/>
  <c r="C303" i="3"/>
  <c r="U303" i="3" s="1"/>
  <c r="C304" i="3"/>
  <c r="U304" i="3" s="1"/>
  <c r="C305" i="3"/>
  <c r="U305" i="3" s="1"/>
  <c r="C306" i="3"/>
  <c r="U306" i="3" s="1"/>
  <c r="C307" i="3"/>
  <c r="U307" i="3" s="1"/>
  <c r="C308" i="3"/>
  <c r="U308" i="3" s="1"/>
  <c r="C309" i="3"/>
  <c r="U309" i="3" s="1"/>
  <c r="C310" i="3"/>
  <c r="U310" i="3" s="1"/>
  <c r="C311" i="3"/>
  <c r="U311" i="3" s="1"/>
  <c r="C312" i="3"/>
  <c r="U312" i="3" s="1"/>
  <c r="C313" i="3"/>
  <c r="U313" i="3" s="1"/>
  <c r="C314" i="3"/>
  <c r="U314" i="3" s="1"/>
  <c r="C315" i="3"/>
  <c r="U315" i="3" s="1"/>
  <c r="C316" i="3"/>
  <c r="U316" i="3" s="1"/>
  <c r="C317" i="3"/>
  <c r="U317" i="3" s="1"/>
  <c r="C318" i="3"/>
  <c r="U318" i="3" s="1"/>
  <c r="C319" i="3"/>
  <c r="U319" i="3" s="1"/>
  <c r="C320" i="3"/>
  <c r="C321" i="3"/>
  <c r="U321" i="3" s="1"/>
  <c r="C322" i="3"/>
  <c r="U322" i="3" s="1"/>
  <c r="C323" i="3"/>
  <c r="U323" i="3" s="1"/>
  <c r="C324" i="3"/>
  <c r="U324" i="3" s="1"/>
  <c r="C325" i="3"/>
  <c r="U325" i="3" s="1"/>
  <c r="C326" i="3"/>
  <c r="U326" i="3" s="1"/>
  <c r="C327" i="3"/>
  <c r="U327" i="3" s="1"/>
  <c r="C328" i="3"/>
  <c r="U328" i="3" s="1"/>
  <c r="C329" i="3"/>
  <c r="U329" i="3" s="1"/>
  <c r="C330" i="3"/>
  <c r="U330" i="3" s="1"/>
  <c r="C331" i="3"/>
  <c r="U331" i="3" s="1"/>
  <c r="C332" i="3"/>
  <c r="U332" i="3" s="1"/>
  <c r="C333" i="3"/>
  <c r="U333" i="3" s="1"/>
  <c r="C334" i="3"/>
  <c r="U334" i="3" s="1"/>
  <c r="C335" i="3"/>
  <c r="U335" i="3" s="1"/>
  <c r="C336" i="3"/>
  <c r="U336" i="3" s="1"/>
  <c r="C337" i="3"/>
  <c r="C338" i="3"/>
  <c r="U338" i="3" s="1"/>
  <c r="C339" i="3"/>
  <c r="U339" i="3" s="1"/>
  <c r="C340" i="3"/>
  <c r="U340" i="3" s="1"/>
  <c r="C341" i="3"/>
  <c r="C342" i="3"/>
  <c r="C343" i="3"/>
  <c r="U343" i="3" s="1"/>
  <c r="C344" i="3"/>
  <c r="U344" i="3" s="1"/>
  <c r="C345" i="3"/>
  <c r="U345" i="3" s="1"/>
  <c r="C346" i="3"/>
  <c r="U346" i="3" s="1"/>
  <c r="C347" i="3"/>
  <c r="U347" i="3" s="1"/>
  <c r="C348" i="3"/>
  <c r="U348" i="3" s="1"/>
  <c r="C349" i="3"/>
  <c r="U349" i="3" s="1"/>
  <c r="C350" i="3"/>
  <c r="U350" i="3" s="1"/>
  <c r="C351" i="3"/>
  <c r="U351" i="3" s="1"/>
  <c r="C352" i="3"/>
  <c r="U352" i="3" s="1"/>
  <c r="C353" i="3"/>
  <c r="U353" i="3" s="1"/>
  <c r="C354" i="3"/>
  <c r="U354" i="3" s="1"/>
  <c r="C355" i="3"/>
  <c r="U355" i="3" s="1"/>
  <c r="C356" i="3"/>
  <c r="U356" i="3" s="1"/>
  <c r="C357" i="3"/>
  <c r="U357" i="3" s="1"/>
  <c r="C358" i="3"/>
  <c r="U358" i="3" s="1"/>
  <c r="C359" i="3"/>
  <c r="U359" i="3" s="1"/>
  <c r="C360" i="3"/>
  <c r="U360" i="3" s="1"/>
  <c r="C361" i="3"/>
  <c r="U361" i="3" s="1"/>
  <c r="C362" i="3"/>
  <c r="U362" i="3" s="1"/>
  <c r="C363" i="3"/>
  <c r="U363" i="3" s="1"/>
  <c r="C364" i="3"/>
  <c r="U364" i="3" s="1"/>
  <c r="C365" i="3"/>
  <c r="U365" i="3" s="1"/>
  <c r="C366" i="3"/>
  <c r="U366" i="3" s="1"/>
  <c r="C367" i="3"/>
  <c r="U367" i="3" s="1"/>
  <c r="C368" i="3"/>
  <c r="U368" i="3" s="1"/>
  <c r="C369" i="3"/>
  <c r="U369" i="3" s="1"/>
  <c r="C370" i="3"/>
  <c r="U370" i="3" s="1"/>
  <c r="C371" i="3"/>
  <c r="U371" i="3" s="1"/>
  <c r="C372" i="3"/>
  <c r="U372" i="3" s="1"/>
  <c r="C373" i="3"/>
  <c r="U373" i="3" s="1"/>
  <c r="C374" i="3"/>
  <c r="U374" i="3" s="1"/>
  <c r="C375" i="3"/>
  <c r="U375" i="3" s="1"/>
  <c r="C376" i="3"/>
  <c r="U376" i="3" s="1"/>
  <c r="C377" i="3"/>
  <c r="U377" i="3" s="1"/>
  <c r="C378" i="3"/>
  <c r="U378" i="3" s="1"/>
  <c r="C379" i="3"/>
  <c r="U379" i="3" s="1"/>
  <c r="C380" i="3"/>
  <c r="U380" i="3" s="1"/>
  <c r="C381" i="3"/>
  <c r="U381" i="3" s="1"/>
  <c r="C382" i="3"/>
  <c r="U382" i="3" s="1"/>
  <c r="C383" i="3"/>
  <c r="U383" i="3" s="1"/>
  <c r="C384" i="3"/>
  <c r="U384" i="3" s="1"/>
  <c r="C385" i="3"/>
  <c r="U385" i="3" s="1"/>
  <c r="C386" i="3"/>
  <c r="U386" i="3" s="1"/>
  <c r="C387" i="3"/>
  <c r="U387" i="3" s="1"/>
  <c r="C388" i="3"/>
  <c r="U388" i="3" s="1"/>
  <c r="C389" i="3"/>
  <c r="U389" i="3" s="1"/>
  <c r="C390" i="3"/>
  <c r="U390" i="3" s="1"/>
  <c r="C391" i="3"/>
  <c r="U391" i="3" s="1"/>
  <c r="C392" i="3"/>
  <c r="U392" i="3" s="1"/>
  <c r="C393" i="3"/>
  <c r="U393" i="3" s="1"/>
  <c r="C394" i="3"/>
  <c r="U394" i="3" s="1"/>
  <c r="C395" i="3"/>
  <c r="U395" i="3" s="1"/>
  <c r="C396" i="3"/>
  <c r="U396" i="3" s="1"/>
  <c r="C397" i="3"/>
  <c r="U397" i="3" s="1"/>
  <c r="C398" i="3"/>
  <c r="U398" i="3" s="1"/>
  <c r="C399" i="3"/>
  <c r="U399" i="3" s="1"/>
  <c r="C400" i="3"/>
  <c r="U400" i="3" s="1"/>
  <c r="C401" i="3"/>
  <c r="U401" i="3" s="1"/>
  <c r="C402" i="3"/>
  <c r="U402" i="3" s="1"/>
  <c r="C403" i="3"/>
  <c r="U403" i="3" s="1"/>
  <c r="C404" i="3"/>
  <c r="U404" i="3" s="1"/>
  <c r="C405" i="3"/>
  <c r="U405" i="3" s="1"/>
  <c r="C406" i="3"/>
  <c r="U406" i="3" s="1"/>
  <c r="C407" i="3"/>
  <c r="U407" i="3" s="1"/>
  <c r="C408" i="3"/>
  <c r="U408" i="3" s="1"/>
  <c r="C409" i="3"/>
  <c r="U409" i="3" s="1"/>
  <c r="C410" i="3"/>
  <c r="U410" i="3" s="1"/>
  <c r="C411" i="3"/>
  <c r="U411" i="3" s="1"/>
  <c r="C412" i="3"/>
  <c r="U412" i="3" s="1"/>
  <c r="C413" i="3"/>
  <c r="U413" i="3" s="1"/>
  <c r="C414" i="3"/>
  <c r="U414" i="3" s="1"/>
  <c r="C415" i="3"/>
  <c r="U415" i="3" s="1"/>
  <c r="C416" i="3"/>
  <c r="U416" i="3" s="1"/>
  <c r="C417" i="3"/>
  <c r="U417" i="3" s="1"/>
  <c r="C418" i="3"/>
  <c r="U418" i="3" s="1"/>
  <c r="C419" i="3"/>
  <c r="U419" i="3" s="1"/>
  <c r="C420" i="3"/>
  <c r="U420" i="3" s="1"/>
  <c r="C421" i="3"/>
  <c r="U421" i="3" s="1"/>
  <c r="C422" i="3"/>
  <c r="U422" i="3" s="1"/>
  <c r="C423" i="3"/>
  <c r="U423" i="3" s="1"/>
  <c r="C424" i="3"/>
  <c r="U424" i="3" s="1"/>
  <c r="C425" i="3"/>
  <c r="U425" i="3" s="1"/>
  <c r="C426" i="3"/>
  <c r="U426" i="3" s="1"/>
  <c r="C427" i="3"/>
  <c r="U427" i="3" s="1"/>
  <c r="C428" i="3"/>
  <c r="U428" i="3" s="1"/>
  <c r="C429" i="3"/>
  <c r="U429" i="3" s="1"/>
  <c r="C430" i="3"/>
  <c r="U430" i="3" s="1"/>
  <c r="C431" i="3"/>
  <c r="U431" i="3" s="1"/>
  <c r="C432" i="3"/>
  <c r="U432" i="3" s="1"/>
  <c r="C433" i="3"/>
  <c r="U433" i="3" s="1"/>
  <c r="C434" i="3"/>
  <c r="U434" i="3" s="1"/>
  <c r="C435" i="3"/>
  <c r="U435" i="3" s="1"/>
  <c r="C436" i="3"/>
  <c r="U436" i="3" s="1"/>
  <c r="C437" i="3"/>
  <c r="U437" i="3" s="1"/>
  <c r="C438" i="3"/>
  <c r="U438" i="3" s="1"/>
  <c r="C439" i="3"/>
  <c r="U439" i="3" s="1"/>
  <c r="C440" i="3"/>
  <c r="U440" i="3" s="1"/>
  <c r="C441" i="3"/>
  <c r="U441" i="3" s="1"/>
  <c r="C442" i="3"/>
  <c r="U442" i="3" s="1"/>
  <c r="C443" i="3"/>
  <c r="U443" i="3" s="1"/>
  <c r="C444" i="3"/>
  <c r="U444" i="3" s="1"/>
  <c r="C445" i="3"/>
  <c r="U445" i="3" s="1"/>
  <c r="C446" i="3"/>
  <c r="U446" i="3" s="1"/>
  <c r="C447" i="3"/>
  <c r="U447" i="3" s="1"/>
  <c r="C448" i="3"/>
  <c r="U448" i="3" s="1"/>
  <c r="C449" i="3"/>
  <c r="U449" i="3" s="1"/>
  <c r="C450" i="3"/>
  <c r="U450" i="3" s="1"/>
  <c r="C451" i="3"/>
  <c r="U451" i="3" s="1"/>
  <c r="C452" i="3"/>
  <c r="U452" i="3" s="1"/>
  <c r="C453" i="3"/>
  <c r="U453" i="3" s="1"/>
  <c r="C454" i="3"/>
  <c r="U454" i="3" s="1"/>
  <c r="C455" i="3"/>
  <c r="U455" i="3" s="1"/>
  <c r="C456" i="3"/>
  <c r="U456" i="3" s="1"/>
  <c r="C457" i="3"/>
  <c r="U457" i="3" s="1"/>
  <c r="C458" i="3"/>
  <c r="U458" i="3" s="1"/>
  <c r="C459" i="3"/>
  <c r="U459" i="3" s="1"/>
  <c r="C460" i="3"/>
  <c r="U460" i="3" s="1"/>
  <c r="C461" i="3"/>
  <c r="U461" i="3" s="1"/>
  <c r="C462" i="3"/>
  <c r="U462" i="3" s="1"/>
  <c r="C463" i="3"/>
  <c r="C464" i="3"/>
  <c r="U464" i="3" s="1"/>
  <c r="C465" i="3"/>
  <c r="U465" i="3" s="1"/>
  <c r="C466" i="3"/>
  <c r="U466" i="3" s="1"/>
  <c r="C467" i="3"/>
  <c r="U467" i="3" s="1"/>
  <c r="C468" i="3"/>
  <c r="U468" i="3" s="1"/>
  <c r="C469" i="3"/>
  <c r="U469" i="3" s="1"/>
  <c r="C470" i="3"/>
  <c r="U470" i="3" s="1"/>
  <c r="C471" i="3"/>
  <c r="U471" i="3" s="1"/>
  <c r="C472" i="3"/>
  <c r="U472" i="3" s="1"/>
  <c r="C473" i="3"/>
  <c r="U473" i="3" s="1"/>
  <c r="C474" i="3"/>
  <c r="U474" i="3" s="1"/>
  <c r="C475" i="3"/>
  <c r="U475" i="3" s="1"/>
  <c r="C476" i="3"/>
  <c r="U476" i="3" s="1"/>
  <c r="C477" i="3"/>
  <c r="U477" i="3" s="1"/>
  <c r="C478" i="3"/>
  <c r="U478" i="3" s="1"/>
  <c r="C479" i="3"/>
  <c r="U479" i="3" s="1"/>
  <c r="C480" i="3"/>
  <c r="U480" i="3" s="1"/>
  <c r="C481" i="3"/>
  <c r="U481" i="3" s="1"/>
  <c r="C482" i="3"/>
  <c r="U482" i="3" s="1"/>
  <c r="C483" i="3"/>
  <c r="U483" i="3" s="1"/>
  <c r="C484" i="3"/>
  <c r="U484" i="3" s="1"/>
  <c r="C485" i="3"/>
  <c r="U485" i="3" s="1"/>
  <c r="C486" i="3"/>
  <c r="U486" i="3" s="1"/>
  <c r="C487" i="3"/>
  <c r="U487" i="3" s="1"/>
  <c r="C488" i="3"/>
  <c r="U488" i="3" s="1"/>
  <c r="C489" i="3"/>
  <c r="U489" i="3" s="1"/>
  <c r="C490" i="3"/>
  <c r="U490" i="3" s="1"/>
  <c r="C491" i="3"/>
  <c r="U491" i="3" s="1"/>
  <c r="C492" i="3"/>
  <c r="U492" i="3" s="1"/>
  <c r="C493" i="3"/>
  <c r="U493" i="3" s="1"/>
  <c r="C494" i="3"/>
  <c r="U494" i="3" s="1"/>
  <c r="C495" i="3"/>
  <c r="U495" i="3" s="1"/>
  <c r="C496" i="3"/>
  <c r="U496" i="3" s="1"/>
  <c r="C497" i="3"/>
  <c r="U497" i="3" s="1"/>
  <c r="C498" i="3"/>
  <c r="U498" i="3" s="1"/>
  <c r="C499" i="3"/>
  <c r="U499" i="3" s="1"/>
  <c r="C500" i="3"/>
  <c r="U500" i="3" s="1"/>
  <c r="C501" i="3"/>
  <c r="U501" i="3" s="1"/>
  <c r="C502" i="3"/>
  <c r="U502" i="3" s="1"/>
  <c r="C503" i="3"/>
  <c r="U503" i="3" s="1"/>
  <c r="C504" i="3"/>
  <c r="U504" i="3" s="1"/>
  <c r="C505" i="3"/>
  <c r="U505" i="3" s="1"/>
  <c r="C506" i="3"/>
  <c r="U506" i="3" s="1"/>
  <c r="C507" i="3"/>
  <c r="U507" i="3" s="1"/>
  <c r="C508" i="3"/>
  <c r="U508" i="3" s="1"/>
  <c r="C509" i="3"/>
  <c r="U509" i="3" s="1"/>
  <c r="C510" i="3"/>
  <c r="U510" i="3" s="1"/>
  <c r="C511" i="3"/>
  <c r="U511" i="3" s="1"/>
  <c r="C512" i="3"/>
  <c r="U512" i="3" s="1"/>
  <c r="C513" i="3"/>
  <c r="U513" i="3" s="1"/>
  <c r="C514" i="3"/>
  <c r="U514" i="3" s="1"/>
  <c r="C515" i="3"/>
  <c r="U515" i="3" s="1"/>
  <c r="C516" i="3"/>
  <c r="U516" i="3" s="1"/>
  <c r="C517" i="3"/>
  <c r="U517" i="3" s="1"/>
  <c r="C518" i="3"/>
  <c r="U518" i="3" s="1"/>
  <c r="C519" i="3"/>
  <c r="U519" i="3" s="1"/>
  <c r="C520" i="3"/>
  <c r="U520" i="3" s="1"/>
  <c r="C521" i="3"/>
  <c r="C522" i="3"/>
  <c r="U522" i="3" s="1"/>
  <c r="C523" i="3"/>
  <c r="U523" i="3" s="1"/>
  <c r="C524" i="3"/>
  <c r="U524" i="3" s="1"/>
  <c r="C525" i="3"/>
  <c r="U525" i="3" s="1"/>
  <c r="C526" i="3"/>
  <c r="U526" i="3" s="1"/>
  <c r="C527" i="3"/>
  <c r="U527" i="3" s="1"/>
  <c r="C528" i="3"/>
  <c r="U528" i="3" s="1"/>
  <c r="C529" i="3"/>
  <c r="U529" i="3" s="1"/>
  <c r="C530" i="3"/>
  <c r="U530" i="3" s="1"/>
  <c r="C531" i="3"/>
  <c r="U531" i="3" s="1"/>
  <c r="C532" i="3"/>
  <c r="U532" i="3" s="1"/>
  <c r="C533" i="3"/>
  <c r="U533" i="3" s="1"/>
  <c r="C534" i="3"/>
  <c r="C535" i="3"/>
  <c r="U535" i="3" s="1"/>
  <c r="C536" i="3"/>
  <c r="U536" i="3" s="1"/>
  <c r="C537" i="3"/>
  <c r="U537" i="3" s="1"/>
  <c r="C538" i="3"/>
  <c r="U538" i="3" s="1"/>
  <c r="C539" i="3"/>
  <c r="U539" i="3" s="1"/>
  <c r="C540" i="3"/>
  <c r="U540" i="3" s="1"/>
  <c r="C541" i="3"/>
  <c r="U541" i="3" s="1"/>
  <c r="C542" i="3"/>
  <c r="U542" i="3" s="1"/>
  <c r="C543" i="3"/>
  <c r="U543" i="3" s="1"/>
  <c r="C544" i="3"/>
  <c r="U544" i="3" s="1"/>
  <c r="C545" i="3"/>
  <c r="C546" i="3"/>
  <c r="C547" i="3"/>
  <c r="U547" i="3" s="1"/>
  <c r="C548" i="3"/>
  <c r="U548" i="3" s="1"/>
  <c r="C549" i="3"/>
  <c r="U549" i="3" s="1"/>
  <c r="C550" i="3"/>
  <c r="U550" i="3" s="1"/>
  <c r="C551" i="3"/>
  <c r="U551" i="3" s="1"/>
  <c r="C552" i="3"/>
  <c r="U552" i="3" s="1"/>
  <c r="C553" i="3"/>
  <c r="U553" i="3" s="1"/>
  <c r="C554" i="3"/>
  <c r="U554" i="3" s="1"/>
  <c r="C555" i="3"/>
  <c r="U555" i="3" s="1"/>
  <c r="C556" i="3"/>
  <c r="U556" i="3" s="1"/>
  <c r="C557" i="3"/>
  <c r="U557" i="3" s="1"/>
  <c r="C558" i="3"/>
  <c r="U558" i="3" s="1"/>
  <c r="C559" i="3"/>
  <c r="U559" i="3" s="1"/>
  <c r="C560" i="3"/>
  <c r="U560" i="3" s="1"/>
  <c r="C561" i="3"/>
  <c r="U561" i="3" s="1"/>
  <c r="C562" i="3"/>
  <c r="U562" i="3" s="1"/>
  <c r="C563" i="3"/>
  <c r="U563" i="3" s="1"/>
  <c r="C564" i="3"/>
  <c r="U564" i="3" s="1"/>
  <c r="C565" i="3"/>
  <c r="U565" i="3" s="1"/>
  <c r="C566" i="3"/>
  <c r="U566" i="3" s="1"/>
  <c r="C567" i="3"/>
  <c r="U567" i="3" s="1"/>
  <c r="C568" i="3"/>
  <c r="U568" i="3" s="1"/>
  <c r="C569" i="3"/>
  <c r="U569" i="3" s="1"/>
  <c r="C570" i="3"/>
  <c r="U570" i="3" s="1"/>
  <c r="C571" i="3"/>
  <c r="U571" i="3" s="1"/>
  <c r="C572" i="3"/>
  <c r="U572" i="3" s="1"/>
  <c r="C573" i="3"/>
  <c r="U573" i="3" s="1"/>
  <c r="C574" i="3"/>
  <c r="U574" i="3" s="1"/>
  <c r="C575" i="3"/>
  <c r="U575" i="3" s="1"/>
  <c r="C576" i="3"/>
  <c r="U576" i="3" s="1"/>
  <c r="C577" i="3"/>
  <c r="U577" i="3" s="1"/>
  <c r="C578" i="3"/>
  <c r="U578" i="3" s="1"/>
  <c r="C579" i="3"/>
  <c r="U579" i="3" s="1"/>
  <c r="C580" i="3"/>
  <c r="U580" i="3" s="1"/>
  <c r="C581" i="3"/>
  <c r="C582" i="3"/>
  <c r="U582" i="3" s="1"/>
  <c r="C583" i="3"/>
  <c r="U583" i="3" s="1"/>
  <c r="C584" i="3"/>
  <c r="U584" i="3" s="1"/>
  <c r="C585" i="3"/>
  <c r="U585" i="3" s="1"/>
  <c r="C586" i="3"/>
  <c r="U586" i="3" s="1"/>
  <c r="C587" i="3"/>
  <c r="U587" i="3" s="1"/>
  <c r="C588" i="3"/>
  <c r="U588" i="3" s="1"/>
  <c r="C589" i="3"/>
  <c r="U589" i="3" s="1"/>
  <c r="C590" i="3"/>
  <c r="U590" i="3" s="1"/>
  <c r="C591" i="3"/>
  <c r="U591" i="3" s="1"/>
  <c r="C592" i="3"/>
  <c r="U592" i="3" s="1"/>
  <c r="C593" i="3"/>
  <c r="C594" i="3"/>
  <c r="U594" i="3" s="1"/>
  <c r="C595" i="3"/>
  <c r="U595" i="3" s="1"/>
  <c r="C596" i="3"/>
  <c r="U596" i="3" s="1"/>
  <c r="C597" i="3"/>
  <c r="C598" i="3"/>
  <c r="U598" i="3" s="1"/>
  <c r="C599" i="3"/>
  <c r="U599" i="3" s="1"/>
  <c r="C600" i="3"/>
  <c r="U600" i="3" s="1"/>
  <c r="C601" i="3"/>
  <c r="U601" i="3" s="1"/>
  <c r="C602" i="3"/>
  <c r="U602" i="3" s="1"/>
  <c r="C603" i="3"/>
  <c r="U603" i="3" s="1"/>
  <c r="C604" i="3"/>
  <c r="U604" i="3" s="1"/>
  <c r="C605" i="3"/>
  <c r="U605" i="3" s="1"/>
  <c r="C606" i="3"/>
  <c r="U606" i="3" s="1"/>
  <c r="C607" i="3"/>
  <c r="U607" i="3" s="1"/>
  <c r="C608" i="3"/>
  <c r="U608" i="3" s="1"/>
  <c r="C609" i="3"/>
  <c r="U609" i="3" s="1"/>
  <c r="C610" i="3"/>
  <c r="U610" i="3" s="1"/>
  <c r="C611" i="3"/>
  <c r="U611" i="3" s="1"/>
  <c r="C612" i="3"/>
  <c r="U612" i="3" s="1"/>
  <c r="C613" i="3"/>
  <c r="U613" i="3" s="1"/>
  <c r="C614" i="3"/>
  <c r="U614" i="3" s="1"/>
  <c r="C615" i="3"/>
  <c r="U615" i="3" s="1"/>
  <c r="C616" i="3"/>
  <c r="U616" i="3" s="1"/>
  <c r="C617" i="3"/>
  <c r="U617" i="3" s="1"/>
  <c r="C618" i="3"/>
  <c r="C619" i="3"/>
  <c r="U619" i="3" s="1"/>
  <c r="C620" i="3"/>
  <c r="C621" i="3"/>
  <c r="U621" i="3" s="1"/>
  <c r="C622" i="3"/>
  <c r="U622" i="3" s="1"/>
  <c r="C623" i="3"/>
  <c r="U623" i="3" s="1"/>
  <c r="C624" i="3"/>
  <c r="U624" i="3" s="1"/>
  <c r="C625" i="3"/>
  <c r="U625" i="3" s="1"/>
  <c r="C626" i="3"/>
  <c r="U626" i="3" s="1"/>
  <c r="C627" i="3"/>
  <c r="U627" i="3" s="1"/>
  <c r="C628" i="3"/>
  <c r="U628" i="3" s="1"/>
  <c r="C629" i="3"/>
  <c r="U629" i="3" s="1"/>
  <c r="C630" i="3"/>
  <c r="U630" i="3" s="1"/>
  <c r="C631" i="3"/>
  <c r="U631" i="3" s="1"/>
  <c r="C632" i="3"/>
  <c r="U632" i="3" s="1"/>
  <c r="C633" i="3"/>
  <c r="U633" i="3" s="1"/>
  <c r="C634" i="3"/>
  <c r="U634" i="3" s="1"/>
  <c r="C635" i="3"/>
  <c r="U635" i="3" s="1"/>
  <c r="C636" i="3"/>
  <c r="U636" i="3" s="1"/>
  <c r="C637" i="3"/>
  <c r="U637" i="3" s="1"/>
  <c r="C638" i="3"/>
  <c r="U638" i="3" s="1"/>
  <c r="C639" i="3"/>
  <c r="U639" i="3" s="1"/>
  <c r="C640" i="3"/>
  <c r="U640" i="3" s="1"/>
  <c r="C641" i="3"/>
  <c r="U641" i="3" s="1"/>
  <c r="C642" i="3"/>
  <c r="U642" i="3" s="1"/>
  <c r="C643" i="3"/>
  <c r="U643" i="3" s="1"/>
  <c r="C644" i="3"/>
  <c r="U644" i="3" s="1"/>
  <c r="C645" i="3"/>
  <c r="U645" i="3" s="1"/>
  <c r="C646" i="3"/>
  <c r="U646" i="3" s="1"/>
  <c r="C647" i="3"/>
  <c r="U647" i="3" s="1"/>
  <c r="C648" i="3"/>
  <c r="U648" i="3" s="1"/>
  <c r="C649" i="3"/>
  <c r="U649" i="3" s="1"/>
  <c r="C650" i="3"/>
  <c r="U650" i="3" s="1"/>
  <c r="C651" i="3"/>
  <c r="U651" i="3" s="1"/>
  <c r="C652" i="3"/>
  <c r="U652" i="3" s="1"/>
  <c r="C653" i="3"/>
  <c r="U653" i="3" s="1"/>
  <c r="C654" i="3"/>
  <c r="U654" i="3" s="1"/>
  <c r="C655" i="3"/>
  <c r="U655" i="3" s="1"/>
  <c r="C656" i="3"/>
  <c r="U656" i="3" s="1"/>
  <c r="C657" i="3"/>
  <c r="U657" i="3" s="1"/>
  <c r="C658" i="3"/>
  <c r="U658" i="3" s="1"/>
  <c r="C659" i="3"/>
  <c r="U659" i="3" s="1"/>
  <c r="C660" i="3"/>
  <c r="U660" i="3" s="1"/>
  <c r="C661" i="3"/>
  <c r="U661" i="3" s="1"/>
  <c r="C662" i="3"/>
  <c r="U662" i="3" s="1"/>
  <c r="C663" i="3"/>
  <c r="U663" i="3" s="1"/>
  <c r="C664" i="3"/>
  <c r="U664" i="3" s="1"/>
  <c r="C665" i="3"/>
  <c r="C666" i="3"/>
  <c r="U666" i="3" s="1"/>
  <c r="C667" i="3"/>
  <c r="U667" i="3" s="1"/>
  <c r="C668" i="3"/>
  <c r="U668" i="3" s="1"/>
  <c r="C669" i="3"/>
  <c r="U669" i="3" s="1"/>
  <c r="C670" i="3"/>
  <c r="C671" i="3"/>
  <c r="U671" i="3" s="1"/>
  <c r="C672" i="3"/>
  <c r="U672" i="3" s="1"/>
  <c r="C673" i="3"/>
  <c r="U673" i="3" s="1"/>
  <c r="C674" i="3"/>
  <c r="U674" i="3" s="1"/>
  <c r="C675" i="3"/>
  <c r="U675" i="3" s="1"/>
  <c r="C676" i="3"/>
  <c r="U676" i="3" s="1"/>
  <c r="C677" i="3"/>
  <c r="C678" i="3"/>
  <c r="U678" i="3" s="1"/>
  <c r="C679" i="3"/>
  <c r="U679" i="3" s="1"/>
  <c r="C680" i="3"/>
  <c r="U680" i="3" s="1"/>
  <c r="C681" i="3"/>
  <c r="U681" i="3" s="1"/>
  <c r="C682" i="3"/>
  <c r="U682" i="3" s="1"/>
  <c r="C683" i="3"/>
  <c r="U683" i="3" s="1"/>
  <c r="C684" i="3"/>
  <c r="U684" i="3" s="1"/>
  <c r="C685" i="3"/>
  <c r="U685" i="3" s="1"/>
  <c r="C686" i="3"/>
  <c r="U686" i="3" s="1"/>
  <c r="C687" i="3"/>
  <c r="U687" i="3" s="1"/>
  <c r="C688" i="3"/>
  <c r="U688" i="3" s="1"/>
  <c r="C689" i="3"/>
  <c r="U689" i="3" s="1"/>
  <c r="C690" i="3"/>
  <c r="U690" i="3" s="1"/>
  <c r="C691" i="3"/>
  <c r="U691" i="3" s="1"/>
  <c r="C692" i="3"/>
  <c r="U692" i="3" s="1"/>
  <c r="C693" i="3"/>
  <c r="U693" i="3" s="1"/>
  <c r="C694" i="3"/>
  <c r="U694" i="3" s="1"/>
  <c r="C695" i="3"/>
  <c r="U695" i="3" s="1"/>
  <c r="C696" i="3"/>
  <c r="U696" i="3" s="1"/>
  <c r="C697" i="3"/>
  <c r="U697" i="3" s="1"/>
  <c r="C698" i="3"/>
  <c r="U698" i="3" s="1"/>
  <c r="C699" i="3"/>
  <c r="U699" i="3" s="1"/>
  <c r="C700" i="3"/>
  <c r="U700" i="3" s="1"/>
  <c r="C701" i="3"/>
  <c r="U701" i="3" s="1"/>
  <c r="C702" i="3"/>
  <c r="U702" i="3" s="1"/>
  <c r="C703" i="3"/>
  <c r="U703" i="3" s="1"/>
  <c r="C704" i="3"/>
  <c r="U704" i="3" s="1"/>
  <c r="C705" i="3"/>
  <c r="U705" i="3" s="1"/>
  <c r="C706" i="3"/>
  <c r="U706" i="3" s="1"/>
  <c r="C707" i="3"/>
  <c r="U707" i="3" s="1"/>
  <c r="C708" i="3"/>
  <c r="U708" i="3" s="1"/>
  <c r="C709" i="3"/>
  <c r="U709" i="3" s="1"/>
  <c r="C710" i="3"/>
  <c r="U710" i="3" s="1"/>
  <c r="C711" i="3"/>
  <c r="U711" i="3" s="1"/>
  <c r="C712" i="3"/>
  <c r="U712" i="3" s="1"/>
  <c r="C713" i="3"/>
  <c r="U713" i="3" s="1"/>
  <c r="C714" i="3"/>
  <c r="U714" i="3" s="1"/>
  <c r="C715" i="3"/>
  <c r="U715" i="3" s="1"/>
  <c r="C716" i="3"/>
  <c r="U716" i="3" s="1"/>
  <c r="C717" i="3"/>
  <c r="U717" i="3" s="1"/>
  <c r="C718" i="3"/>
  <c r="U718" i="3" s="1"/>
  <c r="C719" i="3"/>
  <c r="U719" i="3" s="1"/>
  <c r="C720" i="3"/>
  <c r="U720" i="3" s="1"/>
  <c r="C721" i="3"/>
  <c r="U721" i="3" s="1"/>
  <c r="C722" i="3"/>
  <c r="U722" i="3" s="1"/>
  <c r="C723" i="3"/>
  <c r="U723" i="3" s="1"/>
  <c r="C724" i="3"/>
  <c r="U724" i="3" s="1"/>
  <c r="C725" i="3"/>
  <c r="U725" i="3" s="1"/>
  <c r="C726" i="3"/>
  <c r="U726" i="3" s="1"/>
  <c r="C727" i="3"/>
  <c r="U727" i="3" s="1"/>
  <c r="C728" i="3"/>
  <c r="U728" i="3" s="1"/>
  <c r="C729" i="3"/>
  <c r="U729" i="3" s="1"/>
  <c r="C730" i="3"/>
  <c r="U730" i="3" s="1"/>
  <c r="C731" i="3"/>
  <c r="U731" i="3" s="1"/>
  <c r="C732" i="3"/>
  <c r="U732" i="3" s="1"/>
  <c r="C733" i="3"/>
  <c r="U733" i="3" s="1"/>
  <c r="C734" i="3"/>
  <c r="U734" i="3" s="1"/>
  <c r="C735" i="3"/>
  <c r="U735" i="3" s="1"/>
  <c r="C736" i="3"/>
  <c r="U736" i="3" s="1"/>
  <c r="C737" i="3"/>
  <c r="U737" i="3" s="1"/>
  <c r="T737" i="3"/>
  <c r="H414" i="3" l="1"/>
  <c r="H413" i="3"/>
  <c r="H399" i="3"/>
  <c r="H401" i="3"/>
  <c r="H390" i="3"/>
  <c r="H378" i="3"/>
  <c r="H377" i="3"/>
  <c r="H363" i="3"/>
  <c r="H365" i="3"/>
  <c r="H354" i="3"/>
  <c r="H348" i="3"/>
  <c r="H347" i="3"/>
  <c r="H342" i="3"/>
  <c r="H341" i="3"/>
  <c r="H330" i="3"/>
  <c r="H327" i="3"/>
  <c r="H329" i="3"/>
  <c r="H318" i="3"/>
  <c r="H312" i="3"/>
  <c r="H311" i="3"/>
  <c r="H306" i="3"/>
  <c r="H294" i="3"/>
  <c r="H293" i="3"/>
  <c r="H275" i="3"/>
  <c r="H276" i="3"/>
  <c r="H269" i="3"/>
  <c r="H270" i="3"/>
  <c r="H257" i="3"/>
  <c r="H258" i="3"/>
  <c r="H242" i="3"/>
  <c r="H243" i="3"/>
  <c r="H233" i="3"/>
  <c r="H234" i="3"/>
  <c r="H221" i="3"/>
  <c r="H222" i="3"/>
  <c r="H206" i="3"/>
  <c r="H207" i="3"/>
  <c r="H197" i="3"/>
  <c r="H185" i="3"/>
  <c r="H174" i="3"/>
  <c r="H169" i="3"/>
  <c r="H171" i="3"/>
  <c r="H170" i="3"/>
  <c r="H155" i="3"/>
  <c r="H135" i="3"/>
  <c r="H114" i="3"/>
  <c r="H96" i="3"/>
  <c r="H89" i="3"/>
  <c r="H74" i="3"/>
  <c r="H64" i="3"/>
  <c r="H52" i="3"/>
  <c r="H35" i="3"/>
  <c r="H30" i="3"/>
  <c r="H473" i="3"/>
  <c r="H420" i="3"/>
  <c r="H368" i="3"/>
  <c r="H315" i="3"/>
  <c r="H263" i="3"/>
  <c r="H211" i="3"/>
  <c r="H158" i="3"/>
  <c r="H101" i="3"/>
  <c r="H39" i="3"/>
  <c r="H716" i="3"/>
  <c r="H668" i="3"/>
  <c r="H620" i="3"/>
  <c r="H572" i="3"/>
  <c r="H524" i="3"/>
  <c r="H314" i="3"/>
  <c r="H210" i="3"/>
  <c r="H157" i="3"/>
  <c r="H100" i="3"/>
  <c r="H38" i="3"/>
  <c r="H55" i="3"/>
  <c r="H737" i="3"/>
  <c r="H726" i="3"/>
  <c r="H725" i="3"/>
  <c r="H714" i="3"/>
  <c r="H713" i="3"/>
  <c r="H698" i="3"/>
  <c r="H699" i="3"/>
  <c r="H689" i="3"/>
  <c r="H690" i="3"/>
  <c r="H678" i="3"/>
  <c r="H677" i="3"/>
  <c r="H666" i="3"/>
  <c r="H665" i="3"/>
  <c r="H650" i="3"/>
  <c r="H651" i="3"/>
  <c r="H641" i="3"/>
  <c r="H642" i="3"/>
  <c r="H630" i="3"/>
  <c r="H629" i="3"/>
  <c r="H618" i="3"/>
  <c r="H617" i="3"/>
  <c r="H602" i="3"/>
  <c r="H603" i="3"/>
  <c r="H593" i="3"/>
  <c r="H594" i="3"/>
  <c r="H582" i="3"/>
  <c r="H581" i="3"/>
  <c r="H570" i="3"/>
  <c r="H569" i="3"/>
  <c r="H554" i="3"/>
  <c r="H555" i="3"/>
  <c r="H545" i="3"/>
  <c r="H546" i="3"/>
  <c r="H534" i="3"/>
  <c r="H533" i="3"/>
  <c r="H522" i="3"/>
  <c r="H521" i="3"/>
  <c r="H505" i="3"/>
  <c r="H504" i="3"/>
  <c r="H497" i="3"/>
  <c r="H498" i="3"/>
  <c r="H485" i="3"/>
  <c r="H486" i="3"/>
  <c r="H474" i="3"/>
  <c r="H468" i="3"/>
  <c r="H469" i="3"/>
  <c r="H462" i="3"/>
  <c r="H450" i="3"/>
  <c r="H438" i="3"/>
  <c r="H432" i="3"/>
  <c r="H433" i="3"/>
  <c r="H426" i="3"/>
  <c r="H724" i="3"/>
  <c r="H712" i="3"/>
  <c r="H696" i="3"/>
  <c r="H676" i="3"/>
  <c r="H664" i="3"/>
  <c r="H648" i="3"/>
  <c r="H628" i="3"/>
  <c r="H616" i="3"/>
  <c r="H600" i="3"/>
  <c r="H580" i="3"/>
  <c r="H568" i="3"/>
  <c r="H552" i="3"/>
  <c r="H532" i="3"/>
  <c r="H483" i="3"/>
  <c r="H362" i="3"/>
  <c r="H326" i="3"/>
  <c r="H470" i="3"/>
  <c r="H418" i="3"/>
  <c r="H366" i="3"/>
  <c r="H313" i="3"/>
  <c r="H261" i="3"/>
  <c r="H209" i="3"/>
  <c r="H156" i="3"/>
  <c r="H99" i="3"/>
  <c r="H36" i="3"/>
  <c r="H691" i="3"/>
  <c r="H692" i="3"/>
  <c r="H632" i="3"/>
  <c r="H631" i="3"/>
  <c r="H464" i="3"/>
  <c r="H463" i="3"/>
  <c r="H380" i="3"/>
  <c r="H379" i="3"/>
  <c r="H489" i="3"/>
  <c r="H227" i="3"/>
  <c r="H121" i="3"/>
  <c r="H487" i="3"/>
  <c r="H475" i="3"/>
  <c r="H343" i="3"/>
  <c r="H307" i="3"/>
  <c r="H187" i="3"/>
  <c r="H163" i="3"/>
  <c r="H103" i="3"/>
  <c r="H43" i="3"/>
  <c r="H624" i="3"/>
  <c r="H319" i="3"/>
  <c r="H723" i="3"/>
  <c r="H711" i="3"/>
  <c r="H675" i="3"/>
  <c r="H663" i="3"/>
  <c r="H627" i="3"/>
  <c r="H615" i="3"/>
  <c r="H579" i="3"/>
  <c r="H567" i="3"/>
  <c r="H531" i="3"/>
  <c r="H518" i="3"/>
  <c r="H495" i="3"/>
  <c r="H482" i="3"/>
  <c r="H459" i="3"/>
  <c r="H374" i="3"/>
  <c r="H361" i="3"/>
  <c r="H338" i="3"/>
  <c r="H325" i="3"/>
  <c r="H302" i="3"/>
  <c r="H255" i="3"/>
  <c r="H217" i="3"/>
  <c r="H204" i="3"/>
  <c r="H181" i="3"/>
  <c r="H168" i="3"/>
  <c r="H145" i="3"/>
  <c r="H132" i="3"/>
  <c r="H110" i="3"/>
  <c r="H50" i="3"/>
  <c r="H27" i="3"/>
  <c r="H703" i="3"/>
  <c r="H655" i="3"/>
  <c r="H607" i="3"/>
  <c r="H559" i="3"/>
  <c r="H510" i="3"/>
  <c r="H457" i="3"/>
  <c r="H353" i="3"/>
  <c r="H300" i="3"/>
  <c r="H248" i="3"/>
  <c r="H195" i="3"/>
  <c r="H143" i="3"/>
  <c r="H84" i="3"/>
  <c r="H722" i="3"/>
  <c r="H710" i="3"/>
  <c r="H674" i="3"/>
  <c r="H662" i="3"/>
  <c r="H626" i="3"/>
  <c r="H614" i="3"/>
  <c r="H578" i="3"/>
  <c r="H566" i="3"/>
  <c r="H530" i="3"/>
  <c r="H494" i="3"/>
  <c r="H458" i="3"/>
  <c r="H410" i="3"/>
  <c r="H218" i="3"/>
  <c r="H182" i="3"/>
  <c r="H702" i="3"/>
  <c r="H654" i="3"/>
  <c r="H606" i="3"/>
  <c r="H558" i="3"/>
  <c r="H509" i="3"/>
  <c r="H456" i="3"/>
  <c r="H404" i="3"/>
  <c r="H351" i="3"/>
  <c r="H299" i="3"/>
  <c r="H247" i="3"/>
  <c r="H194" i="3"/>
  <c r="H142" i="3"/>
  <c r="H517" i="3"/>
  <c r="H481" i="3"/>
  <c r="H445" i="3"/>
  <c r="H373" i="3"/>
  <c r="H337" i="3"/>
  <c r="H301" i="3"/>
  <c r="H253" i="3"/>
  <c r="H85" i="3"/>
  <c r="H49" i="3"/>
  <c r="H701" i="3"/>
  <c r="H653" i="3"/>
  <c r="H557" i="3"/>
  <c r="H455" i="3"/>
  <c r="H193" i="3"/>
  <c r="H80" i="3"/>
  <c r="H708" i="3"/>
  <c r="H660" i="3"/>
  <c r="H612" i="3"/>
  <c r="H564" i="3"/>
  <c r="H479" i="3"/>
  <c r="H443" i="3"/>
  <c r="H360" i="3"/>
  <c r="H324" i="3"/>
  <c r="H288" i="3"/>
  <c r="H216" i="3"/>
  <c r="H180" i="3"/>
  <c r="H144" i="3"/>
  <c r="H108" i="3"/>
  <c r="H47" i="3"/>
  <c r="H24" i="3"/>
  <c r="H700" i="3"/>
  <c r="H652" i="3"/>
  <c r="H604" i="3"/>
  <c r="H556" i="3"/>
  <c r="H506" i="3"/>
  <c r="H454" i="3"/>
  <c r="H402" i="3"/>
  <c r="H349" i="3"/>
  <c r="H297" i="3"/>
  <c r="H245" i="3"/>
  <c r="H192" i="3"/>
  <c r="H680" i="3"/>
  <c r="H679" i="3"/>
  <c r="H643" i="3"/>
  <c r="H644" i="3"/>
  <c r="H595" i="3"/>
  <c r="H596" i="3"/>
  <c r="H536" i="3"/>
  <c r="H535" i="3"/>
  <c r="H415" i="3"/>
  <c r="H416" i="3"/>
  <c r="H391" i="3"/>
  <c r="H392" i="3"/>
  <c r="H356" i="3"/>
  <c r="H355" i="3"/>
  <c r="H296" i="3"/>
  <c r="H295" i="3"/>
  <c r="H684" i="3"/>
  <c r="H437" i="3"/>
  <c r="H515" i="3"/>
  <c r="H287" i="3"/>
  <c r="H167" i="3"/>
  <c r="H640" i="3"/>
  <c r="H389" i="3"/>
  <c r="H63" i="3"/>
  <c r="H284" i="3"/>
  <c r="H126" i="3"/>
  <c r="H730" i="3"/>
  <c r="H718" i="3"/>
  <c r="H706" i="3"/>
  <c r="H694" i="3"/>
  <c r="H682" i="3"/>
  <c r="H670" i="3"/>
  <c r="H658" i="3"/>
  <c r="H646" i="3"/>
  <c r="H634" i="3"/>
  <c r="H622" i="3"/>
  <c r="H610" i="3"/>
  <c r="H598" i="3"/>
  <c r="H586" i="3"/>
  <c r="H574" i="3"/>
  <c r="H562" i="3"/>
  <c r="H550" i="3"/>
  <c r="H538" i="3"/>
  <c r="H526" i="3"/>
  <c r="H514" i="3"/>
  <c r="H502" i="3"/>
  <c r="H490" i="3"/>
  <c r="H478" i="3"/>
  <c r="H466" i="3"/>
  <c r="H442" i="3"/>
  <c r="H430" i="3"/>
  <c r="H406" i="3"/>
  <c r="H394" i="3"/>
  <c r="H382" i="3"/>
  <c r="H370" i="3"/>
  <c r="H358" i="3"/>
  <c r="H346" i="3"/>
  <c r="H322" i="3"/>
  <c r="H310" i="3"/>
  <c r="H286" i="3"/>
  <c r="H274" i="3"/>
  <c r="H250" i="3"/>
  <c r="H238" i="3"/>
  <c r="H226" i="3"/>
  <c r="H202" i="3"/>
  <c r="H190" i="3"/>
  <c r="H166" i="3"/>
  <c r="H154" i="3"/>
  <c r="H130" i="3"/>
  <c r="H118" i="3"/>
  <c r="H106" i="3"/>
  <c r="H94" i="3"/>
  <c r="H82" i="3"/>
  <c r="H70" i="3"/>
  <c r="H58" i="3"/>
  <c r="H46" i="3"/>
  <c r="H34" i="3"/>
  <c r="H735" i="3"/>
  <c r="H687" i="3"/>
  <c r="H639" i="3"/>
  <c r="H591" i="3"/>
  <c r="H543" i="3"/>
  <c r="H492" i="3"/>
  <c r="H440" i="3"/>
  <c r="H387" i="3"/>
  <c r="H335" i="3"/>
  <c r="H283" i="3"/>
  <c r="H230" i="3"/>
  <c r="H728" i="3"/>
  <c r="H727" i="3"/>
  <c r="H608" i="3"/>
  <c r="H584" i="3"/>
  <c r="H583" i="3"/>
  <c r="H547" i="3"/>
  <c r="H548" i="3"/>
  <c r="H511" i="3"/>
  <c r="H512" i="3"/>
  <c r="H500" i="3"/>
  <c r="H499" i="3"/>
  <c r="H427" i="3"/>
  <c r="H428" i="3"/>
  <c r="H308" i="3"/>
  <c r="H271" i="3"/>
  <c r="H272" i="3"/>
  <c r="H260" i="3"/>
  <c r="H259" i="3"/>
  <c r="H235" i="3"/>
  <c r="H236" i="3"/>
  <c r="H223" i="3"/>
  <c r="H224" i="3"/>
  <c r="H188" i="3"/>
  <c r="H176" i="3"/>
  <c r="H164" i="3"/>
  <c r="H152" i="3"/>
  <c r="H151" i="3"/>
  <c r="H139" i="3"/>
  <c r="H127" i="3"/>
  <c r="H128" i="3"/>
  <c r="H115" i="3"/>
  <c r="H116" i="3"/>
  <c r="H92" i="3"/>
  <c r="H91" i="3"/>
  <c r="H67" i="3"/>
  <c r="H68" i="3"/>
  <c r="H31" i="3"/>
  <c r="H32" i="3"/>
  <c r="H636" i="3"/>
  <c r="H540" i="3"/>
  <c r="H384" i="3"/>
  <c r="H59" i="3"/>
  <c r="H451" i="3"/>
  <c r="H331" i="3"/>
  <c r="H199" i="3"/>
  <c r="H42" i="3"/>
  <c r="H323" i="3"/>
  <c r="H203" i="3"/>
  <c r="H131" i="3"/>
  <c r="H688" i="3"/>
  <c r="H592" i="3"/>
  <c r="H441" i="3"/>
  <c r="H336" i="3"/>
  <c r="H179" i="3"/>
  <c r="H729" i="3"/>
  <c r="H705" i="3"/>
  <c r="H693" i="3"/>
  <c r="H681" i="3"/>
  <c r="H657" i="3"/>
  <c r="H645" i="3"/>
  <c r="H633" i="3"/>
  <c r="H609" i="3"/>
  <c r="H597" i="3"/>
  <c r="H585" i="3"/>
  <c r="H561" i="3"/>
  <c r="H549" i="3"/>
  <c r="H537" i="3"/>
  <c r="H513" i="3"/>
  <c r="H501" i="3"/>
  <c r="H477" i="3"/>
  <c r="H465" i="3"/>
  <c r="H453" i="3"/>
  <c r="H429" i="3"/>
  <c r="H417" i="3"/>
  <c r="H393" i="3"/>
  <c r="H381" i="3"/>
  <c r="H369" i="3"/>
  <c r="H357" i="3"/>
  <c r="H345" i="3"/>
  <c r="H333" i="3"/>
  <c r="H321" i="3"/>
  <c r="H309" i="3"/>
  <c r="H285" i="3"/>
  <c r="H273" i="3"/>
  <c r="H249" i="3"/>
  <c r="H237" i="3"/>
  <c r="H225" i="3"/>
  <c r="H213" i="3"/>
  <c r="H201" i="3"/>
  <c r="H189" i="3"/>
  <c r="H165" i="3"/>
  <c r="H153" i="3"/>
  <c r="H129" i="3"/>
  <c r="H117" i="3"/>
  <c r="H105" i="3"/>
  <c r="H93" i="3"/>
  <c r="H81" i="3"/>
  <c r="H69" i="3"/>
  <c r="H57" i="3"/>
  <c r="H45" i="3"/>
  <c r="H33" i="3"/>
  <c r="H734" i="3"/>
  <c r="H686" i="3"/>
  <c r="H638" i="3"/>
  <c r="H590" i="3"/>
  <c r="H542" i="3"/>
  <c r="H491" i="3"/>
  <c r="H386" i="3"/>
  <c r="H282" i="3"/>
  <c r="H229" i="3"/>
  <c r="H124" i="3"/>
  <c r="H61" i="3"/>
  <c r="H54" i="3"/>
  <c r="H425" i="3"/>
  <c r="H317" i="3"/>
  <c r="H173" i="3"/>
  <c r="H137" i="3"/>
  <c r="H97" i="3"/>
  <c r="H508" i="3"/>
  <c r="H472" i="3"/>
  <c r="H436" i="3"/>
  <c r="H388" i="3"/>
  <c r="H352" i="3"/>
  <c r="H316" i="3"/>
  <c r="H280" i="3"/>
  <c r="H244" i="3"/>
  <c r="H208" i="3"/>
  <c r="H40" i="3"/>
  <c r="H431" i="3"/>
  <c r="H205" i="3"/>
  <c r="H447" i="3"/>
  <c r="H267" i="3"/>
  <c r="H123" i="3"/>
  <c r="H75" i="3"/>
  <c r="H113" i="3"/>
  <c r="H434" i="3"/>
  <c r="H422" i="3"/>
  <c r="H398" i="3"/>
  <c r="H290" i="3"/>
  <c r="H278" i="3"/>
  <c r="H254" i="3"/>
  <c r="H146" i="3"/>
  <c r="H134" i="3"/>
  <c r="H122" i="3"/>
  <c r="H26" i="3"/>
  <c r="H219" i="3"/>
  <c r="H183" i="3"/>
  <c r="H112" i="3"/>
  <c r="H29" i="3"/>
  <c r="H150" i="3"/>
  <c r="H102" i="3"/>
  <c r="H191" i="3"/>
  <c r="H98" i="3"/>
  <c r="H77" i="3"/>
  <c r="H449" i="3"/>
  <c r="H305" i="3"/>
  <c r="H161" i="3"/>
  <c r="H41" i="3"/>
  <c r="H138" i="3"/>
  <c r="H76" i="3"/>
  <c r="H496" i="3"/>
  <c r="H460" i="3"/>
  <c r="H424" i="3"/>
  <c r="H400" i="3"/>
  <c r="H364" i="3"/>
  <c r="H328" i="3"/>
  <c r="H292" i="3"/>
  <c r="H256" i="3"/>
  <c r="H220" i="3"/>
  <c r="H184" i="3"/>
  <c r="H88" i="3"/>
  <c r="H467" i="3"/>
  <c r="H240" i="3"/>
  <c r="H411" i="3"/>
  <c r="H159" i="3"/>
  <c r="H87" i="3"/>
  <c r="H733" i="3"/>
  <c r="H721" i="3"/>
  <c r="H709" i="3"/>
  <c r="H697" i="3"/>
  <c r="H685" i="3"/>
  <c r="H673" i="3"/>
  <c r="H661" i="3"/>
  <c r="H649" i="3"/>
  <c r="H637" i="3"/>
  <c r="H625" i="3"/>
  <c r="H613" i="3"/>
  <c r="H601" i="3"/>
  <c r="H589" i="3"/>
  <c r="H577" i="3"/>
  <c r="H565" i="3"/>
  <c r="H553" i="3"/>
  <c r="H541" i="3"/>
  <c r="H529" i="3"/>
  <c r="H421" i="3"/>
  <c r="H409" i="3"/>
  <c r="H385" i="3"/>
  <c r="H277" i="3"/>
  <c r="H265" i="3"/>
  <c r="H241" i="3"/>
  <c r="H133" i="3"/>
  <c r="H109" i="3"/>
  <c r="H73" i="3"/>
  <c r="H37" i="3"/>
  <c r="H25" i="3"/>
  <c r="H480" i="3"/>
  <c r="H444" i="3"/>
  <c r="H375" i="3"/>
  <c r="H339" i="3"/>
  <c r="H149" i="3"/>
  <c r="H111" i="3"/>
  <c r="H48" i="3"/>
  <c r="H291" i="3"/>
  <c r="H289" i="3"/>
  <c r="H516" i="3"/>
  <c r="H408" i="3"/>
  <c r="H396" i="3"/>
  <c r="H372" i="3"/>
  <c r="H264" i="3"/>
  <c r="H252" i="3"/>
  <c r="H228" i="3"/>
  <c r="H120" i="3"/>
  <c r="H72" i="3"/>
  <c r="H60" i="3"/>
  <c r="H407" i="3"/>
  <c r="H198" i="3"/>
  <c r="H86" i="3"/>
  <c r="H66" i="3"/>
  <c r="H186" i="3"/>
  <c r="H90" i="3"/>
  <c r="H461" i="3"/>
  <c r="H281" i="3"/>
  <c r="H53" i="3"/>
  <c r="H520" i="3"/>
  <c r="H484" i="3"/>
  <c r="H448" i="3"/>
  <c r="H412" i="3"/>
  <c r="H376" i="3"/>
  <c r="H340" i="3"/>
  <c r="H304" i="3"/>
  <c r="H268" i="3"/>
  <c r="H232" i="3"/>
  <c r="H196" i="3"/>
  <c r="H28" i="3"/>
  <c r="H519" i="3"/>
  <c r="H397" i="3"/>
  <c r="H435" i="3"/>
  <c r="H303" i="3"/>
  <c r="H147" i="3"/>
  <c r="H51" i="3"/>
  <c r="H446" i="3"/>
  <c r="H71" i="3"/>
  <c r="H731" i="3"/>
  <c r="H719" i="3"/>
  <c r="H707" i="3"/>
  <c r="H695" i="3"/>
  <c r="H683" i="3"/>
  <c r="H671" i="3"/>
  <c r="H659" i="3"/>
  <c r="H647" i="3"/>
  <c r="H635" i="3"/>
  <c r="H623" i="3"/>
  <c r="H611" i="3"/>
  <c r="H599" i="3"/>
  <c r="H587" i="3"/>
  <c r="H575" i="3"/>
  <c r="H563" i="3"/>
  <c r="H551" i="3"/>
  <c r="H539" i="3"/>
  <c r="H527" i="3"/>
  <c r="H503" i="3"/>
  <c r="H395" i="3"/>
  <c r="H383" i="3"/>
  <c r="H359" i="3"/>
  <c r="H251" i="3"/>
  <c r="H239" i="3"/>
  <c r="H215" i="3"/>
  <c r="H119" i="3"/>
  <c r="H107" i="3"/>
  <c r="H95" i="3"/>
  <c r="H79" i="3"/>
  <c r="H65" i="3"/>
  <c r="H172" i="3"/>
  <c r="H160" i="3"/>
  <c r="H148" i="3"/>
  <c r="H136" i="3"/>
  <c r="D21" i="3" l="1"/>
  <c r="T733" i="3"/>
  <c r="T732" i="3"/>
  <c r="T730" i="3"/>
  <c r="T728" i="3"/>
  <c r="T727" i="3"/>
  <c r="T726" i="3"/>
  <c r="T725" i="3"/>
  <c r="T724" i="3"/>
  <c r="T722" i="3"/>
  <c r="T721" i="3"/>
  <c r="T719" i="3"/>
  <c r="T715" i="3"/>
  <c r="T714" i="3"/>
  <c r="T712" i="3"/>
  <c r="T710" i="3"/>
  <c r="T709" i="3"/>
  <c r="T707" i="3"/>
  <c r="T706" i="3"/>
  <c r="T705" i="3"/>
  <c r="T704" i="3"/>
  <c r="T703" i="3"/>
  <c r="T702" i="3"/>
  <c r="T701" i="3"/>
  <c r="T700" i="3"/>
  <c r="T699" i="3"/>
  <c r="T698" i="3"/>
  <c r="T697" i="3"/>
  <c r="T693" i="3"/>
  <c r="T692" i="3"/>
  <c r="T691" i="3"/>
  <c r="T689" i="3"/>
  <c r="T688" i="3"/>
  <c r="T687" i="3"/>
  <c r="T685" i="3"/>
  <c r="T684" i="3"/>
  <c r="T683" i="3"/>
  <c r="T681" i="3"/>
  <c r="T679" i="3"/>
  <c r="T678" i="3"/>
  <c r="T677" i="3"/>
  <c r="T676" i="3"/>
  <c r="T675" i="3"/>
  <c r="T674" i="3"/>
  <c r="T673" i="3"/>
  <c r="T671" i="3"/>
  <c r="T669" i="3"/>
  <c r="T668" i="3"/>
  <c r="T667" i="3"/>
  <c r="T665" i="3"/>
  <c r="T664" i="3"/>
  <c r="T663" i="3"/>
  <c r="T659" i="3"/>
  <c r="T657" i="3"/>
  <c r="T655" i="3"/>
  <c r="T654" i="3"/>
  <c r="T651" i="3"/>
  <c r="T649" i="3"/>
  <c r="T648" i="3"/>
  <c r="T646" i="3"/>
  <c r="T645" i="3"/>
  <c r="T644" i="3"/>
  <c r="T640" i="3"/>
  <c r="T637" i="3"/>
  <c r="T636" i="3"/>
  <c r="T633" i="3"/>
  <c r="T632" i="3"/>
  <c r="T631" i="3"/>
  <c r="T629" i="3"/>
  <c r="T628" i="3"/>
  <c r="T627" i="3"/>
  <c r="T626" i="3"/>
  <c r="T625" i="3"/>
  <c r="T623" i="3"/>
  <c r="T622" i="3"/>
  <c r="T621" i="3"/>
  <c r="T620" i="3"/>
  <c r="T618" i="3"/>
  <c r="T615" i="3"/>
  <c r="T614" i="3"/>
  <c r="T612" i="3"/>
  <c r="T609" i="3"/>
  <c r="T608" i="3"/>
  <c r="T606" i="3"/>
  <c r="T605" i="3"/>
  <c r="T601" i="3"/>
  <c r="T600" i="3"/>
  <c r="T599" i="3"/>
  <c r="T596" i="3"/>
  <c r="T595" i="3"/>
  <c r="T594" i="3"/>
  <c r="T593" i="3"/>
  <c r="T592" i="3"/>
  <c r="T591" i="3"/>
  <c r="T590" i="3"/>
  <c r="T589" i="3"/>
  <c r="T586" i="3"/>
  <c r="T585" i="3"/>
  <c r="T584" i="3"/>
  <c r="T580" i="3"/>
  <c r="T578" i="3"/>
  <c r="T576" i="3"/>
  <c r="T575" i="3"/>
  <c r="T574" i="3"/>
  <c r="T573" i="3"/>
  <c r="T571" i="3"/>
  <c r="T569" i="3"/>
  <c r="T568" i="3"/>
  <c r="T566" i="3"/>
  <c r="T565" i="3"/>
  <c r="T563" i="3"/>
  <c r="T562" i="3"/>
  <c r="T561" i="3"/>
  <c r="T560" i="3"/>
  <c r="T559" i="3"/>
  <c r="T557" i="3"/>
  <c r="T556" i="3"/>
  <c r="T553" i="3"/>
  <c r="T552" i="3"/>
  <c r="T550" i="3"/>
  <c r="T549" i="3"/>
  <c r="T548" i="3"/>
  <c r="T546" i="3"/>
  <c r="T545" i="3"/>
  <c r="T544" i="3"/>
  <c r="T543" i="3"/>
  <c r="T542" i="3"/>
  <c r="T541" i="3"/>
  <c r="T540" i="3"/>
  <c r="T539" i="3"/>
  <c r="T538" i="3"/>
  <c r="T537" i="3"/>
  <c r="T536" i="3"/>
  <c r="T535" i="3"/>
  <c r="T533" i="3"/>
  <c r="T532" i="3"/>
  <c r="T530" i="3"/>
  <c r="T529" i="3"/>
  <c r="T528" i="3"/>
  <c r="T527" i="3"/>
  <c r="T526" i="3"/>
  <c r="T525" i="3"/>
  <c r="T524" i="3"/>
  <c r="T521" i="3"/>
  <c r="T520" i="3"/>
  <c r="T519" i="3"/>
  <c r="T517" i="3"/>
  <c r="T516" i="3"/>
  <c r="T515" i="3"/>
  <c r="T514" i="3"/>
  <c r="T511" i="3"/>
  <c r="T510" i="3"/>
  <c r="T508" i="3"/>
  <c r="T507" i="3"/>
  <c r="T506" i="3"/>
  <c r="T504" i="3"/>
  <c r="T502" i="3"/>
  <c r="T501" i="3"/>
  <c r="T500" i="3"/>
  <c r="T497" i="3"/>
  <c r="T496" i="3"/>
  <c r="T495" i="3"/>
  <c r="T494" i="3"/>
  <c r="T491" i="3"/>
  <c r="T487" i="3"/>
  <c r="T486" i="3"/>
  <c r="T485" i="3"/>
  <c r="T484" i="3"/>
  <c r="T483" i="3"/>
  <c r="T482" i="3"/>
  <c r="T481" i="3"/>
  <c r="T480" i="3"/>
  <c r="T479" i="3"/>
  <c r="T478" i="3"/>
  <c r="T477" i="3"/>
  <c r="T476" i="3"/>
  <c r="T472" i="3"/>
  <c r="T471" i="3"/>
  <c r="T469" i="3"/>
  <c r="T467" i="3"/>
  <c r="T466" i="3"/>
  <c r="T465" i="3"/>
  <c r="T463" i="3"/>
  <c r="T461" i="3"/>
  <c r="T460" i="3"/>
  <c r="T459" i="3"/>
  <c r="T458" i="3"/>
  <c r="T457" i="3"/>
  <c r="T455" i="3"/>
  <c r="T453" i="3"/>
  <c r="T451" i="3"/>
  <c r="T450" i="3"/>
  <c r="T449" i="3"/>
  <c r="T448" i="3"/>
  <c r="T447" i="3"/>
  <c r="T445" i="3"/>
  <c r="T444" i="3"/>
  <c r="T442" i="3"/>
  <c r="T441" i="3"/>
  <c r="T439" i="3"/>
  <c r="T435" i="3"/>
  <c r="T434" i="3"/>
  <c r="T431" i="3"/>
  <c r="T428" i="3"/>
  <c r="T426" i="3"/>
  <c r="T425" i="3"/>
  <c r="T424" i="3"/>
  <c r="T423" i="3"/>
  <c r="T422" i="3"/>
  <c r="T420" i="3"/>
  <c r="T418" i="3"/>
  <c r="T417" i="3"/>
  <c r="T416" i="3"/>
  <c r="T414" i="3"/>
  <c r="T413" i="3"/>
  <c r="T411" i="3"/>
  <c r="T409" i="3"/>
  <c r="T408" i="3"/>
  <c r="T407" i="3"/>
  <c r="T406" i="3"/>
  <c r="T404" i="3"/>
  <c r="T403" i="3"/>
  <c r="T399" i="3"/>
  <c r="T398" i="3"/>
  <c r="T395" i="3"/>
  <c r="T394" i="3"/>
  <c r="T391" i="3"/>
  <c r="T390" i="3"/>
  <c r="T389" i="3"/>
  <c r="T388" i="3"/>
  <c r="T387" i="3"/>
  <c r="T386" i="3"/>
  <c r="T384" i="3"/>
  <c r="T382" i="3"/>
  <c r="T381" i="3"/>
  <c r="T380" i="3"/>
  <c r="T378" i="3"/>
  <c r="T377" i="3"/>
  <c r="T374" i="3"/>
  <c r="T372" i="3"/>
  <c r="T371" i="3"/>
  <c r="T370" i="3"/>
  <c r="T368" i="3"/>
  <c r="T366" i="3"/>
  <c r="T365" i="3"/>
  <c r="T364" i="3"/>
  <c r="T362" i="3"/>
  <c r="T360" i="3"/>
  <c r="T359" i="3"/>
  <c r="T358" i="3"/>
  <c r="T357" i="3"/>
  <c r="T356" i="3"/>
  <c r="T355" i="3"/>
  <c r="T354" i="3"/>
  <c r="T353" i="3"/>
  <c r="T352" i="3"/>
  <c r="T351" i="3"/>
  <c r="T350" i="3"/>
  <c r="T349" i="3"/>
  <c r="T347" i="3"/>
  <c r="T345" i="3"/>
  <c r="T344" i="3"/>
  <c r="T343" i="3"/>
  <c r="T341" i="3"/>
  <c r="T340" i="3"/>
  <c r="T339" i="3"/>
  <c r="T338" i="3"/>
  <c r="T337" i="3"/>
  <c r="T336" i="3"/>
  <c r="T335" i="3"/>
  <c r="T334" i="3"/>
  <c r="T332" i="3"/>
  <c r="T331" i="3"/>
  <c r="T329" i="3"/>
  <c r="T326" i="3"/>
  <c r="T325" i="3"/>
  <c r="T320" i="3"/>
  <c r="T318" i="3"/>
  <c r="T317" i="3"/>
  <c r="T316" i="3"/>
  <c r="T313" i="3"/>
  <c r="T311" i="3"/>
  <c r="T310" i="3"/>
  <c r="T309" i="3"/>
  <c r="T308" i="3"/>
  <c r="T306" i="3"/>
  <c r="T305" i="3"/>
  <c r="T304" i="3"/>
  <c r="T303" i="3"/>
  <c r="T301" i="3"/>
  <c r="T299" i="3"/>
  <c r="T298" i="3"/>
  <c r="T296" i="3"/>
  <c r="T295" i="3"/>
  <c r="T294" i="3"/>
  <c r="T293" i="3"/>
  <c r="T291" i="3"/>
  <c r="T290" i="3"/>
  <c r="T289" i="3"/>
  <c r="T288" i="3"/>
  <c r="T287" i="3"/>
  <c r="T285" i="3"/>
  <c r="T284" i="3"/>
  <c r="T283" i="3"/>
  <c r="T282" i="3"/>
  <c r="T279" i="3"/>
  <c r="T278" i="3"/>
  <c r="T276" i="3"/>
  <c r="T275" i="3"/>
  <c r="T273" i="3"/>
  <c r="T272" i="3"/>
  <c r="T269" i="3"/>
  <c r="T268" i="3"/>
  <c r="T267" i="3"/>
  <c r="T264" i="3"/>
  <c r="T263" i="3"/>
  <c r="T262" i="3"/>
  <c r="T261" i="3"/>
  <c r="T260" i="3"/>
  <c r="T259" i="3"/>
  <c r="T256" i="3"/>
  <c r="T254" i="3"/>
  <c r="T253" i="3"/>
  <c r="T251" i="3"/>
  <c r="T250" i="3"/>
  <c r="T248" i="3"/>
  <c r="T246" i="3"/>
  <c r="T245" i="3"/>
  <c r="T244" i="3"/>
  <c r="T243" i="3"/>
  <c r="T242" i="3"/>
  <c r="T241" i="3"/>
  <c r="T239" i="3"/>
  <c r="T238" i="3"/>
  <c r="T237" i="3"/>
  <c r="T236" i="3"/>
  <c r="T233" i="3"/>
  <c r="T231" i="3"/>
  <c r="T230" i="3"/>
  <c r="T229" i="3"/>
  <c r="T228" i="3"/>
  <c r="T227" i="3"/>
  <c r="T226" i="3"/>
  <c r="T225" i="3"/>
  <c r="T224" i="3"/>
  <c r="T223" i="3"/>
  <c r="T221" i="3"/>
  <c r="T220" i="3"/>
  <c r="T219" i="3"/>
  <c r="T217" i="3"/>
  <c r="T216" i="3"/>
  <c r="T215" i="3"/>
  <c r="T213" i="3"/>
  <c r="T212" i="3"/>
  <c r="T211" i="3"/>
  <c r="T210" i="3"/>
  <c r="T208" i="3"/>
  <c r="T207" i="3"/>
  <c r="T205" i="3"/>
  <c r="T204" i="3"/>
  <c r="T203" i="3"/>
  <c r="T202" i="3"/>
  <c r="T201" i="3"/>
  <c r="T200" i="3"/>
  <c r="T199" i="3"/>
  <c r="T198" i="3"/>
  <c r="T197" i="3"/>
  <c r="T196" i="3"/>
  <c r="T195" i="3"/>
  <c r="T193" i="3"/>
  <c r="T192" i="3"/>
  <c r="T189" i="3"/>
  <c r="T187" i="3"/>
  <c r="T186" i="3"/>
  <c r="T185" i="3"/>
  <c r="T182" i="3"/>
  <c r="T177" i="3"/>
  <c r="T176" i="3"/>
  <c r="T175" i="3"/>
  <c r="T174" i="3"/>
  <c r="T173" i="3"/>
  <c r="T170" i="3"/>
  <c r="T168" i="3"/>
  <c r="T167" i="3"/>
  <c r="T166" i="3"/>
  <c r="T163" i="3"/>
  <c r="T162" i="3"/>
  <c r="F161" i="3"/>
  <c r="T160" i="3"/>
  <c r="T159" i="3"/>
  <c r="T157" i="3"/>
  <c r="T156" i="3"/>
  <c r="T155" i="3"/>
  <c r="T154" i="3"/>
  <c r="T153" i="3"/>
  <c r="T152" i="3"/>
  <c r="T151" i="3"/>
  <c r="T148" i="3"/>
  <c r="T147" i="3"/>
  <c r="T146" i="3"/>
  <c r="T144" i="3"/>
  <c r="T143" i="3"/>
  <c r="T140" i="3"/>
  <c r="T139" i="3"/>
  <c r="T138" i="3"/>
  <c r="T136" i="3"/>
  <c r="T135" i="3"/>
  <c r="T132" i="3"/>
  <c r="T131" i="3"/>
  <c r="T128" i="3"/>
  <c r="T127" i="3"/>
  <c r="T124" i="3"/>
  <c r="T123" i="3"/>
  <c r="T122" i="3"/>
  <c r="T120" i="3"/>
  <c r="T119" i="3"/>
  <c r="T116" i="3"/>
  <c r="T114" i="3"/>
  <c r="T112" i="3"/>
  <c r="T108" i="3"/>
  <c r="T103" i="3"/>
  <c r="T100" i="3"/>
  <c r="T99" i="3"/>
  <c r="T98" i="3"/>
  <c r="T96" i="3"/>
  <c r="T95" i="3"/>
  <c r="T91" i="3"/>
  <c r="T87" i="3"/>
  <c r="T85" i="3"/>
  <c r="T81" i="3"/>
  <c r="T79" i="3"/>
  <c r="T73" i="3"/>
  <c r="T67" i="3"/>
  <c r="T63" i="3"/>
  <c r="T61" i="3"/>
  <c r="T57" i="3"/>
  <c r="T55" i="3"/>
  <c r="T51" i="3"/>
  <c r="T50" i="3"/>
  <c r="T48" i="3"/>
  <c r="T47" i="3"/>
  <c r="T46" i="3"/>
  <c r="T45" i="3"/>
  <c r="T44" i="3"/>
  <c r="T42" i="3"/>
  <c r="T41" i="3"/>
  <c r="T39" i="3"/>
  <c r="T38" i="3"/>
  <c r="T37" i="3"/>
  <c r="T36" i="3"/>
  <c r="T35" i="3"/>
  <c r="T33" i="3"/>
  <c r="T29" i="3"/>
  <c r="T28" i="3"/>
  <c r="T27" i="3"/>
  <c r="T26" i="3"/>
  <c r="T24" i="3"/>
  <c r="T23" i="3"/>
  <c r="T21" i="3"/>
  <c r="L21" i="3"/>
  <c r="J21" i="3"/>
  <c r="I21" i="3"/>
  <c r="T19" i="3"/>
  <c r="T18" i="3"/>
  <c r="T16" i="3"/>
  <c r="T14" i="3"/>
  <c r="T13" i="3"/>
  <c r="T12" i="3"/>
  <c r="T11" i="3"/>
  <c r="T9" i="3"/>
  <c r="T8" i="3"/>
  <c r="T7" i="3"/>
  <c r="T5" i="3"/>
  <c r="G4" i="3"/>
  <c r="H23" i="3" s="1"/>
  <c r="T3" i="3"/>
  <c r="P3" i="3"/>
  <c r="N3" i="3"/>
  <c r="N4" i="3" s="1"/>
  <c r="G3" i="3"/>
  <c r="C3" i="3"/>
  <c r="U3" i="3" s="1"/>
  <c r="W16" i="3" s="1"/>
  <c r="O2" i="3"/>
  <c r="O3" i="3" s="1"/>
  <c r="O4" i="3" s="1"/>
  <c r="O5" i="3" s="1"/>
  <c r="O6" i="3" s="1"/>
  <c r="O7" i="3" s="1"/>
  <c r="O8" i="3" s="1"/>
  <c r="O9" i="3" s="1"/>
  <c r="O10" i="3" s="1"/>
  <c r="O11" i="3" s="1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O54" i="3" s="1"/>
  <c r="O55" i="3" s="1"/>
  <c r="O56" i="3" s="1"/>
  <c r="O57" i="3" s="1"/>
  <c r="O58" i="3" s="1"/>
  <c r="O59" i="3" s="1"/>
  <c r="O60" i="3" s="1"/>
  <c r="O61" i="3" s="1"/>
  <c r="O62" i="3" s="1"/>
  <c r="O63" i="3" s="1"/>
  <c r="O64" i="3" s="1"/>
  <c r="O65" i="3" s="1"/>
  <c r="O66" i="3" s="1"/>
  <c r="O67" i="3" s="1"/>
  <c r="O68" i="3" s="1"/>
  <c r="O69" i="3" s="1"/>
  <c r="O70" i="3" s="1"/>
  <c r="O71" i="3" s="1"/>
  <c r="O72" i="3" s="1"/>
  <c r="O73" i="3" s="1"/>
  <c r="O74" i="3" s="1"/>
  <c r="O75" i="3" s="1"/>
  <c r="O76" i="3" s="1"/>
  <c r="O77" i="3" s="1"/>
  <c r="O78" i="3" s="1"/>
  <c r="O79" i="3" s="1"/>
  <c r="O80" i="3" s="1"/>
  <c r="O81" i="3" s="1"/>
  <c r="O82" i="3" s="1"/>
  <c r="O83" i="3" s="1"/>
  <c r="O84" i="3" s="1"/>
  <c r="O85" i="3" s="1"/>
  <c r="O86" i="3" s="1"/>
  <c r="O87" i="3" s="1"/>
  <c r="O88" i="3" s="1"/>
  <c r="O89" i="3" s="1"/>
  <c r="O90" i="3" s="1"/>
  <c r="O91" i="3" s="1"/>
  <c r="O92" i="3" s="1"/>
  <c r="O93" i="3" s="1"/>
  <c r="O94" i="3" s="1"/>
  <c r="O95" i="3" s="1"/>
  <c r="O96" i="3" s="1"/>
  <c r="O97" i="3" s="1"/>
  <c r="O98" i="3" s="1"/>
  <c r="O99" i="3" s="1"/>
  <c r="O100" i="3" s="1"/>
  <c r="O101" i="3" s="1"/>
  <c r="O102" i="3" s="1"/>
  <c r="O103" i="3" s="1"/>
  <c r="O104" i="3" s="1"/>
  <c r="O105" i="3" s="1"/>
  <c r="O106" i="3" s="1"/>
  <c r="O107" i="3" s="1"/>
  <c r="O108" i="3" s="1"/>
  <c r="O109" i="3" s="1"/>
  <c r="O110" i="3" s="1"/>
  <c r="O111" i="3" s="1"/>
  <c r="O112" i="3" s="1"/>
  <c r="O113" i="3" s="1"/>
  <c r="O114" i="3" s="1"/>
  <c r="O115" i="3" s="1"/>
  <c r="O116" i="3" s="1"/>
  <c r="O117" i="3" s="1"/>
  <c r="O118" i="3" s="1"/>
  <c r="O119" i="3" s="1"/>
  <c r="O120" i="3" s="1"/>
  <c r="O121" i="3" s="1"/>
  <c r="O122" i="3" s="1"/>
  <c r="O123" i="3" s="1"/>
  <c r="O124" i="3" s="1"/>
  <c r="O125" i="3" s="1"/>
  <c r="O126" i="3" s="1"/>
  <c r="O127" i="3" s="1"/>
  <c r="O128" i="3" s="1"/>
  <c r="O129" i="3" s="1"/>
  <c r="O130" i="3" s="1"/>
  <c r="O131" i="3" s="1"/>
  <c r="O132" i="3" s="1"/>
  <c r="O133" i="3" s="1"/>
  <c r="O134" i="3" s="1"/>
  <c r="O135" i="3" s="1"/>
  <c r="O136" i="3" s="1"/>
  <c r="O137" i="3" s="1"/>
  <c r="O138" i="3" s="1"/>
  <c r="O139" i="3" s="1"/>
  <c r="O140" i="3" s="1"/>
  <c r="O141" i="3" s="1"/>
  <c r="O142" i="3" s="1"/>
  <c r="O143" i="3" s="1"/>
  <c r="O144" i="3" s="1"/>
  <c r="O145" i="3" s="1"/>
  <c r="O146" i="3" s="1"/>
  <c r="O147" i="3" s="1"/>
  <c r="O148" i="3" s="1"/>
  <c r="O149" i="3" s="1"/>
  <c r="O150" i="3" s="1"/>
  <c r="O151" i="3" s="1"/>
  <c r="O152" i="3" s="1"/>
  <c r="O153" i="3" s="1"/>
  <c r="O154" i="3" s="1"/>
  <c r="O155" i="3" s="1"/>
  <c r="O156" i="3" s="1"/>
  <c r="O157" i="3" s="1"/>
  <c r="O158" i="3" s="1"/>
  <c r="O159" i="3" s="1"/>
  <c r="O160" i="3" s="1"/>
  <c r="O161" i="3" s="1"/>
  <c r="O162" i="3" s="1"/>
  <c r="O163" i="3" s="1"/>
  <c r="O164" i="3" s="1"/>
  <c r="O165" i="3" s="1"/>
  <c r="O166" i="3" s="1"/>
  <c r="O167" i="3" s="1"/>
  <c r="O168" i="3" s="1"/>
  <c r="O169" i="3" s="1"/>
  <c r="O170" i="3" s="1"/>
  <c r="O171" i="3" s="1"/>
  <c r="O172" i="3" s="1"/>
  <c r="O173" i="3" s="1"/>
  <c r="O174" i="3" s="1"/>
  <c r="O175" i="3" s="1"/>
  <c r="O176" i="3" s="1"/>
  <c r="O177" i="3" s="1"/>
  <c r="O178" i="3" s="1"/>
  <c r="O179" i="3" s="1"/>
  <c r="O180" i="3" s="1"/>
  <c r="O181" i="3" s="1"/>
  <c r="O182" i="3" s="1"/>
  <c r="O183" i="3" s="1"/>
  <c r="O184" i="3" s="1"/>
  <c r="O185" i="3" s="1"/>
  <c r="O186" i="3" s="1"/>
  <c r="O187" i="3" s="1"/>
  <c r="O188" i="3" s="1"/>
  <c r="O189" i="3" s="1"/>
  <c r="O190" i="3" s="1"/>
  <c r="O191" i="3" s="1"/>
  <c r="O192" i="3" s="1"/>
  <c r="O193" i="3" s="1"/>
  <c r="O194" i="3" s="1"/>
  <c r="O195" i="3" s="1"/>
  <c r="O196" i="3" s="1"/>
  <c r="O197" i="3" s="1"/>
  <c r="O198" i="3" s="1"/>
  <c r="O199" i="3" s="1"/>
  <c r="O200" i="3" s="1"/>
  <c r="O201" i="3" s="1"/>
  <c r="O202" i="3" s="1"/>
  <c r="O203" i="3" s="1"/>
  <c r="O204" i="3" s="1"/>
  <c r="O205" i="3" s="1"/>
  <c r="O206" i="3" s="1"/>
  <c r="O207" i="3" s="1"/>
  <c r="O208" i="3" s="1"/>
  <c r="O209" i="3" s="1"/>
  <c r="O210" i="3" s="1"/>
  <c r="O211" i="3" s="1"/>
  <c r="O212" i="3" s="1"/>
  <c r="O213" i="3" s="1"/>
  <c r="O214" i="3" s="1"/>
  <c r="O215" i="3" s="1"/>
  <c r="O216" i="3" s="1"/>
  <c r="O217" i="3" s="1"/>
  <c r="O218" i="3" s="1"/>
  <c r="O219" i="3" s="1"/>
  <c r="O220" i="3" s="1"/>
  <c r="O221" i="3" s="1"/>
  <c r="O222" i="3" s="1"/>
  <c r="O223" i="3" s="1"/>
  <c r="O224" i="3" s="1"/>
  <c r="O225" i="3" s="1"/>
  <c r="O226" i="3" s="1"/>
  <c r="O227" i="3" s="1"/>
  <c r="O228" i="3" s="1"/>
  <c r="O229" i="3" s="1"/>
  <c r="O230" i="3" s="1"/>
  <c r="O231" i="3" s="1"/>
  <c r="O232" i="3" s="1"/>
  <c r="O233" i="3" s="1"/>
  <c r="O234" i="3" s="1"/>
  <c r="O235" i="3" s="1"/>
  <c r="O236" i="3" s="1"/>
  <c r="O237" i="3" s="1"/>
  <c r="O238" i="3" s="1"/>
  <c r="O239" i="3" s="1"/>
  <c r="O240" i="3" s="1"/>
  <c r="O241" i="3" s="1"/>
  <c r="O242" i="3" s="1"/>
  <c r="O243" i="3" s="1"/>
  <c r="O244" i="3" s="1"/>
  <c r="O245" i="3" s="1"/>
  <c r="O246" i="3" s="1"/>
  <c r="O247" i="3" s="1"/>
  <c r="O248" i="3" s="1"/>
  <c r="O249" i="3" s="1"/>
  <c r="O250" i="3" s="1"/>
  <c r="O251" i="3" s="1"/>
  <c r="O252" i="3" s="1"/>
  <c r="O253" i="3" s="1"/>
  <c r="O254" i="3" s="1"/>
  <c r="O255" i="3" s="1"/>
  <c r="O256" i="3" s="1"/>
  <c r="O257" i="3" s="1"/>
  <c r="O258" i="3" s="1"/>
  <c r="O259" i="3" s="1"/>
  <c r="O260" i="3" s="1"/>
  <c r="O261" i="3" s="1"/>
  <c r="O262" i="3" s="1"/>
  <c r="O263" i="3" s="1"/>
  <c r="O264" i="3" s="1"/>
  <c r="O265" i="3" s="1"/>
  <c r="O266" i="3" s="1"/>
  <c r="O267" i="3" s="1"/>
  <c r="O268" i="3" s="1"/>
  <c r="O269" i="3" s="1"/>
  <c r="O270" i="3" s="1"/>
  <c r="O271" i="3" s="1"/>
  <c r="O272" i="3" s="1"/>
  <c r="O273" i="3" s="1"/>
  <c r="O274" i="3" s="1"/>
  <c r="O275" i="3" s="1"/>
  <c r="O276" i="3" s="1"/>
  <c r="O277" i="3" s="1"/>
  <c r="O278" i="3" s="1"/>
  <c r="O279" i="3" s="1"/>
  <c r="O280" i="3" s="1"/>
  <c r="O281" i="3" s="1"/>
  <c r="O282" i="3" s="1"/>
  <c r="O283" i="3" s="1"/>
  <c r="O284" i="3" s="1"/>
  <c r="O285" i="3" s="1"/>
  <c r="O286" i="3" s="1"/>
  <c r="O287" i="3" s="1"/>
  <c r="O288" i="3" s="1"/>
  <c r="O289" i="3" s="1"/>
  <c r="O290" i="3" s="1"/>
  <c r="O291" i="3" s="1"/>
  <c r="O292" i="3" s="1"/>
  <c r="O293" i="3" s="1"/>
  <c r="O294" i="3" s="1"/>
  <c r="O295" i="3" s="1"/>
  <c r="O296" i="3" s="1"/>
  <c r="O297" i="3" s="1"/>
  <c r="O298" i="3" s="1"/>
  <c r="O299" i="3" s="1"/>
  <c r="O300" i="3" s="1"/>
  <c r="O301" i="3" s="1"/>
  <c r="O302" i="3" s="1"/>
  <c r="O303" i="3" s="1"/>
  <c r="O304" i="3" s="1"/>
  <c r="O305" i="3" s="1"/>
  <c r="O306" i="3" s="1"/>
  <c r="O307" i="3" s="1"/>
  <c r="O308" i="3" s="1"/>
  <c r="O309" i="3" s="1"/>
  <c r="O310" i="3" s="1"/>
  <c r="O311" i="3" s="1"/>
  <c r="O312" i="3" s="1"/>
  <c r="O313" i="3" s="1"/>
  <c r="O314" i="3" s="1"/>
  <c r="O315" i="3" s="1"/>
  <c r="O316" i="3" s="1"/>
  <c r="O317" i="3" s="1"/>
  <c r="O318" i="3" s="1"/>
  <c r="O319" i="3" s="1"/>
  <c r="O320" i="3" s="1"/>
  <c r="O321" i="3" s="1"/>
  <c r="O322" i="3" s="1"/>
  <c r="O323" i="3" s="1"/>
  <c r="O324" i="3" s="1"/>
  <c r="O325" i="3" s="1"/>
  <c r="O326" i="3" s="1"/>
  <c r="O327" i="3" s="1"/>
  <c r="O328" i="3" s="1"/>
  <c r="O329" i="3" s="1"/>
  <c r="O330" i="3" s="1"/>
  <c r="O331" i="3" s="1"/>
  <c r="O332" i="3" s="1"/>
  <c r="O333" i="3" s="1"/>
  <c r="O334" i="3" s="1"/>
  <c r="O335" i="3" s="1"/>
  <c r="O336" i="3" s="1"/>
  <c r="O337" i="3" s="1"/>
  <c r="O338" i="3" s="1"/>
  <c r="O339" i="3" s="1"/>
  <c r="O340" i="3" s="1"/>
  <c r="O341" i="3" s="1"/>
  <c r="O342" i="3" s="1"/>
  <c r="O343" i="3" s="1"/>
  <c r="O344" i="3" s="1"/>
  <c r="O345" i="3" s="1"/>
  <c r="O346" i="3" s="1"/>
  <c r="O347" i="3" s="1"/>
  <c r="O348" i="3" s="1"/>
  <c r="O349" i="3" s="1"/>
  <c r="O350" i="3" s="1"/>
  <c r="O351" i="3" s="1"/>
  <c r="O352" i="3" s="1"/>
  <c r="O353" i="3" s="1"/>
  <c r="O354" i="3" s="1"/>
  <c r="O355" i="3" s="1"/>
  <c r="O356" i="3" s="1"/>
  <c r="O357" i="3" s="1"/>
  <c r="O358" i="3" s="1"/>
  <c r="O359" i="3" s="1"/>
  <c r="O360" i="3" s="1"/>
  <c r="O361" i="3" s="1"/>
  <c r="O362" i="3" s="1"/>
  <c r="O363" i="3" s="1"/>
  <c r="O364" i="3" s="1"/>
  <c r="O365" i="3" s="1"/>
  <c r="O366" i="3" s="1"/>
  <c r="O367" i="3" s="1"/>
  <c r="O368" i="3" s="1"/>
  <c r="O369" i="3" s="1"/>
  <c r="O370" i="3" s="1"/>
  <c r="O371" i="3" s="1"/>
  <c r="O372" i="3" s="1"/>
  <c r="O373" i="3" s="1"/>
  <c r="O374" i="3" s="1"/>
  <c r="O375" i="3" s="1"/>
  <c r="O376" i="3" s="1"/>
  <c r="O377" i="3" s="1"/>
  <c r="O378" i="3" s="1"/>
  <c r="O379" i="3" s="1"/>
  <c r="O380" i="3" s="1"/>
  <c r="O381" i="3" s="1"/>
  <c r="O382" i="3" s="1"/>
  <c r="O383" i="3" s="1"/>
  <c r="O384" i="3" s="1"/>
  <c r="O385" i="3" s="1"/>
  <c r="O386" i="3" s="1"/>
  <c r="O387" i="3" s="1"/>
  <c r="O388" i="3" s="1"/>
  <c r="O389" i="3" s="1"/>
  <c r="O390" i="3" s="1"/>
  <c r="O391" i="3" s="1"/>
  <c r="O392" i="3" s="1"/>
  <c r="O393" i="3" s="1"/>
  <c r="O394" i="3" s="1"/>
  <c r="O395" i="3" s="1"/>
  <c r="O396" i="3" s="1"/>
  <c r="O397" i="3" s="1"/>
  <c r="O398" i="3" s="1"/>
  <c r="O399" i="3" s="1"/>
  <c r="O400" i="3" s="1"/>
  <c r="O401" i="3" s="1"/>
  <c r="O402" i="3" s="1"/>
  <c r="O403" i="3" s="1"/>
  <c r="O404" i="3" s="1"/>
  <c r="O405" i="3" s="1"/>
  <c r="O406" i="3" s="1"/>
  <c r="O407" i="3" s="1"/>
  <c r="O408" i="3" s="1"/>
  <c r="O409" i="3" s="1"/>
  <c r="O410" i="3" s="1"/>
  <c r="O411" i="3" s="1"/>
  <c r="O412" i="3" s="1"/>
  <c r="O413" i="3" s="1"/>
  <c r="O414" i="3" s="1"/>
  <c r="O415" i="3" s="1"/>
  <c r="O416" i="3" s="1"/>
  <c r="O417" i="3" s="1"/>
  <c r="O418" i="3" s="1"/>
  <c r="O419" i="3" s="1"/>
  <c r="O420" i="3" s="1"/>
  <c r="O421" i="3" s="1"/>
  <c r="O422" i="3" s="1"/>
  <c r="O423" i="3" s="1"/>
  <c r="O424" i="3" s="1"/>
  <c r="O425" i="3" s="1"/>
  <c r="O426" i="3" s="1"/>
  <c r="O427" i="3" s="1"/>
  <c r="O428" i="3" s="1"/>
  <c r="O429" i="3" s="1"/>
  <c r="O430" i="3" s="1"/>
  <c r="O431" i="3" s="1"/>
  <c r="O432" i="3" s="1"/>
  <c r="O433" i="3" s="1"/>
  <c r="O434" i="3" s="1"/>
  <c r="O435" i="3" s="1"/>
  <c r="O436" i="3" s="1"/>
  <c r="O437" i="3" s="1"/>
  <c r="O438" i="3" s="1"/>
  <c r="O439" i="3" s="1"/>
  <c r="O440" i="3" s="1"/>
  <c r="O441" i="3" s="1"/>
  <c r="O442" i="3" s="1"/>
  <c r="O443" i="3" s="1"/>
  <c r="O444" i="3" s="1"/>
  <c r="O445" i="3" s="1"/>
  <c r="O446" i="3" s="1"/>
  <c r="O447" i="3" s="1"/>
  <c r="O448" i="3" s="1"/>
  <c r="O449" i="3" s="1"/>
  <c r="O450" i="3" s="1"/>
  <c r="O451" i="3" s="1"/>
  <c r="O452" i="3" s="1"/>
  <c r="O453" i="3" s="1"/>
  <c r="O454" i="3" s="1"/>
  <c r="O455" i="3" s="1"/>
  <c r="O456" i="3" s="1"/>
  <c r="O457" i="3" s="1"/>
  <c r="O458" i="3" s="1"/>
  <c r="O459" i="3" s="1"/>
  <c r="O460" i="3" s="1"/>
  <c r="O461" i="3" s="1"/>
  <c r="O462" i="3" s="1"/>
  <c r="O463" i="3" s="1"/>
  <c r="O464" i="3" s="1"/>
  <c r="O465" i="3" s="1"/>
  <c r="O466" i="3" s="1"/>
  <c r="O467" i="3" s="1"/>
  <c r="O468" i="3" s="1"/>
  <c r="O469" i="3" s="1"/>
  <c r="O470" i="3" s="1"/>
  <c r="O471" i="3" s="1"/>
  <c r="O472" i="3" s="1"/>
  <c r="O473" i="3" s="1"/>
  <c r="O474" i="3" s="1"/>
  <c r="O475" i="3" s="1"/>
  <c r="O476" i="3" s="1"/>
  <c r="O477" i="3" s="1"/>
  <c r="O478" i="3" s="1"/>
  <c r="O479" i="3" s="1"/>
  <c r="O480" i="3" s="1"/>
  <c r="O481" i="3" s="1"/>
  <c r="O482" i="3" s="1"/>
  <c r="O483" i="3" s="1"/>
  <c r="O484" i="3" s="1"/>
  <c r="O485" i="3" s="1"/>
  <c r="O486" i="3" s="1"/>
  <c r="O487" i="3" s="1"/>
  <c r="O488" i="3" s="1"/>
  <c r="O489" i="3" s="1"/>
  <c r="O490" i="3" s="1"/>
  <c r="O491" i="3" s="1"/>
  <c r="O492" i="3" s="1"/>
  <c r="O493" i="3" s="1"/>
  <c r="O494" i="3" s="1"/>
  <c r="O495" i="3" s="1"/>
  <c r="O496" i="3" s="1"/>
  <c r="O497" i="3" s="1"/>
  <c r="O498" i="3" s="1"/>
  <c r="O499" i="3" s="1"/>
  <c r="O500" i="3" s="1"/>
  <c r="O501" i="3" s="1"/>
  <c r="O502" i="3" s="1"/>
  <c r="O503" i="3" s="1"/>
  <c r="O504" i="3" s="1"/>
  <c r="O505" i="3" s="1"/>
  <c r="O506" i="3" s="1"/>
  <c r="O507" i="3" s="1"/>
  <c r="O508" i="3" s="1"/>
  <c r="O509" i="3" s="1"/>
  <c r="O510" i="3" s="1"/>
  <c r="O511" i="3" s="1"/>
  <c r="O512" i="3" s="1"/>
  <c r="O513" i="3" s="1"/>
  <c r="O514" i="3" s="1"/>
  <c r="O515" i="3" s="1"/>
  <c r="O516" i="3" s="1"/>
  <c r="O517" i="3" s="1"/>
  <c r="O518" i="3" s="1"/>
  <c r="O519" i="3" s="1"/>
  <c r="O520" i="3" s="1"/>
  <c r="O521" i="3" s="1"/>
  <c r="O522" i="3" s="1"/>
  <c r="O523" i="3" s="1"/>
  <c r="O524" i="3" s="1"/>
  <c r="O525" i="3" s="1"/>
  <c r="O526" i="3" s="1"/>
  <c r="O527" i="3" s="1"/>
  <c r="O528" i="3" s="1"/>
  <c r="O529" i="3" s="1"/>
  <c r="O530" i="3" s="1"/>
  <c r="O531" i="3" s="1"/>
  <c r="O532" i="3" s="1"/>
  <c r="O533" i="3" s="1"/>
  <c r="O534" i="3" s="1"/>
  <c r="O535" i="3" s="1"/>
  <c r="O536" i="3" s="1"/>
  <c r="O537" i="3" s="1"/>
  <c r="O538" i="3" s="1"/>
  <c r="O539" i="3" s="1"/>
  <c r="O540" i="3" s="1"/>
  <c r="O541" i="3" s="1"/>
  <c r="O542" i="3" s="1"/>
  <c r="O543" i="3" s="1"/>
  <c r="O544" i="3" s="1"/>
  <c r="O545" i="3" s="1"/>
  <c r="O546" i="3" s="1"/>
  <c r="O547" i="3" s="1"/>
  <c r="O548" i="3" s="1"/>
  <c r="O549" i="3" s="1"/>
  <c r="O550" i="3" s="1"/>
  <c r="O551" i="3" s="1"/>
  <c r="O552" i="3" s="1"/>
  <c r="O553" i="3" s="1"/>
  <c r="O554" i="3" s="1"/>
  <c r="O555" i="3" s="1"/>
  <c r="O556" i="3" s="1"/>
  <c r="O557" i="3" s="1"/>
  <c r="O558" i="3" s="1"/>
  <c r="O559" i="3" s="1"/>
  <c r="O560" i="3" s="1"/>
  <c r="O561" i="3" s="1"/>
  <c r="O562" i="3" s="1"/>
  <c r="O563" i="3" s="1"/>
  <c r="O564" i="3" s="1"/>
  <c r="O565" i="3" s="1"/>
  <c r="O566" i="3" s="1"/>
  <c r="O567" i="3" s="1"/>
  <c r="O568" i="3" s="1"/>
  <c r="O569" i="3" s="1"/>
  <c r="O570" i="3" s="1"/>
  <c r="O571" i="3" s="1"/>
  <c r="O572" i="3" s="1"/>
  <c r="O573" i="3" s="1"/>
  <c r="O574" i="3" s="1"/>
  <c r="O575" i="3" s="1"/>
  <c r="O576" i="3" s="1"/>
  <c r="O577" i="3" s="1"/>
  <c r="O578" i="3" s="1"/>
  <c r="O579" i="3" s="1"/>
  <c r="O580" i="3" s="1"/>
  <c r="O581" i="3" s="1"/>
  <c r="O582" i="3" s="1"/>
  <c r="O583" i="3" s="1"/>
  <c r="O584" i="3" s="1"/>
  <c r="O585" i="3" s="1"/>
  <c r="O586" i="3" s="1"/>
  <c r="O587" i="3" s="1"/>
  <c r="O588" i="3" s="1"/>
  <c r="O589" i="3" s="1"/>
  <c r="O590" i="3" s="1"/>
  <c r="O591" i="3" s="1"/>
  <c r="O592" i="3" s="1"/>
  <c r="O593" i="3" s="1"/>
  <c r="O594" i="3" s="1"/>
  <c r="O595" i="3" s="1"/>
  <c r="O596" i="3" s="1"/>
  <c r="O597" i="3" s="1"/>
  <c r="O598" i="3" s="1"/>
  <c r="O599" i="3" s="1"/>
  <c r="O600" i="3" s="1"/>
  <c r="O601" i="3" s="1"/>
  <c r="O602" i="3" s="1"/>
  <c r="O603" i="3" s="1"/>
  <c r="O604" i="3" s="1"/>
  <c r="O605" i="3" s="1"/>
  <c r="O606" i="3" s="1"/>
  <c r="O607" i="3" s="1"/>
  <c r="O608" i="3" s="1"/>
  <c r="O609" i="3" s="1"/>
  <c r="O610" i="3" s="1"/>
  <c r="O611" i="3" s="1"/>
  <c r="O612" i="3" s="1"/>
  <c r="O613" i="3" s="1"/>
  <c r="O614" i="3" s="1"/>
  <c r="O615" i="3" s="1"/>
  <c r="O616" i="3" s="1"/>
  <c r="O617" i="3" s="1"/>
  <c r="O618" i="3" s="1"/>
  <c r="O619" i="3" s="1"/>
  <c r="O620" i="3" s="1"/>
  <c r="O621" i="3" s="1"/>
  <c r="O622" i="3" s="1"/>
  <c r="O623" i="3" s="1"/>
  <c r="O624" i="3" s="1"/>
  <c r="O625" i="3" s="1"/>
  <c r="O626" i="3" s="1"/>
  <c r="O627" i="3" s="1"/>
  <c r="O628" i="3" s="1"/>
  <c r="O629" i="3" s="1"/>
  <c r="O630" i="3" s="1"/>
  <c r="O631" i="3" s="1"/>
  <c r="O632" i="3" s="1"/>
  <c r="O633" i="3" s="1"/>
  <c r="O634" i="3" s="1"/>
  <c r="O635" i="3" s="1"/>
  <c r="O636" i="3" s="1"/>
  <c r="O637" i="3" s="1"/>
  <c r="O638" i="3" s="1"/>
  <c r="O639" i="3" s="1"/>
  <c r="O640" i="3" s="1"/>
  <c r="O641" i="3" s="1"/>
  <c r="O642" i="3" s="1"/>
  <c r="O643" i="3" s="1"/>
  <c r="O644" i="3" s="1"/>
  <c r="O645" i="3" s="1"/>
  <c r="O646" i="3" s="1"/>
  <c r="O647" i="3" s="1"/>
  <c r="O648" i="3" s="1"/>
  <c r="O649" i="3" s="1"/>
  <c r="O650" i="3" s="1"/>
  <c r="O651" i="3" s="1"/>
  <c r="O652" i="3" s="1"/>
  <c r="O653" i="3" s="1"/>
  <c r="O654" i="3" s="1"/>
  <c r="O655" i="3" s="1"/>
  <c r="O656" i="3" s="1"/>
  <c r="O657" i="3" s="1"/>
  <c r="O658" i="3" s="1"/>
  <c r="O659" i="3" s="1"/>
  <c r="O660" i="3" s="1"/>
  <c r="O661" i="3" s="1"/>
  <c r="O662" i="3" s="1"/>
  <c r="O663" i="3" s="1"/>
  <c r="O664" i="3" s="1"/>
  <c r="O665" i="3" s="1"/>
  <c r="O666" i="3" s="1"/>
  <c r="O667" i="3" s="1"/>
  <c r="O668" i="3" s="1"/>
  <c r="O669" i="3" s="1"/>
  <c r="O670" i="3" s="1"/>
  <c r="O671" i="3" s="1"/>
  <c r="O672" i="3" s="1"/>
  <c r="O673" i="3" s="1"/>
  <c r="O674" i="3" s="1"/>
  <c r="O675" i="3" s="1"/>
  <c r="O676" i="3" s="1"/>
  <c r="O677" i="3" s="1"/>
  <c r="O678" i="3" s="1"/>
  <c r="O679" i="3" s="1"/>
  <c r="O680" i="3" s="1"/>
  <c r="O681" i="3" s="1"/>
  <c r="O682" i="3" s="1"/>
  <c r="O683" i="3" s="1"/>
  <c r="O684" i="3" s="1"/>
  <c r="O685" i="3" s="1"/>
  <c r="O686" i="3" s="1"/>
  <c r="O687" i="3" s="1"/>
  <c r="O688" i="3" s="1"/>
  <c r="O689" i="3" s="1"/>
  <c r="O690" i="3" s="1"/>
  <c r="O691" i="3" s="1"/>
  <c r="O692" i="3" s="1"/>
  <c r="O693" i="3" s="1"/>
  <c r="O694" i="3" s="1"/>
  <c r="O695" i="3" s="1"/>
  <c r="O696" i="3" s="1"/>
  <c r="O697" i="3" s="1"/>
  <c r="O698" i="3" s="1"/>
  <c r="O699" i="3" s="1"/>
  <c r="O700" i="3" s="1"/>
  <c r="O701" i="3" s="1"/>
  <c r="O702" i="3" s="1"/>
  <c r="O703" i="3" s="1"/>
  <c r="O704" i="3" s="1"/>
  <c r="O705" i="3" s="1"/>
  <c r="O706" i="3" s="1"/>
  <c r="O707" i="3" s="1"/>
  <c r="O708" i="3" s="1"/>
  <c r="O709" i="3" s="1"/>
  <c r="O710" i="3" s="1"/>
  <c r="O711" i="3" s="1"/>
  <c r="O712" i="3" s="1"/>
  <c r="O713" i="3" s="1"/>
  <c r="O714" i="3" s="1"/>
  <c r="O715" i="3" s="1"/>
  <c r="O716" i="3" s="1"/>
  <c r="O717" i="3" s="1"/>
  <c r="O718" i="3" s="1"/>
  <c r="O719" i="3" s="1"/>
  <c r="O720" i="3" s="1"/>
  <c r="O721" i="3" s="1"/>
  <c r="O722" i="3" s="1"/>
  <c r="O723" i="3" s="1"/>
  <c r="O724" i="3" s="1"/>
  <c r="O725" i="3" s="1"/>
  <c r="O726" i="3" s="1"/>
  <c r="O727" i="3" s="1"/>
  <c r="O728" i="3" s="1"/>
  <c r="O729" i="3" s="1"/>
  <c r="O730" i="3" s="1"/>
  <c r="O731" i="3" s="1"/>
  <c r="O732" i="3" s="1"/>
  <c r="O733" i="3" s="1"/>
  <c r="O734" i="3" s="1"/>
  <c r="O735" i="3" s="1"/>
  <c r="O736" i="3" s="1"/>
  <c r="O737" i="3" s="1"/>
  <c r="N2" i="3"/>
  <c r="K2" i="3"/>
  <c r="H22" i="3" l="1"/>
  <c r="W725" i="3"/>
  <c r="T234" i="3"/>
  <c r="W69" i="3"/>
  <c r="T69" i="3"/>
  <c r="T104" i="3"/>
  <c r="T130" i="3"/>
  <c r="W74" i="3"/>
  <c r="W73" i="3"/>
  <c r="T161" i="3"/>
  <c r="T433" i="3"/>
  <c r="T178" i="3"/>
  <c r="T75" i="3"/>
  <c r="W79" i="3"/>
  <c r="T258" i="3"/>
  <c r="T328" i="3"/>
  <c r="T141" i="3"/>
  <c r="T107" i="3"/>
  <c r="W135" i="3"/>
  <c r="W141" i="3"/>
  <c r="W145" i="3"/>
  <c r="T206" i="3"/>
  <c r="W206" i="3"/>
  <c r="T327" i="3"/>
  <c r="V339" i="3" s="1"/>
  <c r="T598" i="3"/>
  <c r="T150" i="3"/>
  <c r="W158" i="3"/>
  <c r="T257" i="3"/>
  <c r="T324" i="3"/>
  <c r="T474" i="3"/>
  <c r="V487" i="3" s="1"/>
  <c r="T652" i="3"/>
  <c r="W71" i="3"/>
  <c r="W96" i="3"/>
  <c r="T171" i="3"/>
  <c r="T249" i="3"/>
  <c r="W261" i="3"/>
  <c r="T475" i="3"/>
  <c r="W70" i="3"/>
  <c r="T493" i="3"/>
  <c r="T323" i="3"/>
  <c r="W67" i="3"/>
  <c r="W234" i="3"/>
  <c r="T270" i="3"/>
  <c r="T333" i="3"/>
  <c r="T462" i="3"/>
  <c r="V470" i="3" s="1"/>
  <c r="T473" i="3"/>
  <c r="T711" i="3"/>
  <c r="W66" i="3"/>
  <c r="T93" i="3"/>
  <c r="W65" i="3"/>
  <c r="W101" i="3"/>
  <c r="W311" i="3"/>
  <c r="T117" i="3"/>
  <c r="W90" i="3"/>
  <c r="T106" i="3"/>
  <c r="W89" i="3"/>
  <c r="T322" i="3"/>
  <c r="T492" i="3"/>
  <c r="T172" i="3"/>
  <c r="T184" i="3"/>
  <c r="T427" i="3"/>
  <c r="T456" i="3"/>
  <c r="T6" i="3"/>
  <c r="V16" i="3" s="1"/>
  <c r="T59" i="3"/>
  <c r="T71" i="3"/>
  <c r="T83" i="3"/>
  <c r="T109" i="3"/>
  <c r="W165" i="3"/>
  <c r="T597" i="3"/>
  <c r="W602" i="3"/>
  <c r="W606" i="3"/>
  <c r="T603" i="3"/>
  <c r="T53" i="3"/>
  <c r="T77" i="3"/>
  <c r="W21" i="3"/>
  <c r="W26" i="3"/>
  <c r="T15" i="3"/>
  <c r="T22" i="3"/>
  <c r="T34" i="3"/>
  <c r="T666" i="3"/>
  <c r="T10" i="3"/>
  <c r="T110" i="3"/>
  <c r="T134" i="3"/>
  <c r="T180" i="3"/>
  <c r="T252" i="3"/>
  <c r="W302" i="3"/>
  <c r="W397" i="3"/>
  <c r="T410" i="3"/>
  <c r="T454" i="3"/>
  <c r="W457" i="3"/>
  <c r="T4" i="3"/>
  <c r="W97" i="3"/>
  <c r="W113" i="3"/>
  <c r="T101" i="3"/>
  <c r="T125" i="3"/>
  <c r="T158" i="3"/>
  <c r="T165" i="3"/>
  <c r="T169" i="3"/>
  <c r="W211" i="3"/>
  <c r="T209" i="3"/>
  <c r="V222" i="3" s="1"/>
  <c r="W229" i="3"/>
  <c r="W224" i="3"/>
  <c r="T315" i="3"/>
  <c r="T346" i="3"/>
  <c r="T367" i="3"/>
  <c r="T373" i="3"/>
  <c r="T412" i="3"/>
  <c r="T419" i="3"/>
  <c r="T587" i="3"/>
  <c r="T607" i="3"/>
  <c r="W618" i="3"/>
  <c r="N5" i="3"/>
  <c r="P4" i="3"/>
  <c r="T49" i="3"/>
  <c r="W60" i="3"/>
  <c r="T115" i="3"/>
  <c r="W164" i="3"/>
  <c r="T218" i="3"/>
  <c r="V229" i="3" s="1"/>
  <c r="T247" i="3"/>
  <c r="W327" i="3"/>
  <c r="T314" i="3"/>
  <c r="T319" i="3"/>
  <c r="V330" i="3" s="1"/>
  <c r="T363" i="3"/>
  <c r="V367" i="3" s="1"/>
  <c r="T438" i="3"/>
  <c r="T470" i="3"/>
  <c r="T604" i="3"/>
  <c r="W107" i="3"/>
  <c r="T94" i="3"/>
  <c r="W131" i="3"/>
  <c r="T118" i="3"/>
  <c r="T222" i="3"/>
  <c r="W233" i="3"/>
  <c r="T31" i="3"/>
  <c r="T32" i="3"/>
  <c r="T133" i="3"/>
  <c r="T142" i="3"/>
  <c r="T271" i="3"/>
  <c r="W279" i="3"/>
  <c r="T518" i="3"/>
  <c r="P2" i="3"/>
  <c r="T65" i="3"/>
  <c r="T89" i="3"/>
  <c r="W227" i="3"/>
  <c r="H21" i="3"/>
  <c r="W68" i="3"/>
  <c r="T149" i="3"/>
  <c r="V156" i="3" s="1"/>
  <c r="T181" i="3"/>
  <c r="T194" i="3"/>
  <c r="V205" i="3" s="1"/>
  <c r="W232" i="3"/>
  <c r="W244" i="3"/>
  <c r="T277" i="3"/>
  <c r="W287" i="3"/>
  <c r="T369" i="3"/>
  <c r="T375" i="3"/>
  <c r="W385" i="3"/>
  <c r="T379" i="3"/>
  <c r="T392" i="3"/>
  <c r="W404" i="3"/>
  <c r="T611" i="3"/>
  <c r="T25" i="3"/>
  <c r="T102" i="3"/>
  <c r="T126" i="3"/>
  <c r="W225" i="3"/>
  <c r="T255" i="3"/>
  <c r="T265" i="3"/>
  <c r="T280" i="3"/>
  <c r="T292" i="3"/>
  <c r="T307" i="3"/>
  <c r="T432" i="3"/>
  <c r="T437" i="3"/>
  <c r="T400" i="3"/>
  <c r="T401" i="3"/>
  <c r="T179" i="3"/>
  <c r="T312" i="3"/>
  <c r="T342" i="3"/>
  <c r="T505" i="3"/>
  <c r="T531" i="3"/>
  <c r="T662" i="3"/>
  <c r="T17" i="3"/>
  <c r="T20" i="3"/>
  <c r="T30" i="3"/>
  <c r="T40" i="3"/>
  <c r="W51" i="3"/>
  <c r="T60" i="3"/>
  <c r="T72" i="3"/>
  <c r="T84" i="3"/>
  <c r="T105" i="3"/>
  <c r="T129" i="3"/>
  <c r="T190" i="3"/>
  <c r="T240" i="3"/>
  <c r="V250" i="3" s="1"/>
  <c r="T274" i="3"/>
  <c r="V285" i="3" s="1"/>
  <c r="T297" i="3"/>
  <c r="W305" i="3"/>
  <c r="T330" i="3"/>
  <c r="T376" i="3"/>
  <c r="T52" i="3"/>
  <c r="T54" i="3"/>
  <c r="T56" i="3"/>
  <c r="T64" i="3"/>
  <c r="T66" i="3"/>
  <c r="T68" i="3"/>
  <c r="T76" i="3"/>
  <c r="T78" i="3"/>
  <c r="T80" i="3"/>
  <c r="T88" i="3"/>
  <c r="T90" i="3"/>
  <c r="T92" i="3"/>
  <c r="T97" i="3"/>
  <c r="T113" i="3"/>
  <c r="T121" i="3"/>
  <c r="T137" i="3"/>
  <c r="T145" i="3"/>
  <c r="T183" i="3"/>
  <c r="T232" i="3"/>
  <c r="T235" i="3"/>
  <c r="V246" i="3" s="1"/>
  <c r="W246" i="3"/>
  <c r="X246" i="3" s="1"/>
  <c r="T266" i="3"/>
  <c r="T397" i="3"/>
  <c r="W428" i="3"/>
  <c r="T421" i="3"/>
  <c r="T523" i="3"/>
  <c r="T558" i="3"/>
  <c r="T577" i="3"/>
  <c r="W582" i="3"/>
  <c r="T188" i="3"/>
  <c r="T214" i="3"/>
  <c r="V223" i="3" s="1"/>
  <c r="T321" i="3"/>
  <c r="T385" i="3"/>
  <c r="T396" i="3"/>
  <c r="T402" i="3"/>
  <c r="T619" i="3"/>
  <c r="W631" i="3"/>
  <c r="T281" i="3"/>
  <c r="T686" i="3"/>
  <c r="W696" i="3"/>
  <c r="T708" i="3"/>
  <c r="T43" i="3"/>
  <c r="T58" i="3"/>
  <c r="T62" i="3"/>
  <c r="T70" i="3"/>
  <c r="T74" i="3"/>
  <c r="T82" i="3"/>
  <c r="T86" i="3"/>
  <c r="T111" i="3"/>
  <c r="T164" i="3"/>
  <c r="T191" i="3"/>
  <c r="V204" i="3" s="1"/>
  <c r="W204" i="3"/>
  <c r="T286" i="3"/>
  <c r="T361" i="3"/>
  <c r="T415" i="3"/>
  <c r="T436" i="3"/>
  <c r="T613" i="3"/>
  <c r="T302" i="3"/>
  <c r="W408" i="3"/>
  <c r="T430" i="3"/>
  <c r="T498" i="3"/>
  <c r="W555" i="3"/>
  <c r="T564" i="3"/>
  <c r="W570" i="3"/>
  <c r="T582" i="3"/>
  <c r="T488" i="3"/>
  <c r="T499" i="3"/>
  <c r="T581" i="3"/>
  <c r="T583" i="3"/>
  <c r="W596" i="3"/>
  <c r="T610" i="3"/>
  <c r="W313" i="3"/>
  <c r="T300" i="3"/>
  <c r="W361" i="3"/>
  <c r="X361" i="3" s="1"/>
  <c r="T348" i="3"/>
  <c r="V361" i="3" s="1"/>
  <c r="T440" i="3"/>
  <c r="W453" i="3"/>
  <c r="W460" i="3"/>
  <c r="T489" i="3"/>
  <c r="V494" i="3" s="1"/>
  <c r="T509" i="3"/>
  <c r="T513" i="3"/>
  <c r="T547" i="3"/>
  <c r="V550" i="3" s="1"/>
  <c r="T555" i="3"/>
  <c r="T579" i="3"/>
  <c r="T383" i="3"/>
  <c r="T429" i="3"/>
  <c r="T452" i="3"/>
  <c r="T616" i="3"/>
  <c r="T661" i="3"/>
  <c r="T653" i="3"/>
  <c r="T695" i="3"/>
  <c r="T572" i="3"/>
  <c r="T638" i="3"/>
  <c r="W312" i="3"/>
  <c r="T405" i="3"/>
  <c r="W410" i="3"/>
  <c r="T443" i="3"/>
  <c r="T464" i="3"/>
  <c r="T490" i="3"/>
  <c r="T503" i="3"/>
  <c r="T446" i="3"/>
  <c r="T468" i="3"/>
  <c r="W484" i="3"/>
  <c r="T522" i="3"/>
  <c r="V532" i="3" s="1"/>
  <c r="T570" i="3"/>
  <c r="T588" i="3"/>
  <c r="V601" i="3" s="1"/>
  <c r="V228" i="3"/>
  <c r="W381" i="3"/>
  <c r="T393" i="3"/>
  <c r="T512" i="3"/>
  <c r="T656" i="3"/>
  <c r="T534" i="3"/>
  <c r="T642" i="3"/>
  <c r="W706" i="3"/>
  <c r="T694" i="3"/>
  <c r="T660" i="3"/>
  <c r="V408" i="3"/>
  <c r="T658" i="3"/>
  <c r="T554" i="3"/>
  <c r="T624" i="3"/>
  <c r="T643" i="3"/>
  <c r="T567" i="3"/>
  <c r="T713" i="3"/>
  <c r="T602" i="3"/>
  <c r="W604" i="3"/>
  <c r="T617" i="3"/>
  <c r="V604" i="3"/>
  <c r="T690" i="3"/>
  <c r="T551" i="3"/>
  <c r="W638" i="3"/>
  <c r="T634" i="3"/>
  <c r="T639" i="3"/>
  <c r="W645" i="3"/>
  <c r="T680" i="3"/>
  <c r="T647" i="3"/>
  <c r="T731" i="3"/>
  <c r="T670" i="3"/>
  <c r="W681" i="3"/>
  <c r="T716" i="3"/>
  <c r="W729" i="3"/>
  <c r="T641" i="3"/>
  <c r="T696" i="3"/>
  <c r="T630" i="3"/>
  <c r="T635" i="3"/>
  <c r="T650" i="3"/>
  <c r="T717" i="3"/>
  <c r="T720" i="3"/>
  <c r="V732" i="3" s="1"/>
  <c r="W731" i="3"/>
  <c r="T718" i="3"/>
  <c r="V731" i="3" s="1"/>
  <c r="T672" i="3"/>
  <c r="V681" i="3" s="1"/>
  <c r="W723" i="3"/>
  <c r="T723" i="3"/>
  <c r="T734" i="3"/>
  <c r="W735" i="3"/>
  <c r="T735" i="3"/>
  <c r="T736" i="3"/>
  <c r="V737" i="3" s="1"/>
  <c r="W694" i="3"/>
  <c r="T682" i="3"/>
  <c r="T729" i="3"/>
  <c r="X731" i="3" l="1"/>
  <c r="V495" i="3"/>
  <c r="V372" i="3"/>
  <c r="V303" i="3"/>
  <c r="X302" i="3"/>
  <c r="X21" i="3"/>
  <c r="X311" i="3"/>
  <c r="X69" i="3"/>
  <c r="V295" i="3"/>
  <c r="V252" i="3"/>
  <c r="V422" i="3"/>
  <c r="X101" i="3"/>
  <c r="V74" i="3"/>
  <c r="X74" i="3" s="1"/>
  <c r="M74" i="3" s="1"/>
  <c r="X570" i="3"/>
  <c r="X694" i="3"/>
  <c r="X645" i="3"/>
  <c r="V464" i="3"/>
  <c r="V573" i="3"/>
  <c r="V690" i="3"/>
  <c r="V266" i="3"/>
  <c r="V386" i="3"/>
  <c r="V109" i="3"/>
  <c r="V86" i="3"/>
  <c r="X305" i="3"/>
  <c r="V579" i="3"/>
  <c r="X211" i="3"/>
  <c r="V390" i="3"/>
  <c r="X204" i="3"/>
  <c r="M204" i="3" s="1"/>
  <c r="V157" i="3"/>
  <c r="V239" i="3"/>
  <c r="V137" i="3"/>
  <c r="X65" i="3"/>
  <c r="X225" i="3"/>
  <c r="X164" i="3"/>
  <c r="X606" i="3"/>
  <c r="M606" i="3" s="1"/>
  <c r="V642" i="3"/>
  <c r="V634" i="3"/>
  <c r="V529" i="3"/>
  <c r="V492" i="3"/>
  <c r="V723" i="3"/>
  <c r="X723" i="3" s="1"/>
  <c r="M723" i="3" s="1"/>
  <c r="V257" i="3"/>
  <c r="X206" i="3"/>
  <c r="X681" i="3"/>
  <c r="V730" i="3"/>
  <c r="V489" i="3"/>
  <c r="V424" i="3"/>
  <c r="X79" i="3"/>
  <c r="V436" i="3"/>
  <c r="X555" i="3"/>
  <c r="X735" i="3"/>
  <c r="M735" i="3" s="1"/>
  <c r="V705" i="3"/>
  <c r="X638" i="3"/>
  <c r="X313" i="3"/>
  <c r="V98" i="3"/>
  <c r="V631" i="3"/>
  <c r="X631" i="3" s="1"/>
  <c r="M631" i="3" s="1"/>
  <c r="X428" i="3"/>
  <c r="V607" i="3"/>
  <c r="V210" i="3"/>
  <c r="X135" i="3"/>
  <c r="X604" i="3"/>
  <c r="M604" i="3" s="1"/>
  <c r="V563" i="3"/>
  <c r="X408" i="3"/>
  <c r="M408" i="3" s="1"/>
  <c r="X73" i="3"/>
  <c r="V24" i="3"/>
  <c r="X706" i="3"/>
  <c r="X68" i="3"/>
  <c r="X67" i="3"/>
  <c r="X70" i="3"/>
  <c r="V735" i="3"/>
  <c r="V342" i="3"/>
  <c r="M229" i="3"/>
  <c r="X229" i="3"/>
  <c r="V344" i="3"/>
  <c r="X71" i="3"/>
  <c r="M71" i="3" s="1"/>
  <c r="X141" i="3"/>
  <c r="V729" i="3"/>
  <c r="X729" i="3" s="1"/>
  <c r="M729" i="3" s="1"/>
  <c r="W641" i="3"/>
  <c r="W701" i="3"/>
  <c r="V726" i="3"/>
  <c r="W637" i="3"/>
  <c r="W319" i="3"/>
  <c r="V635" i="3"/>
  <c r="W278" i="3"/>
  <c r="W134" i="3"/>
  <c r="X134" i="3" s="1"/>
  <c r="W285" i="3"/>
  <c r="W140" i="3"/>
  <c r="W159" i="3"/>
  <c r="W157" i="3"/>
  <c r="W180" i="3"/>
  <c r="W77" i="3"/>
  <c r="W81" i="3"/>
  <c r="V136" i="3"/>
  <c r="W160" i="3"/>
  <c r="W736" i="3"/>
  <c r="W691" i="3"/>
  <c r="W709" i="3"/>
  <c r="W642" i="3"/>
  <c r="W697" i="3"/>
  <c r="W621" i="3"/>
  <c r="W304" i="3"/>
  <c r="W601" i="3"/>
  <c r="X601" i="3" s="1"/>
  <c r="V479" i="3"/>
  <c r="V416" i="3"/>
  <c r="W454" i="3"/>
  <c r="X454" i="3" s="1"/>
  <c r="V593" i="3"/>
  <c r="V507" i="3"/>
  <c r="W578" i="3"/>
  <c r="V76" i="3"/>
  <c r="W520" i="3"/>
  <c r="X520" i="3" s="1"/>
  <c r="V278" i="3"/>
  <c r="W92" i="3"/>
  <c r="W251" i="3"/>
  <c r="V613" i="3"/>
  <c r="W133" i="3"/>
  <c r="W722" i="3"/>
  <c r="V721" i="3"/>
  <c r="W710" i="3"/>
  <c r="W716" i="3"/>
  <c r="W721" i="3"/>
  <c r="M731" i="3"/>
  <c r="V527" i="3"/>
  <c r="V80" i="3"/>
  <c r="V444" i="3"/>
  <c r="W76" i="3"/>
  <c r="V304" i="3"/>
  <c r="V674" i="3"/>
  <c r="V73" i="3"/>
  <c r="V639" i="3"/>
  <c r="V71" i="3"/>
  <c r="W544" i="3"/>
  <c r="W80" i="3"/>
  <c r="W737" i="3"/>
  <c r="V714" i="3"/>
  <c r="V633" i="3"/>
  <c r="W542" i="3"/>
  <c r="W422" i="3"/>
  <c r="V503" i="3"/>
  <c r="V626" i="3"/>
  <c r="W56" i="3"/>
  <c r="X56" i="3" s="1"/>
  <c r="V569" i="3"/>
  <c r="V64" i="3"/>
  <c r="W274" i="3"/>
  <c r="V49" i="3"/>
  <c r="W209" i="3"/>
  <c r="V44" i="3"/>
  <c r="W474" i="3"/>
  <c r="X474" i="3" s="1"/>
  <c r="V60" i="3"/>
  <c r="W45" i="3"/>
  <c r="V606" i="3"/>
  <c r="W283" i="3"/>
  <c r="W72" i="3"/>
  <c r="W99" i="3"/>
  <c r="V52" i="3"/>
  <c r="W727" i="3"/>
  <c r="W728" i="3"/>
  <c r="W329" i="3"/>
  <c r="W129" i="3"/>
  <c r="W663" i="3"/>
  <c r="W726" i="3"/>
  <c r="V357" i="3"/>
  <c r="W376" i="3"/>
  <c r="X376" i="3" s="1"/>
  <c r="M376" i="3" s="1"/>
  <c r="W84" i="3"/>
  <c r="V736" i="3"/>
  <c r="V578" i="3"/>
  <c r="W708" i="3"/>
  <c r="V409" i="3"/>
  <c r="V134" i="3"/>
  <c r="V284" i="3"/>
  <c r="W24" i="3"/>
  <c r="W719" i="3"/>
  <c r="X719" i="3" s="1"/>
  <c r="V710" i="3"/>
  <c r="V636" i="3"/>
  <c r="W42" i="3"/>
  <c r="W712" i="3"/>
  <c r="X712" i="3" s="1"/>
  <c r="W724" i="3"/>
  <c r="W680" i="3"/>
  <c r="X680" i="3" s="1"/>
  <c r="V508" i="3"/>
  <c r="V298" i="3"/>
  <c r="V161" i="3"/>
  <c r="W293" i="3"/>
  <c r="W535" i="3"/>
  <c r="W403" i="3"/>
  <c r="V42" i="3"/>
  <c r="V517" i="3"/>
  <c r="W414" i="3"/>
  <c r="V112" i="3"/>
  <c r="W359" i="3"/>
  <c r="V46" i="3"/>
  <c r="W459" i="3"/>
  <c r="X459" i="3" s="1"/>
  <c r="V281" i="3"/>
  <c r="V283" i="3"/>
  <c r="W78" i="3"/>
  <c r="W732" i="3"/>
  <c r="V725" i="3"/>
  <c r="X725" i="3" s="1"/>
  <c r="M725" i="3" s="1"/>
  <c r="V530" i="3"/>
  <c r="V523" i="3"/>
  <c r="V360" i="3"/>
  <c r="W127" i="3"/>
  <c r="W19" i="3"/>
  <c r="W688" i="3"/>
  <c r="W612" i="3"/>
  <c r="V708" i="3"/>
  <c r="W407" i="3"/>
  <c r="W365" i="3"/>
  <c r="V214" i="3"/>
  <c r="W562" i="3"/>
  <c r="V630" i="3"/>
  <c r="V561" i="3"/>
  <c r="V547" i="3"/>
  <c r="W295" i="3"/>
  <c r="V241" i="3"/>
  <c r="V414" i="3"/>
  <c r="W324" i="3"/>
  <c r="V155" i="3"/>
  <c r="V460" i="3"/>
  <c r="X460" i="3" s="1"/>
  <c r="M460" i="3" s="1"/>
  <c r="V471" i="3"/>
  <c r="W242" i="3"/>
  <c r="V727" i="3"/>
  <c r="V19" i="3"/>
  <c r="V645" i="3"/>
  <c r="V576" i="3"/>
  <c r="V709" i="3"/>
  <c r="W126" i="3"/>
  <c r="V260" i="3"/>
  <c r="V724" i="3"/>
  <c r="V355" i="3"/>
  <c r="W679" i="3"/>
  <c r="V21" i="3"/>
  <c r="W153" i="3"/>
  <c r="V733" i="3"/>
  <c r="W547" i="3"/>
  <c r="V649" i="3"/>
  <c r="V394" i="3"/>
  <c r="W496" i="3"/>
  <c r="V299" i="3"/>
  <c r="W356" i="3"/>
  <c r="X356" i="3" s="1"/>
  <c r="V100" i="3"/>
  <c r="W25" i="3"/>
  <c r="W411" i="3"/>
  <c r="V338" i="3"/>
  <c r="W155" i="3"/>
  <c r="W331" i="3"/>
  <c r="V457" i="3"/>
  <c r="W328" i="3"/>
  <c r="X328" i="3" s="1"/>
  <c r="V169" i="3"/>
  <c r="W122" i="3"/>
  <c r="X122" i="3" s="1"/>
  <c r="V364" i="3"/>
  <c r="W437" i="3"/>
  <c r="V129" i="3"/>
  <c r="W55" i="3"/>
  <c r="W733" i="3"/>
  <c r="W734" i="3"/>
  <c r="V722" i="3"/>
  <c r="W730" i="3"/>
  <c r="W455" i="3"/>
  <c r="X455" i="3" s="1"/>
  <c r="V496" i="3"/>
  <c r="V213" i="3"/>
  <c r="V218" i="3"/>
  <c r="V92" i="3"/>
  <c r="W347" i="3"/>
  <c r="W265" i="3"/>
  <c r="X265" i="3" s="1"/>
  <c r="V301" i="3"/>
  <c r="W188" i="3"/>
  <c r="V135" i="3"/>
  <c r="W425" i="3"/>
  <c r="V328" i="3"/>
  <c r="W358" i="3"/>
  <c r="X358" i="3" s="1"/>
  <c r="M358" i="3" s="1"/>
  <c r="W33" i="3"/>
  <c r="X33" i="3" s="1"/>
  <c r="M33" i="3" s="1"/>
  <c r="W18" i="3"/>
  <c r="X18" i="3" s="1"/>
  <c r="M18" i="3" s="1"/>
  <c r="W362" i="3"/>
  <c r="V728" i="3"/>
  <c r="V734" i="3"/>
  <c r="M681" i="3"/>
  <c r="V556" i="3"/>
  <c r="V117" i="3"/>
  <c r="W573" i="3"/>
  <c r="W572" i="3"/>
  <c r="V513" i="3"/>
  <c r="V549" i="3"/>
  <c r="V502" i="3"/>
  <c r="V430" i="3"/>
  <c r="V177" i="3"/>
  <c r="V99" i="3"/>
  <c r="V276" i="3"/>
  <c r="W398" i="3"/>
  <c r="W326" i="3"/>
  <c r="V552" i="3"/>
  <c r="W183" i="3"/>
  <c r="V91" i="3"/>
  <c r="W373" i="3"/>
  <c r="W372" i="3"/>
  <c r="V310" i="3"/>
  <c r="V309" i="3"/>
  <c r="V306" i="3"/>
  <c r="V203" i="3"/>
  <c r="V30" i="3"/>
  <c r="V29" i="3"/>
  <c r="W321" i="3"/>
  <c r="W318" i="3"/>
  <c r="V192" i="3"/>
  <c r="V474" i="3"/>
  <c r="V38" i="3"/>
  <c r="V388" i="3"/>
  <c r="V216" i="3"/>
  <c r="V385" i="3"/>
  <c r="V78" i="3"/>
  <c r="W357" i="3"/>
  <c r="V221" i="3"/>
  <c r="V220" i="3"/>
  <c r="W231" i="3"/>
  <c r="W228" i="3"/>
  <c r="V259" i="3"/>
  <c r="V138" i="3"/>
  <c r="V48" i="3"/>
  <c r="W423" i="3"/>
  <c r="W147" i="3"/>
  <c r="V297" i="3"/>
  <c r="V255" i="3"/>
  <c r="V28" i="3"/>
  <c r="V27" i="3"/>
  <c r="V26" i="3"/>
  <c r="X26" i="3" s="1"/>
  <c r="V90" i="3"/>
  <c r="W102" i="3"/>
  <c r="W29" i="3"/>
  <c r="W106" i="3"/>
  <c r="V509" i="3"/>
  <c r="W193" i="3"/>
  <c r="W121" i="3"/>
  <c r="W336" i="3"/>
  <c r="X336" i="3" s="1"/>
  <c r="W200" i="3"/>
  <c r="W270" i="3"/>
  <c r="W269" i="3"/>
  <c r="W267" i="3"/>
  <c r="W132" i="3"/>
  <c r="W191" i="3"/>
  <c r="X191" i="3" s="1"/>
  <c r="W189" i="3"/>
  <c r="V82" i="3"/>
  <c r="V22" i="3"/>
  <c r="V144" i="3"/>
  <c r="W671" i="3"/>
  <c r="X671" i="3" s="1"/>
  <c r="W670" i="3"/>
  <c r="W530" i="3"/>
  <c r="W529" i="3"/>
  <c r="W528" i="3"/>
  <c r="X528" i="3" s="1"/>
  <c r="W653" i="3"/>
  <c r="V456" i="3"/>
  <c r="V454" i="3"/>
  <c r="W512" i="3"/>
  <c r="W588" i="3"/>
  <c r="V69" i="3"/>
  <c r="W355" i="3"/>
  <c r="W354" i="3"/>
  <c r="X354" i="3" s="1"/>
  <c r="V401" i="3"/>
  <c r="V405" i="3"/>
  <c r="V131" i="3"/>
  <c r="X131" i="3" s="1"/>
  <c r="M131" i="3" s="1"/>
  <c r="V451" i="3"/>
  <c r="V327" i="3"/>
  <c r="X327" i="3" s="1"/>
  <c r="M327" i="3" s="1"/>
  <c r="V326" i="3"/>
  <c r="P5" i="3"/>
  <c r="N6" i="3"/>
  <c r="V541" i="3"/>
  <c r="V181" i="3"/>
  <c r="V179" i="3"/>
  <c r="V182" i="3"/>
  <c r="W472" i="3"/>
  <c r="X472" i="3" s="1"/>
  <c r="V663" i="3"/>
  <c r="W668" i="3"/>
  <c r="W567" i="3"/>
  <c r="V537" i="3"/>
  <c r="W494" i="3"/>
  <c r="W493" i="3"/>
  <c r="V629" i="3"/>
  <c r="V628" i="3"/>
  <c r="V596" i="3"/>
  <c r="X596" i="3" s="1"/>
  <c r="M596" i="3" s="1"/>
  <c r="V577" i="3"/>
  <c r="V575" i="3"/>
  <c r="V574" i="3"/>
  <c r="W626" i="3"/>
  <c r="W625" i="3"/>
  <c r="V201" i="3"/>
  <c r="V200" i="3"/>
  <c r="W503" i="3"/>
  <c r="X503" i="3" s="1"/>
  <c r="V126" i="3"/>
  <c r="W53" i="3"/>
  <c r="V544" i="3"/>
  <c r="V350" i="3"/>
  <c r="W445" i="3"/>
  <c r="W444" i="3"/>
  <c r="W546" i="3"/>
  <c r="Q2" i="3"/>
  <c r="Q3" i="3" s="1"/>
  <c r="Q4" i="3" s="1"/>
  <c r="W284" i="3"/>
  <c r="W282" i="3"/>
  <c r="W280" i="3"/>
  <c r="V483" i="3"/>
  <c r="V376" i="3"/>
  <c r="V178" i="3"/>
  <c r="W375" i="3"/>
  <c r="V193" i="3"/>
  <c r="V251" i="3"/>
  <c r="W250" i="3"/>
  <c r="V348" i="3"/>
  <c r="W451" i="3"/>
  <c r="X451" i="3" s="1"/>
  <c r="V219" i="3"/>
  <c r="V208" i="3"/>
  <c r="V215" i="3"/>
  <c r="V175" i="3"/>
  <c r="V718" i="3"/>
  <c r="W630" i="3"/>
  <c r="V667" i="3"/>
  <c r="W527" i="3"/>
  <c r="V540" i="3"/>
  <c r="W629" i="3"/>
  <c r="X629" i="3" s="1"/>
  <c r="W396" i="3"/>
  <c r="W526" i="3"/>
  <c r="X526" i="3" s="1"/>
  <c r="W524" i="3"/>
  <c r="V453" i="3"/>
  <c r="W595" i="3"/>
  <c r="W556" i="3"/>
  <c r="W557" i="3"/>
  <c r="V56" i="3"/>
  <c r="V571" i="3"/>
  <c r="V570" i="3"/>
  <c r="V110" i="3"/>
  <c r="W343" i="3"/>
  <c r="X343" i="3" s="1"/>
  <c r="V53" i="3"/>
  <c r="V51" i="3"/>
  <c r="V543" i="3"/>
  <c r="V347" i="3"/>
  <c r="V608" i="3"/>
  <c r="W401" i="3"/>
  <c r="W172" i="3"/>
  <c r="X172" i="3" s="1"/>
  <c r="W320" i="3"/>
  <c r="W258" i="3"/>
  <c r="W386" i="3"/>
  <c r="V265" i="3"/>
  <c r="V160" i="3"/>
  <c r="V469" i="3"/>
  <c r="W505" i="3"/>
  <c r="X505" i="3" s="1"/>
  <c r="W504" i="3"/>
  <c r="X504" i="3" s="1"/>
  <c r="M246" i="3"/>
  <c r="W345" i="3"/>
  <c r="V151" i="3"/>
  <c r="V165" i="3"/>
  <c r="W340" i="3"/>
  <c r="W339" i="3"/>
  <c r="W341" i="3"/>
  <c r="W196" i="3"/>
  <c r="V654" i="3"/>
  <c r="V653" i="3"/>
  <c r="W720" i="3"/>
  <c r="X720" i="3" s="1"/>
  <c r="W540" i="3"/>
  <c r="X540" i="3" s="1"/>
  <c r="V584" i="3"/>
  <c r="W481" i="3"/>
  <c r="W563" i="3"/>
  <c r="W651" i="3"/>
  <c r="W650" i="3"/>
  <c r="M361" i="3"/>
  <c r="W594" i="3"/>
  <c r="X594" i="3" s="1"/>
  <c r="W593" i="3"/>
  <c r="V618" i="3"/>
  <c r="V515" i="3"/>
  <c r="V404" i="3"/>
  <c r="V288" i="3"/>
  <c r="W569" i="3"/>
  <c r="V434" i="3"/>
  <c r="V433" i="3"/>
  <c r="V105" i="3"/>
  <c r="V389" i="3"/>
  <c r="W622" i="3"/>
  <c r="W413" i="3"/>
  <c r="W412" i="3"/>
  <c r="X412" i="3" s="1"/>
  <c r="W325" i="3"/>
  <c r="X325" i="3" s="1"/>
  <c r="V209" i="3"/>
  <c r="V545" i="3"/>
  <c r="W531" i="3"/>
  <c r="X531" i="3" s="1"/>
  <c r="V145" i="3"/>
  <c r="X145" i="3" s="1"/>
  <c r="V476" i="3"/>
  <c r="W317" i="3"/>
  <c r="V620" i="3"/>
  <c r="W432" i="3"/>
  <c r="W426" i="3"/>
  <c r="W431" i="3"/>
  <c r="V380" i="3"/>
  <c r="V377" i="3"/>
  <c r="W222" i="3"/>
  <c r="W221" i="3"/>
  <c r="X221" i="3" s="1"/>
  <c r="V371" i="3"/>
  <c r="V122" i="3"/>
  <c r="W469" i="3"/>
  <c r="V505" i="3"/>
  <c r="V504" i="3"/>
  <c r="V130" i="3"/>
  <c r="W178" i="3"/>
  <c r="V120" i="3"/>
  <c r="V341" i="3"/>
  <c r="W143" i="3"/>
  <c r="X143" i="3" s="1"/>
  <c r="V670" i="3"/>
  <c r="V648" i="3"/>
  <c r="V644" i="3"/>
  <c r="W692" i="3"/>
  <c r="W693" i="3"/>
  <c r="X693" i="3" s="1"/>
  <c r="W656" i="3"/>
  <c r="X656" i="3" s="1"/>
  <c r="V352" i="3"/>
  <c r="V514" i="3"/>
  <c r="V583" i="3"/>
  <c r="V582" i="3"/>
  <c r="W418" i="3"/>
  <c r="X418" i="3" s="1"/>
  <c r="W417" i="3"/>
  <c r="X417" i="3" s="1"/>
  <c r="V592" i="3"/>
  <c r="V501" i="3"/>
  <c r="V500" i="3"/>
  <c r="V498" i="3"/>
  <c r="W443" i="3"/>
  <c r="W390" i="3"/>
  <c r="V619" i="3"/>
  <c r="W176" i="3"/>
  <c r="W574" i="3"/>
  <c r="V334" i="3"/>
  <c r="W571" i="3"/>
  <c r="X571" i="3" s="1"/>
  <c r="W433" i="3"/>
  <c r="X433" i="3" s="1"/>
  <c r="W434" i="3"/>
  <c r="X434" i="3" s="1"/>
  <c r="W248" i="3"/>
  <c r="X248" i="3" s="1"/>
  <c r="V196" i="3"/>
  <c r="V195" i="3"/>
  <c r="W48" i="3"/>
  <c r="W389" i="3"/>
  <c r="W36" i="3"/>
  <c r="W441" i="3"/>
  <c r="X441" i="3" s="1"/>
  <c r="V413" i="3"/>
  <c r="V320" i="3"/>
  <c r="V319" i="3"/>
  <c r="W195" i="3"/>
  <c r="X195" i="3" s="1"/>
  <c r="W50" i="3"/>
  <c r="X50" i="3" s="1"/>
  <c r="W292" i="3"/>
  <c r="X292" i="3" s="1"/>
  <c r="V159" i="3"/>
  <c r="W249" i="3"/>
  <c r="W609" i="3"/>
  <c r="V600" i="3"/>
  <c r="W380" i="3"/>
  <c r="X380" i="3" s="1"/>
  <c r="W378" i="3"/>
  <c r="W110" i="3"/>
  <c r="W517" i="3"/>
  <c r="W35" i="3"/>
  <c r="X35" i="3" s="1"/>
  <c r="V610" i="3"/>
  <c r="V602" i="3"/>
  <c r="X602" i="3" s="1"/>
  <c r="M602" i="3" s="1"/>
  <c r="V121" i="3"/>
  <c r="V440" i="3"/>
  <c r="W185" i="3"/>
  <c r="W477" i="3"/>
  <c r="V472" i="3"/>
  <c r="W59" i="3"/>
  <c r="W130" i="3"/>
  <c r="X130" i="3" s="1"/>
  <c r="V36" i="3"/>
  <c r="W34" i="3"/>
  <c r="X34" i="3" s="1"/>
  <c r="W346" i="3"/>
  <c r="X346" i="3" s="1"/>
  <c r="V363" i="3"/>
  <c r="W243" i="3"/>
  <c r="W175" i="3"/>
  <c r="W120" i="3"/>
  <c r="W271" i="3"/>
  <c r="W174" i="3"/>
  <c r="W173" i="3"/>
  <c r="W171" i="3"/>
  <c r="X171" i="3" s="1"/>
  <c r="V717" i="3"/>
  <c r="V657" i="3"/>
  <c r="W648" i="3"/>
  <c r="W683" i="3"/>
  <c r="X683" i="3" s="1"/>
  <c r="W682" i="3"/>
  <c r="X682" i="3" s="1"/>
  <c r="W689" i="3"/>
  <c r="X689" i="3" s="1"/>
  <c r="V693" i="3"/>
  <c r="V692" i="3"/>
  <c r="V691" i="3"/>
  <c r="V612" i="3"/>
  <c r="V656" i="3"/>
  <c r="V605" i="3"/>
  <c r="W587" i="3"/>
  <c r="X587" i="3" s="1"/>
  <c r="W490" i="3"/>
  <c r="X490" i="3" s="1"/>
  <c r="V707" i="3"/>
  <c r="V704" i="3"/>
  <c r="W424" i="3"/>
  <c r="W583" i="3"/>
  <c r="X583" i="3" s="1"/>
  <c r="W553" i="3"/>
  <c r="V499" i="3"/>
  <c r="V418" i="3"/>
  <c r="V417" i="3"/>
  <c r="W639" i="3"/>
  <c r="V666" i="3"/>
  <c r="V641" i="3"/>
  <c r="V465" i="3"/>
  <c r="V462" i="3"/>
  <c r="W592" i="3"/>
  <c r="W522" i="3"/>
  <c r="V333" i="3"/>
  <c r="V623" i="3"/>
  <c r="W498" i="3"/>
  <c r="X498" i="3" s="1"/>
  <c r="W511" i="3"/>
  <c r="W508" i="3"/>
  <c r="V443" i="3"/>
  <c r="W586" i="3"/>
  <c r="X586" i="3" s="1"/>
  <c r="W190" i="3"/>
  <c r="X190" i="3" s="1"/>
  <c r="V124" i="3"/>
  <c r="V294" i="3"/>
  <c r="V435" i="3"/>
  <c r="W462" i="3"/>
  <c r="W427" i="3"/>
  <c r="X427" i="3" s="1"/>
  <c r="V329" i="3"/>
  <c r="V248" i="3"/>
  <c r="V101" i="3"/>
  <c r="V33" i="3"/>
  <c r="V32" i="3"/>
  <c r="V31" i="3"/>
  <c r="V518" i="3"/>
  <c r="W203" i="3"/>
  <c r="X203" i="3" s="1"/>
  <c r="W548" i="3"/>
  <c r="X548" i="3" s="1"/>
  <c r="V493" i="3"/>
  <c r="W115" i="3"/>
  <c r="W114" i="3"/>
  <c r="X114" i="3" s="1"/>
  <c r="V461" i="3"/>
  <c r="W392" i="3"/>
  <c r="W290" i="3"/>
  <c r="W161" i="3"/>
  <c r="V497" i="3"/>
  <c r="W235" i="3"/>
  <c r="W149" i="3"/>
  <c r="W600" i="3"/>
  <c r="X600" i="3" s="1"/>
  <c r="W598" i="3"/>
  <c r="W597" i="3"/>
  <c r="X597" i="3" s="1"/>
  <c r="V362" i="3"/>
  <c r="W289" i="3"/>
  <c r="X289" i="3" s="1"/>
  <c r="W148" i="3"/>
  <c r="W497" i="3"/>
  <c r="W237" i="3"/>
  <c r="W255" i="3"/>
  <c r="V35" i="3"/>
  <c r="V188" i="3"/>
  <c r="W440" i="3"/>
  <c r="X440" i="3" s="1"/>
  <c r="V185" i="3"/>
  <c r="W479" i="3"/>
  <c r="W471" i="3"/>
  <c r="W470" i="3"/>
  <c r="W54" i="3"/>
  <c r="X54" i="3" s="1"/>
  <c r="W257" i="3"/>
  <c r="V168" i="3"/>
  <c r="W487" i="3"/>
  <c r="V346" i="3"/>
  <c r="V345" i="3"/>
  <c r="W112" i="3"/>
  <c r="V54" i="3"/>
  <c r="W240" i="3"/>
  <c r="X240" i="3" s="1"/>
  <c r="W100" i="3"/>
  <c r="W98" i="3"/>
  <c r="W95" i="3"/>
  <c r="X95" i="3" s="1"/>
  <c r="M21" i="3"/>
  <c r="V337" i="3"/>
  <c r="W163" i="3"/>
  <c r="W162" i="3"/>
  <c r="X162" i="3" s="1"/>
  <c r="V611" i="3"/>
  <c r="W152" i="3"/>
  <c r="V104" i="3"/>
  <c r="V271" i="3"/>
  <c r="W387" i="3"/>
  <c r="X387" i="3" s="1"/>
  <c r="V174" i="3"/>
  <c r="V173" i="3"/>
  <c r="W151" i="3"/>
  <c r="X151" i="3" s="1"/>
  <c r="V695" i="3"/>
  <c r="V694" i="3"/>
  <c r="V643" i="3"/>
  <c r="W685" i="3"/>
  <c r="V603" i="3"/>
  <c r="V683" i="3"/>
  <c r="V682" i="3"/>
  <c r="W684" i="3"/>
  <c r="W608" i="3"/>
  <c r="X608" i="3" s="1"/>
  <c r="W700" i="3"/>
  <c r="V716" i="3"/>
  <c r="V580" i="3"/>
  <c r="V581" i="3"/>
  <c r="W707" i="3"/>
  <c r="V586" i="3"/>
  <c r="V525" i="3"/>
  <c r="V412" i="3"/>
  <c r="W492" i="3"/>
  <c r="V240" i="3"/>
  <c r="V426" i="3"/>
  <c r="W634" i="3"/>
  <c r="W666" i="3"/>
  <c r="X666" i="3" s="1"/>
  <c r="V627" i="3"/>
  <c r="W581" i="3"/>
  <c r="W465" i="3"/>
  <c r="X465" i="3" s="1"/>
  <c r="V429" i="3"/>
  <c r="W623" i="3"/>
  <c r="W565" i="3"/>
  <c r="X565" i="3" s="1"/>
  <c r="W667" i="3"/>
  <c r="X667" i="3" s="1"/>
  <c r="W500" i="3"/>
  <c r="X500" i="3" s="1"/>
  <c r="V242" i="3"/>
  <c r="W579" i="3"/>
  <c r="V186" i="3"/>
  <c r="V113" i="3"/>
  <c r="X113" i="3" s="1"/>
  <c r="M113" i="3" s="1"/>
  <c r="V463" i="3"/>
  <c r="V398" i="3"/>
  <c r="V317" i="3"/>
  <c r="V314" i="3"/>
  <c r="V245" i="3"/>
  <c r="V93" i="3"/>
  <c r="V378" i="3"/>
  <c r="W310" i="3"/>
  <c r="W306" i="3"/>
  <c r="W518" i="3"/>
  <c r="V325" i="3"/>
  <c r="V324" i="3"/>
  <c r="V323" i="3"/>
  <c r="W192" i="3"/>
  <c r="X192" i="3" s="1"/>
  <c r="W550" i="3"/>
  <c r="W485" i="3"/>
  <c r="V305" i="3"/>
  <c r="V302" i="3"/>
  <c r="W38" i="3"/>
  <c r="W388" i="3"/>
  <c r="V290" i="3"/>
  <c r="W399" i="3"/>
  <c r="X399" i="3" s="1"/>
  <c r="V102" i="3"/>
  <c r="V235" i="3"/>
  <c r="V233" i="3"/>
  <c r="X233" i="3" s="1"/>
  <c r="M233" i="3" s="1"/>
  <c r="V231" i="3"/>
  <c r="V230" i="3"/>
  <c r="V50" i="3"/>
  <c r="V425" i="3"/>
  <c r="W371" i="3"/>
  <c r="W277" i="3"/>
  <c r="W216" i="3"/>
  <c r="W215" i="3"/>
  <c r="W213" i="3"/>
  <c r="X213" i="3" s="1"/>
  <c r="W212" i="3"/>
  <c r="X212" i="3" s="1"/>
  <c r="V423" i="3"/>
  <c r="V147" i="3"/>
  <c r="W316" i="3"/>
  <c r="X316" i="3" s="1"/>
  <c r="W256" i="3"/>
  <c r="X256" i="3" s="1"/>
  <c r="V198" i="3"/>
  <c r="W429" i="3"/>
  <c r="X429" i="3" s="1"/>
  <c r="V108" i="3"/>
  <c r="V439" i="3"/>
  <c r="W478" i="3"/>
  <c r="W458" i="3"/>
  <c r="V119" i="3"/>
  <c r="V116" i="3"/>
  <c r="V166" i="3"/>
  <c r="V478" i="3"/>
  <c r="V106" i="3"/>
  <c r="W125" i="3"/>
  <c r="X125" i="3" s="1"/>
  <c r="V336" i="3"/>
  <c r="W17" i="3"/>
  <c r="V163" i="3"/>
  <c r="W611" i="3"/>
  <c r="V238" i="3"/>
  <c r="W91" i="3"/>
  <c r="V39" i="3"/>
  <c r="W245" i="3"/>
  <c r="X245" i="3" s="1"/>
  <c r="V191" i="3"/>
  <c r="V189" i="3"/>
  <c r="V149" i="3"/>
  <c r="W695" i="3"/>
  <c r="V715" i="3"/>
  <c r="V661" i="3"/>
  <c r="W715" i="3"/>
  <c r="X715" i="3" s="1"/>
  <c r="W643" i="3"/>
  <c r="X643" i="3" s="1"/>
  <c r="W599" i="3"/>
  <c r="W704" i="3"/>
  <c r="W615" i="3"/>
  <c r="X615" i="3" s="1"/>
  <c r="W613" i="3"/>
  <c r="V485" i="3"/>
  <c r="W690" i="3"/>
  <c r="W669" i="3"/>
  <c r="W406" i="3"/>
  <c r="V459" i="3"/>
  <c r="V458" i="3"/>
  <c r="V264" i="3"/>
  <c r="V664" i="3"/>
  <c r="W543" i="3"/>
  <c r="V688" i="3"/>
  <c r="V713" i="3"/>
  <c r="W687" i="3"/>
  <c r="X687" i="3" s="1"/>
  <c r="W661" i="3"/>
  <c r="X661" i="3" s="1"/>
  <c r="V660" i="3"/>
  <c r="V659" i="3"/>
  <c r="V658" i="3"/>
  <c r="W652" i="3"/>
  <c r="W705" i="3"/>
  <c r="V638" i="3"/>
  <c r="V680" i="3"/>
  <c r="V615" i="3"/>
  <c r="V614" i="3"/>
  <c r="V662" i="3"/>
  <c r="V597" i="3"/>
  <c r="V559" i="3"/>
  <c r="W676" i="3"/>
  <c r="X676" i="3" s="1"/>
  <c r="V669" i="3"/>
  <c r="V406" i="3"/>
  <c r="V484" i="3"/>
  <c r="X484" i="3" s="1"/>
  <c r="M484" i="3" s="1"/>
  <c r="W585" i="3"/>
  <c r="W584" i="3"/>
  <c r="W442" i="3"/>
  <c r="V568" i="3"/>
  <c r="W502" i="3"/>
  <c r="V316" i="3"/>
  <c r="V557" i="3"/>
  <c r="W438" i="3"/>
  <c r="V449" i="3"/>
  <c r="V448" i="3"/>
  <c r="W338" i="3"/>
  <c r="W30" i="3"/>
  <c r="V95" i="3"/>
  <c r="V720" i="3"/>
  <c r="V719" i="3"/>
  <c r="W416" i="3"/>
  <c r="W394" i="3"/>
  <c r="V243" i="3"/>
  <c r="V548" i="3"/>
  <c r="V410" i="3"/>
  <c r="X410" i="3" s="1"/>
  <c r="W238" i="3"/>
  <c r="X238" i="3" s="1"/>
  <c r="V89" i="3"/>
  <c r="V553" i="3"/>
  <c r="V455" i="3"/>
  <c r="V365" i="3"/>
  <c r="V291" i="3"/>
  <c r="V142" i="3"/>
  <c r="V555" i="3"/>
  <c r="V300" i="3"/>
  <c r="W541" i="3"/>
  <c r="X541" i="3" s="1"/>
  <c r="W377" i="3"/>
  <c r="V263" i="3"/>
  <c r="V293" i="3"/>
  <c r="V419" i="3"/>
  <c r="V280" i="3"/>
  <c r="W207" i="3"/>
  <c r="W205" i="3"/>
  <c r="W370" i="3"/>
  <c r="X370" i="3" s="1"/>
  <c r="W352" i="3"/>
  <c r="X352" i="3" s="1"/>
  <c r="W220" i="3"/>
  <c r="V128" i="3"/>
  <c r="V407" i="3"/>
  <c r="W366" i="3"/>
  <c r="X366" i="3" s="1"/>
  <c r="W214" i="3"/>
  <c r="W137" i="3"/>
  <c r="V59" i="3"/>
  <c r="W400" i="3"/>
  <c r="X400" i="3" s="1"/>
  <c r="W393" i="3"/>
  <c r="V289" i="3"/>
  <c r="W28" i="3"/>
  <c r="V66" i="3"/>
  <c r="W395" i="3"/>
  <c r="V96" i="3"/>
  <c r="V411" i="3"/>
  <c r="W177" i="3"/>
  <c r="W111" i="3"/>
  <c r="W156" i="3"/>
  <c r="V94" i="3"/>
  <c r="V486" i="3"/>
  <c r="W103" i="3"/>
  <c r="W273" i="3"/>
  <c r="V488" i="3"/>
  <c r="W201" i="3"/>
  <c r="W664" i="3"/>
  <c r="W665" i="3"/>
  <c r="V270" i="3"/>
  <c r="V269" i="3"/>
  <c r="W439" i="3"/>
  <c r="X439" i="3" s="1"/>
  <c r="W109" i="3"/>
  <c r="V153" i="3"/>
  <c r="V154" i="3"/>
  <c r="W108" i="3"/>
  <c r="W93" i="3"/>
  <c r="V125" i="3"/>
  <c r="W82" i="3"/>
  <c r="V40" i="3"/>
  <c r="W616" i="3"/>
  <c r="W146" i="3"/>
  <c r="X146" i="3" s="1"/>
  <c r="W464" i="3"/>
  <c r="W714" i="3"/>
  <c r="W711" i="3"/>
  <c r="V652" i="3"/>
  <c r="V564" i="3"/>
  <c r="V562" i="3"/>
  <c r="V702" i="3"/>
  <c r="V703" i="3"/>
  <c r="V701" i="3"/>
  <c r="V686" i="3"/>
  <c r="V676" i="3"/>
  <c r="W655" i="3"/>
  <c r="X655" i="3" s="1"/>
  <c r="V572" i="3"/>
  <c r="W510" i="3"/>
  <c r="X510" i="3" s="1"/>
  <c r="V524" i="3"/>
  <c r="V477" i="3"/>
  <c r="W322" i="3"/>
  <c r="V585" i="3"/>
  <c r="V442" i="3"/>
  <c r="V441" i="3"/>
  <c r="V358" i="3"/>
  <c r="W568" i="3"/>
  <c r="X568" i="3" s="1"/>
  <c r="V313" i="3"/>
  <c r="V311" i="3"/>
  <c r="V438" i="3"/>
  <c r="V315" i="3"/>
  <c r="W430" i="3"/>
  <c r="V254" i="3"/>
  <c r="V18" i="3"/>
  <c r="V87" i="3"/>
  <c r="V387" i="3"/>
  <c r="V415" i="3"/>
  <c r="V318" i="3"/>
  <c r="V279" i="3"/>
  <c r="V236" i="3"/>
  <c r="V158" i="3"/>
  <c r="V81" i="3"/>
  <c r="W658" i="3"/>
  <c r="W421" i="3"/>
  <c r="X421" i="3" s="1"/>
  <c r="W360" i="3"/>
  <c r="X360" i="3" s="1"/>
  <c r="V287" i="3"/>
  <c r="X287" i="3" s="1"/>
  <c r="V118" i="3"/>
  <c r="V712" i="3"/>
  <c r="W554" i="3"/>
  <c r="W308" i="3"/>
  <c r="W239" i="3"/>
  <c r="W624" i="3"/>
  <c r="W382" i="3"/>
  <c r="W268" i="3"/>
  <c r="V207" i="3"/>
  <c r="W116" i="3"/>
  <c r="X116" i="3" s="1"/>
  <c r="W364" i="3"/>
  <c r="X364" i="3" s="1"/>
  <c r="V37" i="3"/>
  <c r="V212" i="3"/>
  <c r="W142" i="3"/>
  <c r="V617" i="3"/>
  <c r="V332" i="3"/>
  <c r="V331" i="3"/>
  <c r="W367" i="3"/>
  <c r="V244" i="3"/>
  <c r="X244" i="3" s="1"/>
  <c r="V206" i="3"/>
  <c r="W124" i="3"/>
  <c r="X124" i="3" s="1"/>
  <c r="W39" i="3"/>
  <c r="X39" i="3" s="1"/>
  <c r="W467" i="3"/>
  <c r="X467" i="3" s="1"/>
  <c r="W466" i="3"/>
  <c r="V399" i="3"/>
  <c r="W315" i="3"/>
  <c r="V23" i="3"/>
  <c r="V379" i="3"/>
  <c r="W286" i="3"/>
  <c r="V237" i="3"/>
  <c r="W22" i="3"/>
  <c r="V58" i="3"/>
  <c r="W168" i="3"/>
  <c r="W167" i="3"/>
  <c r="X167" i="3" s="1"/>
  <c r="V335" i="3"/>
  <c r="W415" i="3"/>
  <c r="W208" i="3"/>
  <c r="W105" i="3"/>
  <c r="X105" i="3" s="1"/>
  <c r="W486" i="3"/>
  <c r="W488" i="3"/>
  <c r="W202" i="3"/>
  <c r="V665" i="3"/>
  <c r="W144" i="3"/>
  <c r="W349" i="3"/>
  <c r="W154" i="3"/>
  <c r="W88" i="3"/>
  <c r="X88" i="3" s="1"/>
  <c r="W86" i="3"/>
  <c r="W85" i="3"/>
  <c r="W87" i="3"/>
  <c r="X87" i="3" s="1"/>
  <c r="V41" i="3"/>
  <c r="W83" i="3"/>
  <c r="W75" i="3"/>
  <c r="V247" i="3"/>
  <c r="W344" i="3"/>
  <c r="V170" i="3"/>
  <c r="W49" i="3"/>
  <c r="V143" i="3"/>
  <c r="W32" i="3"/>
  <c r="W31" i="3"/>
  <c r="W713" i="3"/>
  <c r="W677" i="3"/>
  <c r="V711" i="3"/>
  <c r="W718" i="3"/>
  <c r="V706" i="3"/>
  <c r="V678" i="3"/>
  <c r="V646" i="3"/>
  <c r="V647" i="3"/>
  <c r="W564" i="3"/>
  <c r="X564" i="3" s="1"/>
  <c r="W702" i="3"/>
  <c r="X702" i="3" s="1"/>
  <c r="W703" i="3"/>
  <c r="X703" i="3" s="1"/>
  <c r="V689" i="3"/>
  <c r="V677" i="3"/>
  <c r="W607" i="3"/>
  <c r="V587" i="3"/>
  <c r="W539" i="3"/>
  <c r="V655" i="3"/>
  <c r="W463" i="3"/>
  <c r="W549" i="3"/>
  <c r="W686" i="3"/>
  <c r="W552" i="3"/>
  <c r="X552" i="3" s="1"/>
  <c r="V180" i="3"/>
  <c r="W551" i="3"/>
  <c r="X551" i="3" s="1"/>
  <c r="W640" i="3"/>
  <c r="W350" i="3"/>
  <c r="V599" i="3"/>
  <c r="V312" i="3"/>
  <c r="X312" i="3" s="1"/>
  <c r="M312" i="3" s="1"/>
  <c r="W566" i="3"/>
  <c r="V428" i="3"/>
  <c r="V83" i="3"/>
  <c r="W699" i="3"/>
  <c r="W698" i="3"/>
  <c r="W632" i="3"/>
  <c r="V234" i="3"/>
  <c r="W590" i="3"/>
  <c r="X590" i="3" s="1"/>
  <c r="W589" i="3"/>
  <c r="W536" i="3"/>
  <c r="W534" i="3"/>
  <c r="X534" i="3" s="1"/>
  <c r="W532" i="3"/>
  <c r="V225" i="3"/>
  <c r="V79" i="3"/>
  <c r="W662" i="3"/>
  <c r="X662" i="3" s="1"/>
  <c r="V427" i="3"/>
  <c r="V356" i="3"/>
  <c r="V282" i="3"/>
  <c r="V97" i="3"/>
  <c r="W675" i="3"/>
  <c r="X675" i="3" s="1"/>
  <c r="W538" i="3"/>
  <c r="W491" i="3"/>
  <c r="W309" i="3"/>
  <c r="V490" i="3"/>
  <c r="V217" i="3"/>
  <c r="W450" i="3"/>
  <c r="V292" i="3"/>
  <c r="V139" i="3"/>
  <c r="V624" i="3"/>
  <c r="V382" i="3"/>
  <c r="V381" i="3"/>
  <c r="V199" i="3"/>
  <c r="W363" i="3"/>
  <c r="W27" i="3"/>
  <c r="V45" i="3"/>
  <c r="V353" i="3"/>
  <c r="W617" i="3"/>
  <c r="V403" i="3"/>
  <c r="W332" i="3"/>
  <c r="V397" i="3"/>
  <c r="W230" i="3"/>
  <c r="V467" i="3"/>
  <c r="V466" i="3"/>
  <c r="V400" i="3"/>
  <c r="W314" i="3"/>
  <c r="X314" i="3" s="1"/>
  <c r="W198" i="3"/>
  <c r="X198" i="3" s="1"/>
  <c r="W23" i="3"/>
  <c r="X23" i="3" s="1"/>
  <c r="V375" i="3"/>
  <c r="W223" i="3"/>
  <c r="W170" i="3"/>
  <c r="W20" i="3"/>
  <c r="X20" i="3" s="1"/>
  <c r="V274" i="3"/>
  <c r="V84" i="3"/>
  <c r="W118" i="3"/>
  <c r="X118" i="3" s="1"/>
  <c r="W489" i="3"/>
  <c r="W335" i="3"/>
  <c r="V140" i="3"/>
  <c r="V383" i="3"/>
  <c r="W348" i="3"/>
  <c r="V55" i="3"/>
  <c r="V475" i="3"/>
  <c r="W506" i="3"/>
  <c r="V187" i="3"/>
  <c r="V202" i="3"/>
  <c r="W128" i="3"/>
  <c r="X128" i="3" s="1"/>
  <c r="W150" i="3"/>
  <c r="X150" i="3" s="1"/>
  <c r="V88" i="3"/>
  <c r="V538" i="3"/>
  <c r="W337" i="3"/>
  <c r="X337" i="3" s="1"/>
  <c r="W241" i="3"/>
  <c r="W236" i="3"/>
  <c r="W247" i="3"/>
  <c r="W673" i="3"/>
  <c r="W672" i="3"/>
  <c r="X672" i="3" s="1"/>
  <c r="W516" i="3"/>
  <c r="X516" i="3" s="1"/>
  <c r="W513" i="3"/>
  <c r="W514" i="3"/>
  <c r="X514" i="3" s="1"/>
  <c r="W519" i="3"/>
  <c r="V560" i="3"/>
  <c r="V558" i="3"/>
  <c r="W577" i="3"/>
  <c r="W576" i="3"/>
  <c r="W575" i="3"/>
  <c r="W657" i="3"/>
  <c r="W275" i="3"/>
  <c r="X275" i="3" s="1"/>
  <c r="W276" i="3"/>
  <c r="X276" i="3" s="1"/>
  <c r="W266" i="3"/>
  <c r="V445" i="3"/>
  <c r="W194" i="3"/>
  <c r="W483" i="3"/>
  <c r="W482" i="3"/>
  <c r="W260" i="3"/>
  <c r="W303" i="3"/>
  <c r="W301" i="3"/>
  <c r="V127" i="3"/>
  <c r="V437" i="3"/>
  <c r="W184" i="3"/>
  <c r="X184" i="3" s="1"/>
  <c r="W182" i="3"/>
  <c r="W353" i="3"/>
  <c r="W219" i="3"/>
  <c r="W217" i="3"/>
  <c r="V34" i="3"/>
  <c r="V446" i="3"/>
  <c r="V591" i="3"/>
  <c r="V621" i="3"/>
  <c r="V668" i="3"/>
  <c r="W614" i="3"/>
  <c r="X614" i="3" s="1"/>
  <c r="V384" i="3"/>
  <c r="M601" i="3"/>
  <c r="W507" i="3"/>
  <c r="W659" i="3"/>
  <c r="V482" i="3"/>
  <c r="V402" i="3"/>
  <c r="W533" i="3"/>
  <c r="X533" i="3" s="1"/>
  <c r="V67" i="3"/>
  <c r="W633" i="3"/>
  <c r="V622" i="3"/>
  <c r="W402" i="3"/>
  <c r="X402" i="3" s="1"/>
  <c r="M244" i="3"/>
  <c r="V190" i="3"/>
  <c r="W636" i="3"/>
  <c r="V277" i="3"/>
  <c r="V123" i="3"/>
  <c r="W47" i="3"/>
  <c r="X47" i="3" s="1"/>
  <c r="W46" i="3"/>
  <c r="X46" i="3" s="1"/>
  <c r="V616" i="3"/>
  <c r="V132" i="3"/>
  <c r="W473" i="3"/>
  <c r="V167" i="3"/>
  <c r="W262" i="3"/>
  <c r="W64" i="3"/>
  <c r="W63" i="3"/>
  <c r="X63" i="3" s="1"/>
  <c r="W52" i="3"/>
  <c r="W446" i="3"/>
  <c r="X446" i="3" s="1"/>
  <c r="W654" i="3"/>
  <c r="X654" i="3" s="1"/>
  <c r="V567" i="3"/>
  <c r="V566" i="3"/>
  <c r="V565" i="3"/>
  <c r="W384" i="3"/>
  <c r="W383" i="3"/>
  <c r="V370" i="3"/>
  <c r="V481" i="3"/>
  <c r="V322" i="3"/>
  <c r="W298" i="3"/>
  <c r="W379" i="3"/>
  <c r="W297" i="3"/>
  <c r="X297" i="3" s="1"/>
  <c r="W299" i="3"/>
  <c r="V148" i="3"/>
  <c r="W515" i="3"/>
  <c r="W409" i="3"/>
  <c r="W288" i="3"/>
  <c r="W435" i="3"/>
  <c r="V65" i="3"/>
  <c r="V63" i="3"/>
  <c r="W635" i="3"/>
  <c r="V253" i="3"/>
  <c r="V447" i="3"/>
  <c r="V211" i="3"/>
  <c r="W218" i="3"/>
  <c r="X218" i="3" s="1"/>
  <c r="V546" i="3"/>
  <c r="W291" i="3"/>
  <c r="V146" i="3"/>
  <c r="W480" i="3"/>
  <c r="W620" i="3"/>
  <c r="X620" i="3" s="1"/>
  <c r="V171" i="3"/>
  <c r="V369" i="3"/>
  <c r="W123" i="3"/>
  <c r="V47" i="3"/>
  <c r="W253" i="3"/>
  <c r="V197" i="3"/>
  <c r="W475" i="3"/>
  <c r="M65" i="3"/>
  <c r="V273" i="3"/>
  <c r="W40" i="3"/>
  <c r="X40" i="3" s="1"/>
  <c r="V349" i="3"/>
  <c r="V261" i="3"/>
  <c r="V262" i="3"/>
  <c r="W61" i="3"/>
  <c r="W186" i="3"/>
  <c r="X186" i="3" s="1"/>
  <c r="M135" i="3"/>
  <c r="W264" i="3"/>
  <c r="V141" i="3"/>
  <c r="V685" i="3"/>
  <c r="V684" i="3"/>
  <c r="M680" i="3"/>
  <c r="W591" i="3"/>
  <c r="V554" i="3"/>
  <c r="W521" i="3"/>
  <c r="X521" i="3" s="1"/>
  <c r="V535" i="3"/>
  <c r="V534" i="3"/>
  <c r="V533" i="3"/>
  <c r="V258" i="3"/>
  <c r="W476" i="3"/>
  <c r="W627" i="3"/>
  <c r="V396" i="3"/>
  <c r="V395" i="3"/>
  <c r="V393" i="3"/>
  <c r="V526" i="3"/>
  <c r="W448" i="3"/>
  <c r="W628" i="3"/>
  <c r="X628" i="3" s="1"/>
  <c r="W501" i="3"/>
  <c r="W499" i="3"/>
  <c r="X499" i="3" s="1"/>
  <c r="W495" i="3"/>
  <c r="W447" i="3"/>
  <c r="X447" i="3" s="1"/>
  <c r="W281" i="3"/>
  <c r="V374" i="3"/>
  <c r="V373" i="3"/>
  <c r="V368" i="3"/>
  <c r="V296" i="3"/>
  <c r="W449" i="3"/>
  <c r="W334" i="3"/>
  <c r="W333" i="3"/>
  <c r="W523" i="3"/>
  <c r="V343" i="3"/>
  <c r="V43" i="3"/>
  <c r="W537" i="3"/>
  <c r="W342" i="3"/>
  <c r="V609" i="3"/>
  <c r="V321" i="3"/>
  <c r="V268" i="3"/>
  <c r="V267" i="3"/>
  <c r="V172" i="3"/>
  <c r="W199" i="3"/>
  <c r="V107" i="3"/>
  <c r="X107" i="3" s="1"/>
  <c r="M107" i="3" s="1"/>
  <c r="V249" i="3"/>
  <c r="W62" i="3"/>
  <c r="W58" i="3"/>
  <c r="W57" i="3"/>
  <c r="V528" i="3"/>
  <c r="W37" i="3"/>
  <c r="W610" i="3"/>
  <c r="W254" i="3"/>
  <c r="V473" i="3"/>
  <c r="W368" i="3"/>
  <c r="V176" i="3"/>
  <c r="V340" i="3"/>
  <c r="V164" i="3"/>
  <c r="W197" i="3"/>
  <c r="W119" i="3"/>
  <c r="V588" i="3"/>
  <c r="W717" i="3"/>
  <c r="V651" i="3"/>
  <c r="V650" i="3"/>
  <c r="V640" i="3"/>
  <c r="V522" i="3"/>
  <c r="V521" i="3"/>
  <c r="V520" i="3"/>
  <c r="V594" i="3"/>
  <c r="V511" i="3"/>
  <c r="V510" i="3"/>
  <c r="V272" i="3"/>
  <c r="W369" i="3"/>
  <c r="W294" i="3"/>
  <c r="W436" i="3"/>
  <c r="W330" i="3"/>
  <c r="V103" i="3"/>
  <c r="W525" i="3"/>
  <c r="X525" i="3" s="1"/>
  <c r="W259" i="3"/>
  <c r="V115" i="3"/>
  <c r="V392" i="3"/>
  <c r="V391" i="3"/>
  <c r="V162" i="3"/>
  <c r="V468" i="3"/>
  <c r="V531" i="3"/>
  <c r="W468" i="3"/>
  <c r="X468" i="3" s="1"/>
  <c r="V62" i="3"/>
  <c r="V57" i="3"/>
  <c r="V432" i="3"/>
  <c r="V431" i="3"/>
  <c r="W300" i="3"/>
  <c r="W263" i="3"/>
  <c r="V687" i="3"/>
  <c r="W619" i="3"/>
  <c r="X619" i="3" s="1"/>
  <c r="W649" i="3"/>
  <c r="W646" i="3"/>
  <c r="W647" i="3"/>
  <c r="X647" i="3" s="1"/>
  <c r="V542" i="3"/>
  <c r="V700" i="3"/>
  <c r="V625" i="3"/>
  <c r="V637" i="3"/>
  <c r="W580" i="3"/>
  <c r="V671" i="3"/>
  <c r="W545" i="3"/>
  <c r="W420" i="3"/>
  <c r="W419" i="3"/>
  <c r="V672" i="3"/>
  <c r="V673" i="3"/>
  <c r="W644" i="3"/>
  <c r="V420" i="3"/>
  <c r="W605" i="3"/>
  <c r="W391" i="3"/>
  <c r="X391" i="3" s="1"/>
  <c r="V286" i="3"/>
  <c r="W603" i="3"/>
  <c r="X603" i="3" s="1"/>
  <c r="V516" i="3"/>
  <c r="W456" i="3"/>
  <c r="V308" i="3"/>
  <c r="W509" i="3"/>
  <c r="V366" i="3"/>
  <c r="W678" i="3"/>
  <c r="X678" i="3" s="1"/>
  <c r="W674" i="3"/>
  <c r="V519" i="3"/>
  <c r="W560" i="3"/>
  <c r="X560" i="3" s="1"/>
  <c r="W559" i="3"/>
  <c r="X559" i="3" s="1"/>
  <c r="W558" i="3"/>
  <c r="X558" i="3" s="1"/>
  <c r="V598" i="3"/>
  <c r="V512" i="3"/>
  <c r="V595" i="3"/>
  <c r="V421" i="3"/>
  <c r="W307" i="3"/>
  <c r="W179" i="3"/>
  <c r="X179" i="3" s="1"/>
  <c r="V75" i="3"/>
  <c r="V699" i="3"/>
  <c r="V696" i="3"/>
  <c r="V698" i="3"/>
  <c r="V697" i="3"/>
  <c r="V632" i="3"/>
  <c r="V307" i="3"/>
  <c r="V227" i="3"/>
  <c r="X227" i="3" s="1"/>
  <c r="M227" i="3" s="1"/>
  <c r="V224" i="3"/>
  <c r="V226" i="3"/>
  <c r="V590" i="3"/>
  <c r="V589" i="3"/>
  <c r="V536" i="3"/>
  <c r="W272" i="3"/>
  <c r="X272" i="3" s="1"/>
  <c r="V150" i="3"/>
  <c r="V77" i="3"/>
  <c r="W660" i="3"/>
  <c r="V351" i="3"/>
  <c r="V85" i="3"/>
  <c r="V675" i="3"/>
  <c r="V551" i="3"/>
  <c r="V491" i="3"/>
  <c r="W452" i="3"/>
  <c r="W210" i="3"/>
  <c r="V450" i="3"/>
  <c r="V232" i="3"/>
  <c r="W139" i="3"/>
  <c r="X139" i="3" s="1"/>
  <c r="W138" i="3"/>
  <c r="W405" i="3"/>
  <c r="V256" i="3"/>
  <c r="V194" i="3"/>
  <c r="W104" i="3"/>
  <c r="V354" i="3"/>
  <c r="V20" i="3"/>
  <c r="W44" i="3"/>
  <c r="W43" i="3"/>
  <c r="V133" i="3"/>
  <c r="W561" i="3"/>
  <c r="W461" i="3"/>
  <c r="V539" i="3"/>
  <c r="W374" i="3"/>
  <c r="X374" i="3" s="1"/>
  <c r="V359" i="3"/>
  <c r="V114" i="3"/>
  <c r="V17" i="3"/>
  <c r="W323" i="3"/>
  <c r="V679" i="3"/>
  <c r="W351" i="3"/>
  <c r="W169" i="3"/>
  <c r="V61" i="3"/>
  <c r="W187" i="3"/>
  <c r="X187" i="3" s="1"/>
  <c r="V25" i="3"/>
  <c r="V275" i="3"/>
  <c r="V72" i="3"/>
  <c r="W226" i="3"/>
  <c r="X226" i="3" s="1"/>
  <c r="W136" i="3"/>
  <c r="X136" i="3" s="1"/>
  <c r="W94" i="3"/>
  <c r="W41" i="3"/>
  <c r="V111" i="3"/>
  <c r="V452" i="3"/>
  <c r="W166" i="3"/>
  <c r="W181" i="3"/>
  <c r="V506" i="3"/>
  <c r="V152" i="3"/>
  <c r="V480" i="3"/>
  <c r="W296" i="3"/>
  <c r="X296" i="3" s="1"/>
  <c r="V184" i="3"/>
  <c r="V183" i="3"/>
  <c r="V70" i="3"/>
  <c r="V68" i="3"/>
  <c r="W252" i="3"/>
  <c r="W117" i="3"/>
  <c r="X274" i="3" l="1"/>
  <c r="M274" i="3" s="1"/>
  <c r="X32" i="3"/>
  <c r="M32" i="3" s="1"/>
  <c r="X324" i="3"/>
  <c r="M324" i="3" s="1"/>
  <c r="X612" i="3"/>
  <c r="M612" i="3" s="1"/>
  <c r="X489" i="3"/>
  <c r="M489" i="3" s="1"/>
  <c r="M381" i="3"/>
  <c r="X381" i="3"/>
  <c r="X97" i="3"/>
  <c r="M97" i="3" s="1"/>
  <c r="M234" i="3"/>
  <c r="X234" i="3"/>
  <c r="X154" i="3"/>
  <c r="M154" i="3" s="1"/>
  <c r="X168" i="3"/>
  <c r="M168" i="3" s="1"/>
  <c r="X658" i="3"/>
  <c r="M658" i="3" s="1"/>
  <c r="X714" i="3"/>
  <c r="M714" i="3" s="1"/>
  <c r="X347" i="3"/>
  <c r="X437" i="3"/>
  <c r="X728" i="3"/>
  <c r="M728" i="3" s="1"/>
  <c r="X31" i="3"/>
  <c r="M31" i="3" s="1"/>
  <c r="M153" i="3"/>
  <c r="X89" i="3"/>
  <c r="M89" i="3" s="1"/>
  <c r="X669" i="3"/>
  <c r="M669" i="3" s="1"/>
  <c r="X115" i="3"/>
  <c r="M115" i="3" s="1"/>
  <c r="M424" i="3"/>
  <c r="X424" i="3"/>
  <c r="X727" i="3"/>
  <c r="M727" i="3" s="1"/>
  <c r="X109" i="3"/>
  <c r="M109" i="3" s="1"/>
  <c r="X471" i="3"/>
  <c r="M471" i="3" s="1"/>
  <c r="X580" i="3"/>
  <c r="M580" i="3" s="1"/>
  <c r="M291" i="3"/>
  <c r="X291" i="3"/>
  <c r="X515" i="3"/>
  <c r="M515" i="3" s="1"/>
  <c r="X254" i="3"/>
  <c r="X513" i="3"/>
  <c r="M513" i="3" s="1"/>
  <c r="X102" i="3"/>
  <c r="M102" i="3" s="1"/>
  <c r="X228" i="3"/>
  <c r="M228" i="3" s="1"/>
  <c r="X318" i="3"/>
  <c r="M318" i="3" s="1"/>
  <c r="X406" i="3"/>
  <c r="M406" i="3" s="1"/>
  <c r="M243" i="3"/>
  <c r="X243" i="3"/>
  <c r="X581" i="3"/>
  <c r="X470" i="3"/>
  <c r="M470" i="3" s="1"/>
  <c r="X522" i="3"/>
  <c r="M522" i="3" s="1"/>
  <c r="X405" i="3"/>
  <c r="M405" i="3" s="1"/>
  <c r="X299" i="3"/>
  <c r="M299" i="3" s="1"/>
  <c r="X494" i="3"/>
  <c r="M494" i="3" s="1"/>
  <c r="M132" i="3"/>
  <c r="X132" i="3"/>
  <c r="X90" i="3"/>
  <c r="M90" i="3" s="1"/>
  <c r="X231" i="3"/>
  <c r="M231" i="3" s="1"/>
  <c r="X321" i="3"/>
  <c r="M321" i="3" s="1"/>
  <c r="X326" i="3"/>
  <c r="M326" i="3" s="1"/>
  <c r="X404" i="3"/>
  <c r="M404" i="3" s="1"/>
  <c r="M222" i="3"/>
  <c r="X222" i="3"/>
  <c r="X721" i="3"/>
  <c r="M721" i="3" s="1"/>
  <c r="X86" i="3"/>
  <c r="M86" i="3" s="1"/>
  <c r="X716" i="3"/>
  <c r="M716" i="3" s="1"/>
  <c r="X430" i="3"/>
  <c r="M430" i="3" s="1"/>
  <c r="X711" i="3"/>
  <c r="M711" i="3" s="1"/>
  <c r="M137" i="3"/>
  <c r="X137" i="3"/>
  <c r="X690" i="3"/>
  <c r="M690" i="3" s="1"/>
  <c r="X98" i="3"/>
  <c r="M98" i="3" s="1"/>
  <c r="X592" i="3"/>
  <c r="M592" i="3" s="1"/>
  <c r="X632" i="3"/>
  <c r="M632" i="3" s="1"/>
  <c r="X660" i="3"/>
  <c r="X330" i="3"/>
  <c r="M330" i="3" s="1"/>
  <c r="M610" i="3"/>
  <c r="X610" i="3"/>
  <c r="X475" i="3"/>
  <c r="M475" i="3" s="1"/>
  <c r="X266" i="3"/>
  <c r="M266" i="3" s="1"/>
  <c r="X280" i="3"/>
  <c r="M280" i="3" s="1"/>
  <c r="X653" i="3"/>
  <c r="M453" i="3"/>
  <c r="X453" i="3"/>
  <c r="X51" i="3"/>
  <c r="M51" i="3" s="1"/>
  <c r="X709" i="3"/>
  <c r="M709" i="3" s="1"/>
  <c r="X338" i="3"/>
  <c r="M338" i="3" s="1"/>
  <c r="X695" i="3"/>
  <c r="M695" i="3" s="1"/>
  <c r="X550" i="3"/>
  <c r="M550" i="3" s="1"/>
  <c r="X80" i="3"/>
  <c r="M80" i="3" s="1"/>
  <c r="M462" i="3"/>
  <c r="X462" i="3"/>
  <c r="X544" i="3"/>
  <c r="M544" i="3" s="1"/>
  <c r="X335" i="3"/>
  <c r="M335" i="3" s="1"/>
  <c r="X156" i="3"/>
  <c r="M156" i="3" s="1"/>
  <c r="X524" i="3"/>
  <c r="M524" i="3" s="1"/>
  <c r="M642" i="3"/>
  <c r="X642" i="3"/>
  <c r="X285" i="3"/>
  <c r="M285" i="3" s="1"/>
  <c r="M230" i="3"/>
  <c r="X230" i="3"/>
  <c r="X111" i="3"/>
  <c r="M111" i="3" s="1"/>
  <c r="X700" i="3"/>
  <c r="M700" i="3" s="1"/>
  <c r="X517" i="3"/>
  <c r="M517" i="3" s="1"/>
  <c r="M618" i="3"/>
  <c r="X396" i="3"/>
  <c r="M396" i="3" s="1"/>
  <c r="X284" i="3"/>
  <c r="M284" i="3" s="1"/>
  <c r="M625" i="3"/>
  <c r="X625" i="3"/>
  <c r="X668" i="3"/>
  <c r="X529" i="3"/>
  <c r="M529" i="3" s="1"/>
  <c r="X269" i="3"/>
  <c r="M269" i="3" s="1"/>
  <c r="X362" i="3"/>
  <c r="M362" i="3" s="1"/>
  <c r="M496" i="3"/>
  <c r="X496" i="3"/>
  <c r="X19" i="3"/>
  <c r="M19" i="3" s="1"/>
  <c r="M99" i="3"/>
  <c r="X99" i="3"/>
  <c r="X736" i="3"/>
  <c r="Y736" i="3" s="1"/>
  <c r="X461" i="3"/>
  <c r="M461" i="3" s="1"/>
  <c r="M696" i="3"/>
  <c r="M542" i="3"/>
  <c r="X294" i="3"/>
  <c r="M294" i="3" s="1"/>
  <c r="X717" i="3"/>
  <c r="X342" i="3"/>
  <c r="M342" i="3" s="1"/>
  <c r="X281" i="3"/>
  <c r="X476" i="3"/>
  <c r="M476" i="3" s="1"/>
  <c r="X264" i="3"/>
  <c r="M264" i="3" s="1"/>
  <c r="X253" i="3"/>
  <c r="M253" i="3" s="1"/>
  <c r="X379" i="3"/>
  <c r="M379" i="3" s="1"/>
  <c r="X52" i="3"/>
  <c r="M67" i="3"/>
  <c r="X303" i="3"/>
  <c r="M303" i="3" s="1"/>
  <c r="X673" i="3"/>
  <c r="M673" i="3" s="1"/>
  <c r="X699" i="3"/>
  <c r="M699" i="3" s="1"/>
  <c r="X144" i="3"/>
  <c r="M144" i="3" s="1"/>
  <c r="X22" i="3"/>
  <c r="M22" i="3" s="1"/>
  <c r="X382" i="3"/>
  <c r="M311" i="3"/>
  <c r="X177" i="3"/>
  <c r="X377" i="3"/>
  <c r="X613" i="3"/>
  <c r="M613" i="3" s="1"/>
  <c r="X634" i="3"/>
  <c r="M634" i="3" s="1"/>
  <c r="X110" i="3"/>
  <c r="M110" i="3" s="1"/>
  <c r="M593" i="3"/>
  <c r="X593" i="3"/>
  <c r="X196" i="3"/>
  <c r="M196" i="3" s="1"/>
  <c r="M265" i="3"/>
  <c r="X250" i="3"/>
  <c r="M250" i="3" s="1"/>
  <c r="X626" i="3"/>
  <c r="M626" i="3" s="1"/>
  <c r="M663" i="3"/>
  <c r="X530" i="3"/>
  <c r="M530" i="3" s="1"/>
  <c r="M270" i="3"/>
  <c r="X270" i="3"/>
  <c r="X357" i="3"/>
  <c r="M357" i="3" s="1"/>
  <c r="M295" i="3"/>
  <c r="X295" i="3"/>
  <c r="X359" i="3"/>
  <c r="M359" i="3" s="1"/>
  <c r="X724" i="3"/>
  <c r="M724" i="3" s="1"/>
  <c r="X72" i="3"/>
  <c r="M72" i="3" s="1"/>
  <c r="M73" i="3"/>
  <c r="X160" i="3"/>
  <c r="X319" i="3"/>
  <c r="X696" i="3"/>
  <c r="X158" i="3"/>
  <c r="M158" i="3" s="1"/>
  <c r="X567" i="3"/>
  <c r="X267" i="3"/>
  <c r="X126" i="3"/>
  <c r="M126" i="3" s="1"/>
  <c r="X710" i="3"/>
  <c r="M710" i="3" s="1"/>
  <c r="X691" i="3"/>
  <c r="M691" i="3" s="1"/>
  <c r="M138" i="3"/>
  <c r="X138" i="3"/>
  <c r="X301" i="3"/>
  <c r="M301" i="3" s="1"/>
  <c r="M698" i="3"/>
  <c r="X698" i="3"/>
  <c r="X49" i="3"/>
  <c r="M206" i="3"/>
  <c r="X464" i="3"/>
  <c r="M464" i="3" s="1"/>
  <c r="X479" i="3"/>
  <c r="M479" i="3" s="1"/>
  <c r="M232" i="3"/>
  <c r="X674" i="3"/>
  <c r="M674" i="3" s="1"/>
  <c r="X369" i="3"/>
  <c r="M369" i="3" s="1"/>
  <c r="X537" i="3"/>
  <c r="X549" i="3"/>
  <c r="M549" i="3" s="1"/>
  <c r="X624" i="3"/>
  <c r="X518" i="3"/>
  <c r="M518" i="3" s="1"/>
  <c r="X684" i="3"/>
  <c r="M684" i="3" s="1"/>
  <c r="M178" i="3"/>
  <c r="X178" i="3"/>
  <c r="X546" i="3"/>
  <c r="X127" i="3"/>
  <c r="M127" i="3" s="1"/>
  <c r="X84" i="3"/>
  <c r="X283" i="3"/>
  <c r="X637" i="3"/>
  <c r="M637" i="3" s="1"/>
  <c r="X618" i="3"/>
  <c r="X181" i="3"/>
  <c r="M181" i="3" s="1"/>
  <c r="M133" i="3"/>
  <c r="X646" i="3"/>
  <c r="M646" i="3" s="1"/>
  <c r="X119" i="3"/>
  <c r="M119" i="3" s="1"/>
  <c r="X58" i="3"/>
  <c r="X495" i="3"/>
  <c r="M495" i="3" s="1"/>
  <c r="X123" i="3"/>
  <c r="X635" i="3"/>
  <c r="X64" i="3"/>
  <c r="X636" i="3"/>
  <c r="M636" i="3" s="1"/>
  <c r="X260" i="3"/>
  <c r="M260" i="3" s="1"/>
  <c r="X506" i="3"/>
  <c r="M506" i="3" s="1"/>
  <c r="X170" i="3"/>
  <c r="M170" i="3" s="1"/>
  <c r="X450" i="3"/>
  <c r="M79" i="3"/>
  <c r="M428" i="3"/>
  <c r="X463" i="3"/>
  <c r="X202" i="3"/>
  <c r="X286" i="3"/>
  <c r="M286" i="3" s="1"/>
  <c r="X239" i="3"/>
  <c r="M239" i="3" s="1"/>
  <c r="X665" i="3"/>
  <c r="M665" i="3" s="1"/>
  <c r="M96" i="3"/>
  <c r="X394" i="3"/>
  <c r="M394" i="3" s="1"/>
  <c r="X502" i="3"/>
  <c r="M502" i="3" s="1"/>
  <c r="X704" i="3"/>
  <c r="X91" i="3"/>
  <c r="M91" i="3" s="1"/>
  <c r="X458" i="3"/>
  <c r="M458" i="3" s="1"/>
  <c r="X215" i="3"/>
  <c r="M215" i="3" s="1"/>
  <c r="X306" i="3"/>
  <c r="M306" i="3" s="1"/>
  <c r="X112" i="3"/>
  <c r="X235" i="3"/>
  <c r="X59" i="3"/>
  <c r="X176" i="3"/>
  <c r="M176" i="3" s="1"/>
  <c r="X426" i="3"/>
  <c r="X622" i="3"/>
  <c r="M622" i="3" s="1"/>
  <c r="X339" i="3"/>
  <c r="M339" i="3" s="1"/>
  <c r="X258" i="3"/>
  <c r="M570" i="3"/>
  <c r="X527" i="3"/>
  <c r="M527" i="3" s="1"/>
  <c r="X444" i="3"/>
  <c r="M444" i="3" s="1"/>
  <c r="X547" i="3"/>
  <c r="M547" i="3" s="1"/>
  <c r="M645" i="3"/>
  <c r="X414" i="3"/>
  <c r="M414" i="3" s="1"/>
  <c r="X42" i="3"/>
  <c r="M42" i="3" s="1"/>
  <c r="M722" i="3"/>
  <c r="X722" i="3"/>
  <c r="X81" i="3"/>
  <c r="X385" i="3"/>
  <c r="M385" i="3" s="1"/>
  <c r="X117" i="3"/>
  <c r="X166" i="3"/>
  <c r="M166" i="3" s="1"/>
  <c r="X169" i="3"/>
  <c r="M169" i="3" s="1"/>
  <c r="X43" i="3"/>
  <c r="X210" i="3"/>
  <c r="M210" i="3" s="1"/>
  <c r="X649" i="3"/>
  <c r="M649" i="3" s="1"/>
  <c r="X197" i="3"/>
  <c r="M197" i="3" s="1"/>
  <c r="X62" i="3"/>
  <c r="X61" i="3"/>
  <c r="X262" i="3"/>
  <c r="X217" i="3"/>
  <c r="M217" i="3" s="1"/>
  <c r="M577" i="3"/>
  <c r="X577" i="3"/>
  <c r="X247" i="3"/>
  <c r="M247" i="3" s="1"/>
  <c r="M223" i="3"/>
  <c r="X223" i="3"/>
  <c r="X617" i="3"/>
  <c r="M225" i="3"/>
  <c r="X566" i="3"/>
  <c r="M706" i="3"/>
  <c r="X75" i="3"/>
  <c r="M75" i="3" s="1"/>
  <c r="X488" i="3"/>
  <c r="M488" i="3" s="1"/>
  <c r="X308" i="3"/>
  <c r="M308" i="3" s="1"/>
  <c r="X664" i="3"/>
  <c r="M664" i="3" s="1"/>
  <c r="X395" i="3"/>
  <c r="X220" i="3"/>
  <c r="M555" i="3"/>
  <c r="X416" i="3"/>
  <c r="M416" i="3" s="1"/>
  <c r="X543" i="3"/>
  <c r="M543" i="3" s="1"/>
  <c r="X599" i="3"/>
  <c r="X478" i="3"/>
  <c r="M478" i="3" s="1"/>
  <c r="M216" i="3"/>
  <c r="X216" i="3"/>
  <c r="X388" i="3"/>
  <c r="M388" i="3" s="1"/>
  <c r="M310" i="3"/>
  <c r="X310" i="3"/>
  <c r="X492" i="3"/>
  <c r="M492" i="3" s="1"/>
  <c r="X152" i="3"/>
  <c r="X639" i="3"/>
  <c r="M639" i="3" s="1"/>
  <c r="X173" i="3"/>
  <c r="M173" i="3" s="1"/>
  <c r="M36" i="3"/>
  <c r="X36" i="3"/>
  <c r="X432" i="3"/>
  <c r="M432" i="3" s="1"/>
  <c r="X650" i="3"/>
  <c r="M650" i="3" s="1"/>
  <c r="X340" i="3"/>
  <c r="X320" i="3"/>
  <c r="X445" i="3"/>
  <c r="M445" i="3" s="1"/>
  <c r="X355" i="3"/>
  <c r="M355" i="3" s="1"/>
  <c r="X121" i="3"/>
  <c r="M121" i="3" s="1"/>
  <c r="X147" i="3"/>
  <c r="M147" i="3" s="1"/>
  <c r="M730" i="3"/>
  <c r="X730" i="3"/>
  <c r="X331" i="3"/>
  <c r="M331" i="3" s="1"/>
  <c r="X45" i="3"/>
  <c r="X422" i="3"/>
  <c r="M422" i="3" s="1"/>
  <c r="X76" i="3"/>
  <c r="M76" i="3" s="1"/>
  <c r="X133" i="3"/>
  <c r="X77" i="3"/>
  <c r="M77" i="3" s="1"/>
  <c r="X701" i="3"/>
  <c r="M701" i="3" s="1"/>
  <c r="X252" i="3"/>
  <c r="M252" i="3" s="1"/>
  <c r="X351" i="3"/>
  <c r="X44" i="3"/>
  <c r="M44" i="3" s="1"/>
  <c r="X452" i="3"/>
  <c r="M452" i="3" s="1"/>
  <c r="X307" i="3"/>
  <c r="M307" i="3" s="1"/>
  <c r="X509" i="3"/>
  <c r="M509" i="3" s="1"/>
  <c r="X419" i="3"/>
  <c r="M419" i="3" s="1"/>
  <c r="M164" i="3"/>
  <c r="X523" i="3"/>
  <c r="M523" i="3" s="1"/>
  <c r="X501" i="3"/>
  <c r="M501" i="3" s="1"/>
  <c r="X659" i="3"/>
  <c r="M659" i="3" s="1"/>
  <c r="X219" i="3"/>
  <c r="X482" i="3"/>
  <c r="M482" i="3" s="1"/>
  <c r="X236" i="3"/>
  <c r="M236" i="3" s="1"/>
  <c r="X532" i="3"/>
  <c r="M532" i="3" s="1"/>
  <c r="X539" i="3"/>
  <c r="X718" i="3"/>
  <c r="X83" i="3"/>
  <c r="M83" i="3" s="1"/>
  <c r="X486" i="3"/>
  <c r="X554" i="3"/>
  <c r="M554" i="3" s="1"/>
  <c r="M82" i="3"/>
  <c r="X82" i="3"/>
  <c r="X201" i="3"/>
  <c r="M66" i="3"/>
  <c r="M719" i="3"/>
  <c r="X442" i="3"/>
  <c r="M442" i="3" s="1"/>
  <c r="X611" i="3"/>
  <c r="M611" i="3" s="1"/>
  <c r="X277" i="3"/>
  <c r="M277" i="3" s="1"/>
  <c r="X38" i="3"/>
  <c r="M38" i="3" s="1"/>
  <c r="X255" i="3"/>
  <c r="M255" i="3" s="1"/>
  <c r="X161" i="3"/>
  <c r="X508" i="3"/>
  <c r="M508" i="3" s="1"/>
  <c r="X174" i="3"/>
  <c r="M174" i="3" s="1"/>
  <c r="X477" i="3"/>
  <c r="M477" i="3" s="1"/>
  <c r="X389" i="3"/>
  <c r="M389" i="3" s="1"/>
  <c r="X390" i="3"/>
  <c r="M390" i="3" s="1"/>
  <c r="X651" i="3"/>
  <c r="M651" i="3" s="1"/>
  <c r="X630" i="3"/>
  <c r="M630" i="3" s="1"/>
  <c r="M69" i="3"/>
  <c r="X193" i="3"/>
  <c r="M193" i="3" s="1"/>
  <c r="X423" i="3"/>
  <c r="M423" i="3" s="1"/>
  <c r="X372" i="3"/>
  <c r="M372" i="3" s="1"/>
  <c r="X425" i="3"/>
  <c r="X155" i="3"/>
  <c r="M155" i="3" s="1"/>
  <c r="X153" i="3"/>
  <c r="X562" i="3"/>
  <c r="M562" i="3" s="1"/>
  <c r="X726" i="3"/>
  <c r="X542" i="3"/>
  <c r="X180" i="3"/>
  <c r="M180" i="3" s="1"/>
  <c r="X641" i="3"/>
  <c r="M641" i="3" s="1"/>
  <c r="X96" i="3"/>
  <c r="X60" i="3"/>
  <c r="M60" i="3" s="1"/>
  <c r="X397" i="3"/>
  <c r="M397" i="3" s="1"/>
  <c r="M37" i="3"/>
  <c r="X37" i="3"/>
  <c r="X142" i="3"/>
  <c r="M142" i="3" s="1"/>
  <c r="M302" i="3"/>
  <c r="X685" i="3"/>
  <c r="X487" i="3"/>
  <c r="M487" i="3" s="1"/>
  <c r="X237" i="3"/>
  <c r="M237" i="3" s="1"/>
  <c r="X290" i="3"/>
  <c r="M290" i="3" s="1"/>
  <c r="M101" i="3"/>
  <c r="X511" i="3"/>
  <c r="X271" i="3"/>
  <c r="X185" i="3"/>
  <c r="X609" i="3"/>
  <c r="M609" i="3" s="1"/>
  <c r="X48" i="3"/>
  <c r="M48" i="3" s="1"/>
  <c r="X443" i="3"/>
  <c r="M443" i="3" s="1"/>
  <c r="X317" i="3"/>
  <c r="M317" i="3" s="1"/>
  <c r="X563" i="3"/>
  <c r="M563" i="3" s="1"/>
  <c r="X557" i="3"/>
  <c r="M557" i="3" s="1"/>
  <c r="X375" i="3"/>
  <c r="X373" i="3"/>
  <c r="X734" i="3"/>
  <c r="M734" i="3" s="1"/>
  <c r="X242" i="3"/>
  <c r="M242" i="3" s="1"/>
  <c r="X403" i="3"/>
  <c r="M403" i="3" s="1"/>
  <c r="X663" i="3"/>
  <c r="X251" i="3"/>
  <c r="M251" i="3" s="1"/>
  <c r="X304" i="3"/>
  <c r="M304" i="3" s="1"/>
  <c r="X157" i="3"/>
  <c r="M157" i="3" s="1"/>
  <c r="X165" i="3"/>
  <c r="M165" i="3" s="1"/>
  <c r="X261" i="3"/>
  <c r="M261" i="3" s="1"/>
  <c r="X582" i="3"/>
  <c r="M582" i="3" s="1"/>
  <c r="X282" i="3"/>
  <c r="M26" i="3"/>
  <c r="M398" i="3"/>
  <c r="X398" i="3"/>
  <c r="X578" i="3"/>
  <c r="M578" i="3" s="1"/>
  <c r="X605" i="3"/>
  <c r="M605" i="3" s="1"/>
  <c r="X436" i="3"/>
  <c r="M436" i="3" s="1"/>
  <c r="X627" i="3"/>
  <c r="M627" i="3" s="1"/>
  <c r="M211" i="3"/>
  <c r="M410" i="3"/>
  <c r="X100" i="3"/>
  <c r="M100" i="3" s="1"/>
  <c r="X598" i="3"/>
  <c r="M598" i="3" s="1"/>
  <c r="X648" i="3"/>
  <c r="M648" i="3" s="1"/>
  <c r="X644" i="3"/>
  <c r="M644" i="3" s="1"/>
  <c r="X57" i="3"/>
  <c r="M57" i="3" s="1"/>
  <c r="X298" i="3"/>
  <c r="X575" i="3"/>
  <c r="M575" i="3" s="1"/>
  <c r="M332" i="3"/>
  <c r="X332" i="3"/>
  <c r="X344" i="3"/>
  <c r="M344" i="3" s="1"/>
  <c r="X367" i="3"/>
  <c r="M367" i="3" s="1"/>
  <c r="M313" i="3"/>
  <c r="X378" i="3"/>
  <c r="M378" i="3" s="1"/>
  <c r="X574" i="3"/>
  <c r="M574" i="3" s="1"/>
  <c r="X431" i="3"/>
  <c r="M431" i="3" s="1"/>
  <c r="X341" i="3"/>
  <c r="X200" i="3"/>
  <c r="X576" i="3"/>
  <c r="M576" i="3" s="1"/>
  <c r="X420" i="3"/>
  <c r="M420" i="3" s="1"/>
  <c r="X383" i="3"/>
  <c r="M383" i="3" s="1"/>
  <c r="M353" i="3"/>
  <c r="X353" i="3"/>
  <c r="X241" i="3"/>
  <c r="M45" i="3"/>
  <c r="X315" i="3"/>
  <c r="X28" i="3"/>
  <c r="M638" i="3"/>
  <c r="X371" i="3"/>
  <c r="M371" i="3" s="1"/>
  <c r="M68" i="3"/>
  <c r="X41" i="3"/>
  <c r="M41" i="3" s="1"/>
  <c r="M323" i="3"/>
  <c r="X323" i="3"/>
  <c r="X456" i="3"/>
  <c r="M456" i="3" s="1"/>
  <c r="X545" i="3"/>
  <c r="X263" i="3"/>
  <c r="X199" i="3"/>
  <c r="M199" i="3" s="1"/>
  <c r="X334" i="3"/>
  <c r="M334" i="3" s="1"/>
  <c r="X448" i="3"/>
  <c r="X480" i="3"/>
  <c r="M480" i="3" s="1"/>
  <c r="X288" i="3"/>
  <c r="M288" i="3" s="1"/>
  <c r="X384" i="3"/>
  <c r="X194" i="3"/>
  <c r="M194" i="3" s="1"/>
  <c r="X27" i="3"/>
  <c r="X491" i="3"/>
  <c r="X536" i="3"/>
  <c r="X350" i="3"/>
  <c r="M350" i="3" s="1"/>
  <c r="X607" i="3"/>
  <c r="M607" i="3" s="1"/>
  <c r="X677" i="3"/>
  <c r="M677" i="3" s="1"/>
  <c r="M208" i="3"/>
  <c r="X208" i="3"/>
  <c r="X93" i="3"/>
  <c r="M93" i="3" s="1"/>
  <c r="X273" i="3"/>
  <c r="X205" i="3"/>
  <c r="M205" i="3" s="1"/>
  <c r="M365" i="3"/>
  <c r="X585" i="3"/>
  <c r="M585" i="3" s="1"/>
  <c r="X705" i="3"/>
  <c r="M705" i="3" s="1"/>
  <c r="X17" i="3"/>
  <c r="M17" i="3" s="1"/>
  <c r="M425" i="3"/>
  <c r="M305" i="3"/>
  <c r="X623" i="3"/>
  <c r="M623" i="3" s="1"/>
  <c r="X163" i="3"/>
  <c r="M163" i="3" s="1"/>
  <c r="X497" i="3"/>
  <c r="X392" i="3"/>
  <c r="X120" i="3"/>
  <c r="M120" i="3" s="1"/>
  <c r="X249" i="3"/>
  <c r="M249" i="3" s="1"/>
  <c r="X692" i="3"/>
  <c r="X469" i="3"/>
  <c r="M469" i="3" s="1"/>
  <c r="X481" i="3"/>
  <c r="M481" i="3" s="1"/>
  <c r="X345" i="3"/>
  <c r="X401" i="3"/>
  <c r="X556" i="3"/>
  <c r="X53" i="3"/>
  <c r="X512" i="3"/>
  <c r="X106" i="3"/>
  <c r="M474" i="3"/>
  <c r="X572" i="3"/>
  <c r="X188" i="3"/>
  <c r="M188" i="3" s="1"/>
  <c r="X733" i="3"/>
  <c r="M733" i="3" s="1"/>
  <c r="X411" i="3"/>
  <c r="M411" i="3" s="1"/>
  <c r="X679" i="3"/>
  <c r="M679" i="3" s="1"/>
  <c r="X365" i="3"/>
  <c r="X732" i="3"/>
  <c r="M732" i="3" s="1"/>
  <c r="X535" i="3"/>
  <c r="M535" i="3" s="1"/>
  <c r="X24" i="3"/>
  <c r="M24" i="3" s="1"/>
  <c r="X129" i="3"/>
  <c r="M129" i="3" s="1"/>
  <c r="X92" i="3"/>
  <c r="M92" i="3" s="1"/>
  <c r="X621" i="3"/>
  <c r="M621" i="3" s="1"/>
  <c r="X159" i="3"/>
  <c r="M159" i="3" s="1"/>
  <c r="X457" i="3"/>
  <c r="M457" i="3" s="1"/>
  <c r="X279" i="3"/>
  <c r="M279" i="3" s="1"/>
  <c r="X66" i="3"/>
  <c r="X688" i="3"/>
  <c r="M688" i="3" s="1"/>
  <c r="X708" i="3"/>
  <c r="M708" i="3" s="1"/>
  <c r="X278" i="3"/>
  <c r="M278" i="3" s="1"/>
  <c r="M141" i="3"/>
  <c r="X633" i="3"/>
  <c r="M633" i="3" s="1"/>
  <c r="X657" i="3"/>
  <c r="M657" i="3" s="1"/>
  <c r="M686" i="3"/>
  <c r="X686" i="3"/>
  <c r="X349" i="3"/>
  <c r="M349" i="3" s="1"/>
  <c r="X268" i="3"/>
  <c r="M268" i="3" s="1"/>
  <c r="X214" i="3"/>
  <c r="M214" i="3" s="1"/>
  <c r="X438" i="3"/>
  <c r="X561" i="3"/>
  <c r="M561" i="3" s="1"/>
  <c r="X616" i="3"/>
  <c r="X579" i="3"/>
  <c r="M579" i="3" s="1"/>
  <c r="X149" i="3"/>
  <c r="X413" i="3"/>
  <c r="M413" i="3" s="1"/>
  <c r="M386" i="3"/>
  <c r="X386" i="3"/>
  <c r="X670" i="3"/>
  <c r="M670" i="3" s="1"/>
  <c r="X333" i="3"/>
  <c r="M333" i="3" s="1"/>
  <c r="X435" i="3"/>
  <c r="M435" i="3" s="1"/>
  <c r="M507" i="3"/>
  <c r="X507" i="3"/>
  <c r="X483" i="3"/>
  <c r="M483" i="3" s="1"/>
  <c r="X348" i="3"/>
  <c r="X309" i="3"/>
  <c r="X584" i="3"/>
  <c r="M584" i="3" s="1"/>
  <c r="X588" i="3"/>
  <c r="M588" i="3" s="1"/>
  <c r="M70" i="3"/>
  <c r="X94" i="3"/>
  <c r="M94" i="3" s="1"/>
  <c r="X104" i="3"/>
  <c r="M104" i="3" s="1"/>
  <c r="X300" i="3"/>
  <c r="M300" i="3" s="1"/>
  <c r="X259" i="3"/>
  <c r="M259" i="3" s="1"/>
  <c r="X368" i="3"/>
  <c r="M449" i="3"/>
  <c r="X449" i="3"/>
  <c r="X591" i="3"/>
  <c r="X409" i="3"/>
  <c r="M409" i="3" s="1"/>
  <c r="X473" i="3"/>
  <c r="M473" i="3" s="1"/>
  <c r="X182" i="3"/>
  <c r="M182" i="3" s="1"/>
  <c r="X519" i="3"/>
  <c r="M519" i="3" s="1"/>
  <c r="M363" i="3"/>
  <c r="X363" i="3"/>
  <c r="X538" i="3"/>
  <c r="X589" i="3"/>
  <c r="X640" i="3"/>
  <c r="M640" i="3" s="1"/>
  <c r="X713" i="3"/>
  <c r="M713" i="3" s="1"/>
  <c r="X85" i="3"/>
  <c r="X415" i="3"/>
  <c r="M415" i="3" s="1"/>
  <c r="X466" i="3"/>
  <c r="M466" i="3" s="1"/>
  <c r="M287" i="3"/>
  <c r="X322" i="3"/>
  <c r="X108" i="3"/>
  <c r="M108" i="3" s="1"/>
  <c r="X103" i="3"/>
  <c r="M103" i="3" s="1"/>
  <c r="X393" i="3"/>
  <c r="X207" i="3"/>
  <c r="X30" i="3"/>
  <c r="X652" i="3"/>
  <c r="X485" i="3"/>
  <c r="X707" i="3"/>
  <c r="M694" i="3"/>
  <c r="X257" i="3"/>
  <c r="M257" i="3" s="1"/>
  <c r="X148" i="3"/>
  <c r="M148" i="3" s="1"/>
  <c r="X553" i="3"/>
  <c r="M553" i="3" s="1"/>
  <c r="M175" i="3"/>
  <c r="X175" i="3"/>
  <c r="M145" i="3"/>
  <c r="X569" i="3"/>
  <c r="M569" i="3" s="1"/>
  <c r="X595" i="3"/>
  <c r="X493" i="3"/>
  <c r="X189" i="3"/>
  <c r="X29" i="3"/>
  <c r="X183" i="3"/>
  <c r="X573" i="3"/>
  <c r="M573" i="3" s="1"/>
  <c r="X55" i="3"/>
  <c r="M55" i="3" s="1"/>
  <c r="X25" i="3"/>
  <c r="X407" i="3"/>
  <c r="M407" i="3" s="1"/>
  <c r="M78" i="3"/>
  <c r="X78" i="3"/>
  <c r="X293" i="3"/>
  <c r="X329" i="3"/>
  <c r="M329" i="3" s="1"/>
  <c r="X209" i="3"/>
  <c r="M209" i="3" s="1"/>
  <c r="X737" i="3"/>
  <c r="Y737" i="3" s="1"/>
  <c r="M697" i="3"/>
  <c r="X697" i="3"/>
  <c r="X140" i="3"/>
  <c r="X224" i="3"/>
  <c r="M224" i="3" s="1"/>
  <c r="X232" i="3"/>
  <c r="M56" i="3"/>
  <c r="M293" i="3"/>
  <c r="M84" i="3"/>
  <c r="M81" i="3"/>
  <c r="M140" i="3"/>
  <c r="M25" i="3"/>
  <c r="M160" i="3"/>
  <c r="M179" i="3"/>
  <c r="M218" i="3"/>
  <c r="M654" i="3"/>
  <c r="M656" i="3"/>
  <c r="M619" i="3"/>
  <c r="M297" i="3"/>
  <c r="M46" i="3"/>
  <c r="M450" i="3"/>
  <c r="M583" i="3"/>
  <c r="M671" i="3"/>
  <c r="X16" i="3"/>
  <c r="M16" i="3" s="1"/>
  <c r="M328" i="3"/>
  <c r="M263" i="3"/>
  <c r="M520" i="3"/>
  <c r="M62" i="3"/>
  <c r="M186" i="3"/>
  <c r="M123" i="3"/>
  <c r="M635" i="3"/>
  <c r="M437" i="3"/>
  <c r="M348" i="3"/>
  <c r="M23" i="3"/>
  <c r="M534" i="3"/>
  <c r="M105" i="3"/>
  <c r="M315" i="3"/>
  <c r="M712" i="3"/>
  <c r="M201" i="3"/>
  <c r="M352" i="3"/>
  <c r="M399" i="3"/>
  <c r="M600" i="3"/>
  <c r="M203" i="3"/>
  <c r="M122" i="3"/>
  <c r="M345" i="3"/>
  <c r="M401" i="3"/>
  <c r="M556" i="3"/>
  <c r="M375" i="3"/>
  <c r="M59" i="3"/>
  <c r="M356" i="3"/>
  <c r="M380" i="3"/>
  <c r="M283" i="3"/>
  <c r="M537" i="3"/>
  <c r="M298" i="3"/>
  <c r="M213" i="3"/>
  <c r="M136" i="3"/>
  <c r="M499" i="3"/>
  <c r="M64" i="3"/>
  <c r="M533" i="3"/>
  <c r="M28" i="3"/>
  <c r="M370" i="3"/>
  <c r="M112" i="3"/>
  <c r="M440" i="3"/>
  <c r="M149" i="3"/>
  <c r="M434" i="3"/>
  <c r="M454" i="3"/>
  <c r="M726" i="3"/>
  <c r="M281" i="3"/>
  <c r="M447" i="3"/>
  <c r="M548" i="3"/>
  <c r="M558" i="3"/>
  <c r="M262" i="3"/>
  <c r="M538" i="3"/>
  <c r="M85" i="3"/>
  <c r="M500" i="3"/>
  <c r="M152" i="3"/>
  <c r="M235" i="3"/>
  <c r="M190" i="3"/>
  <c r="M490" i="3"/>
  <c r="M433" i="3"/>
  <c r="M417" i="3"/>
  <c r="M540" i="3"/>
  <c r="M504" i="3"/>
  <c r="M347" i="3"/>
  <c r="M134" i="3"/>
  <c r="M597" i="3"/>
  <c r="M58" i="3"/>
  <c r="M52" i="3"/>
  <c r="M241" i="3"/>
  <c r="M220" i="3"/>
  <c r="M172" i="3"/>
  <c r="M374" i="3"/>
  <c r="M660" i="3"/>
  <c r="M559" i="3"/>
  <c r="M675" i="3"/>
  <c r="M551" i="3"/>
  <c r="M364" i="3"/>
  <c r="M360" i="3"/>
  <c r="M322" i="3"/>
  <c r="M455" i="3"/>
  <c r="M715" i="3"/>
  <c r="M587" i="3"/>
  <c r="M319" i="3"/>
  <c r="M571" i="3"/>
  <c r="M143" i="3"/>
  <c r="M720" i="3"/>
  <c r="M505" i="3"/>
  <c r="M49" i="3"/>
  <c r="M448" i="3"/>
  <c r="M384" i="3"/>
  <c r="M150" i="3"/>
  <c r="M39" i="3"/>
  <c r="M116" i="3"/>
  <c r="M459" i="3"/>
  <c r="M429" i="3"/>
  <c r="M161" i="3"/>
  <c r="M171" i="3"/>
  <c r="M130" i="3"/>
  <c r="M325" i="3"/>
  <c r="M526" i="3"/>
  <c r="M503" i="3"/>
  <c r="Y735" i="3"/>
  <c r="Y728" i="3"/>
  <c r="Y729" i="3"/>
  <c r="S4" i="3"/>
  <c r="R4" i="3"/>
  <c r="M395" i="3"/>
  <c r="M267" i="3"/>
  <c r="M118" i="3"/>
  <c r="M689" i="3"/>
  <c r="M441" i="3"/>
  <c r="M493" i="3"/>
  <c r="P6" i="3"/>
  <c r="N7" i="3"/>
  <c r="M296" i="3"/>
  <c r="M702" i="3"/>
  <c r="M667" i="3"/>
  <c r="M546" i="3"/>
  <c r="M603" i="3"/>
  <c r="M167" i="3"/>
  <c r="M565" i="3"/>
  <c r="M685" i="3"/>
  <c r="M683" i="3"/>
  <c r="M185" i="3"/>
  <c r="M426" i="3"/>
  <c r="M512" i="3"/>
  <c r="M20" i="3"/>
  <c r="M393" i="3"/>
  <c r="M125" i="3"/>
  <c r="M594" i="3"/>
  <c r="M200" i="3"/>
  <c r="M117" i="3"/>
  <c r="M187" i="3"/>
  <c r="M391" i="3"/>
  <c r="M525" i="3"/>
  <c r="M446" i="3"/>
  <c r="M47" i="3"/>
  <c r="M510" i="3"/>
  <c r="M400" i="3"/>
  <c r="M30" i="3"/>
  <c r="M652" i="3"/>
  <c r="M256" i="3"/>
  <c r="M485" i="3"/>
  <c r="M707" i="3"/>
  <c r="M586" i="3"/>
  <c r="M336" i="3"/>
  <c r="M560" i="3"/>
  <c r="M368" i="3"/>
  <c r="M61" i="3"/>
  <c r="M276" i="3"/>
  <c r="M617" i="3"/>
  <c r="M566" i="3"/>
  <c r="M463" i="3"/>
  <c r="M202" i="3"/>
  <c r="M382" i="3"/>
  <c r="M615" i="3"/>
  <c r="M316" i="3"/>
  <c r="M465" i="3"/>
  <c r="M693" i="3"/>
  <c r="M341" i="3"/>
  <c r="M567" i="3"/>
  <c r="M472" i="3"/>
  <c r="M653" i="3"/>
  <c r="M139" i="3"/>
  <c r="M63" i="3"/>
  <c r="M614" i="3"/>
  <c r="M275" i="3"/>
  <c r="M514" i="3"/>
  <c r="M337" i="3"/>
  <c r="M624" i="3"/>
  <c r="M655" i="3"/>
  <c r="M238" i="3"/>
  <c r="M704" i="3"/>
  <c r="M192" i="3"/>
  <c r="M581" i="3"/>
  <c r="M151" i="3"/>
  <c r="M95" i="3"/>
  <c r="M497" i="3"/>
  <c r="M292" i="3"/>
  <c r="M248" i="3"/>
  <c r="M692" i="3"/>
  <c r="M343" i="3"/>
  <c r="M629" i="3"/>
  <c r="M668" i="3"/>
  <c r="M340" i="3"/>
  <c r="M53" i="3"/>
  <c r="M528" i="3"/>
  <c r="M189" i="3"/>
  <c r="M373" i="3"/>
  <c r="M351" i="3"/>
  <c r="M272" i="3"/>
  <c r="M647" i="3"/>
  <c r="M628" i="3"/>
  <c r="M521" i="3"/>
  <c r="M620" i="3"/>
  <c r="M309" i="3"/>
  <c r="M539" i="3"/>
  <c r="M718" i="3"/>
  <c r="M439" i="3"/>
  <c r="M676" i="3"/>
  <c r="M245" i="3"/>
  <c r="M54" i="3"/>
  <c r="M392" i="3"/>
  <c r="M511" i="3"/>
  <c r="M346" i="3"/>
  <c r="M35" i="3"/>
  <c r="M50" i="3"/>
  <c r="M258" i="3"/>
  <c r="M678" i="3"/>
  <c r="M468" i="3"/>
  <c r="M717" i="3"/>
  <c r="M219" i="3"/>
  <c r="M516" i="3"/>
  <c r="M198" i="3"/>
  <c r="M27" i="3"/>
  <c r="M491" i="3"/>
  <c r="M536" i="3"/>
  <c r="M486" i="3"/>
  <c r="M568" i="3"/>
  <c r="M146" i="3"/>
  <c r="M177" i="3"/>
  <c r="M366" i="3"/>
  <c r="M377" i="3"/>
  <c r="M438" i="3"/>
  <c r="M661" i="3"/>
  <c r="M599" i="3"/>
  <c r="M212" i="3"/>
  <c r="M666" i="3"/>
  <c r="M289" i="3"/>
  <c r="M498" i="3"/>
  <c r="M34" i="3"/>
  <c r="M195" i="3"/>
  <c r="M531" i="3"/>
  <c r="M320" i="3"/>
  <c r="M451" i="3"/>
  <c r="M282" i="3"/>
  <c r="M354" i="3"/>
  <c r="M191" i="3"/>
  <c r="M106" i="3"/>
  <c r="M590" i="3"/>
  <c r="S3" i="3"/>
  <c r="R3" i="3"/>
  <c r="S2" i="3"/>
  <c r="M226" i="3"/>
  <c r="M545" i="3"/>
  <c r="M184" i="3"/>
  <c r="M128" i="3"/>
  <c r="M703" i="3"/>
  <c r="M88" i="3"/>
  <c r="M271" i="3"/>
  <c r="R2" i="3"/>
  <c r="M552" i="3"/>
  <c r="M467" i="3"/>
  <c r="M682" i="3"/>
  <c r="M412" i="3"/>
  <c r="M595" i="3"/>
  <c r="Q5" i="3"/>
  <c r="S5" i="3" s="1"/>
  <c r="M564" i="3"/>
  <c r="M421" i="3"/>
  <c r="M273" i="3"/>
  <c r="M162" i="3"/>
  <c r="M402" i="3"/>
  <c r="M662" i="3"/>
  <c r="M124" i="3"/>
  <c r="M207" i="3"/>
  <c r="M43" i="3"/>
  <c r="M254" i="3"/>
  <c r="M591" i="3"/>
  <c r="M40" i="3"/>
  <c r="M672" i="3"/>
  <c r="M314" i="3"/>
  <c r="M589" i="3"/>
  <c r="M87" i="3"/>
  <c r="M616" i="3"/>
  <c r="M541" i="3"/>
  <c r="M687" i="3"/>
  <c r="M643" i="3"/>
  <c r="M608" i="3"/>
  <c r="M387" i="3"/>
  <c r="M240" i="3"/>
  <c r="M114" i="3"/>
  <c r="M427" i="3"/>
  <c r="M418" i="3"/>
  <c r="M221" i="3"/>
  <c r="M29" i="3"/>
  <c r="M183" i="3"/>
  <c r="M572" i="3"/>
  <c r="M736" i="3" l="1"/>
  <c r="M737" i="3"/>
  <c r="Y733" i="3"/>
  <c r="Y734" i="3"/>
  <c r="Y730" i="3"/>
  <c r="Y732" i="3"/>
  <c r="Y731" i="3"/>
  <c r="Y727" i="3"/>
  <c r="P7" i="3"/>
  <c r="N8" i="3"/>
  <c r="Q6" i="3"/>
  <c r="S6" i="3" s="1"/>
  <c r="R5" i="3"/>
  <c r="Q7" i="3" l="1"/>
  <c r="S7" i="3" s="1"/>
  <c r="R6" i="3"/>
  <c r="N9" i="3"/>
  <c r="P8" i="3"/>
  <c r="Q8" i="3" l="1"/>
  <c r="R8" i="3" s="1"/>
  <c r="P9" i="3"/>
  <c r="N10" i="3"/>
  <c r="R7" i="3"/>
  <c r="S8" i="3" l="1"/>
  <c r="N11" i="3"/>
  <c r="P10" i="3"/>
  <c r="Q9" i="3"/>
  <c r="S9" i="3" s="1"/>
  <c r="R9" i="3" l="1"/>
  <c r="N12" i="3"/>
  <c r="P11" i="3"/>
  <c r="Q10" i="3"/>
  <c r="S10" i="3" s="1"/>
  <c r="R10" i="3"/>
  <c r="N13" i="3" l="1"/>
  <c r="P12" i="3"/>
  <c r="Q11" i="3"/>
  <c r="R11" i="3" s="1"/>
  <c r="S11" i="3" l="1"/>
  <c r="Q12" i="3"/>
  <c r="S12" i="3" s="1"/>
  <c r="P13" i="3"/>
  <c r="N14" i="3"/>
  <c r="P14" i="3" l="1"/>
  <c r="N15" i="3"/>
  <c r="Q13" i="3"/>
  <c r="R13" i="3" s="1"/>
  <c r="S13" i="3"/>
  <c r="R12" i="3"/>
  <c r="P15" i="3" l="1"/>
  <c r="N16" i="3"/>
  <c r="Q14" i="3"/>
  <c r="R14" i="3" s="1"/>
  <c r="S14" i="3" l="1"/>
  <c r="Q15" i="3"/>
  <c r="R15" i="3" s="1"/>
  <c r="P16" i="3"/>
  <c r="N17" i="3"/>
  <c r="N18" i="3" l="1"/>
  <c r="P17" i="3"/>
  <c r="Q16" i="3"/>
  <c r="S16" i="3"/>
  <c r="R16" i="3"/>
  <c r="S15" i="3"/>
  <c r="P18" i="3" l="1"/>
  <c r="N19" i="3"/>
  <c r="Q17" i="3"/>
  <c r="S17" i="3" s="1"/>
  <c r="R17" i="3" l="1"/>
  <c r="P19" i="3"/>
  <c r="N20" i="3"/>
  <c r="Q18" i="3"/>
  <c r="R18" i="3" s="1"/>
  <c r="S18" i="3"/>
  <c r="N21" i="3" l="1"/>
  <c r="P20" i="3"/>
  <c r="Q19" i="3"/>
  <c r="R19" i="3" s="1"/>
  <c r="S19" i="3" l="1"/>
  <c r="P21" i="3"/>
  <c r="N22" i="3"/>
  <c r="Q20" i="3"/>
  <c r="S20" i="3"/>
  <c r="R20" i="3"/>
  <c r="P22" i="3" l="1"/>
  <c r="N23" i="3"/>
  <c r="Q21" i="3"/>
  <c r="R21" i="3" s="1"/>
  <c r="S21" i="3"/>
  <c r="Q22" i="3" l="1"/>
  <c r="S22" i="3" s="1"/>
  <c r="N24" i="3"/>
  <c r="P23" i="3"/>
  <c r="R22" i="3" l="1"/>
  <c r="P24" i="3"/>
  <c r="N25" i="3"/>
  <c r="Q23" i="3"/>
  <c r="R23" i="3" s="1"/>
  <c r="S23" i="3"/>
  <c r="Q24" i="3" l="1"/>
  <c r="R24" i="3" s="1"/>
  <c r="N26" i="3"/>
  <c r="P25" i="3"/>
  <c r="Q25" i="3" l="1"/>
  <c r="R25" i="3" s="1"/>
  <c r="P26" i="3"/>
  <c r="N27" i="3"/>
  <c r="S24" i="3"/>
  <c r="P27" i="3" l="1"/>
  <c r="N28" i="3"/>
  <c r="S25" i="3"/>
  <c r="Q26" i="3"/>
  <c r="R26" i="3"/>
  <c r="S26" i="3"/>
  <c r="P28" i="3" l="1"/>
  <c r="N29" i="3"/>
  <c r="Q27" i="3"/>
  <c r="R27" i="3"/>
  <c r="S27" i="3"/>
  <c r="N30" i="3" l="1"/>
  <c r="P29" i="3"/>
  <c r="Q28" i="3"/>
  <c r="R28" i="3" s="1"/>
  <c r="S28" i="3"/>
  <c r="Q29" i="3" l="1"/>
  <c r="S29" i="3"/>
  <c r="R29" i="3"/>
  <c r="P30" i="3"/>
  <c r="N31" i="3"/>
  <c r="Q30" i="3" l="1"/>
  <c r="S30" i="3" s="1"/>
  <c r="P31" i="3"/>
  <c r="N32" i="3"/>
  <c r="Q31" i="3" l="1"/>
  <c r="R31" i="3" s="1"/>
  <c r="S31" i="3"/>
  <c r="N33" i="3"/>
  <c r="P32" i="3"/>
  <c r="R30" i="3"/>
  <c r="Q32" i="3" l="1"/>
  <c r="S32" i="3" s="1"/>
  <c r="P33" i="3"/>
  <c r="N34" i="3"/>
  <c r="N35" i="3" l="1"/>
  <c r="P34" i="3"/>
  <c r="Q33" i="3"/>
  <c r="R33" i="3" s="1"/>
  <c r="S33" i="3"/>
  <c r="R32" i="3"/>
  <c r="Q34" i="3" l="1"/>
  <c r="S34" i="3" s="1"/>
  <c r="N36" i="3"/>
  <c r="P35" i="3"/>
  <c r="Q35" i="3" l="1"/>
  <c r="S35" i="3"/>
  <c r="R35" i="3"/>
  <c r="P36" i="3"/>
  <c r="N37" i="3"/>
  <c r="R34" i="3"/>
  <c r="P37" i="3" l="1"/>
  <c r="N38" i="3"/>
  <c r="Q36" i="3"/>
  <c r="R36" i="3"/>
  <c r="S36" i="3"/>
  <c r="N39" i="3" l="1"/>
  <c r="P38" i="3"/>
  <c r="Q37" i="3"/>
  <c r="R37" i="3" s="1"/>
  <c r="S37" i="3" l="1"/>
  <c r="Q38" i="3"/>
  <c r="R38" i="3"/>
  <c r="S38" i="3"/>
  <c r="P39" i="3"/>
  <c r="N40" i="3"/>
  <c r="P40" i="3" l="1"/>
  <c r="N41" i="3"/>
  <c r="Q39" i="3"/>
  <c r="R39" i="3"/>
  <c r="S39" i="3"/>
  <c r="N42" i="3" l="1"/>
  <c r="P41" i="3"/>
  <c r="Q40" i="3"/>
  <c r="R40" i="3" s="1"/>
  <c r="S40" i="3"/>
  <c r="Q41" i="3" l="1"/>
  <c r="R41" i="3"/>
  <c r="S41" i="3"/>
  <c r="P42" i="3"/>
  <c r="N43" i="3"/>
  <c r="N44" i="3" l="1"/>
  <c r="P43" i="3"/>
  <c r="Q42" i="3"/>
  <c r="R42" i="3"/>
  <c r="S42" i="3"/>
  <c r="Q43" i="3" l="1"/>
  <c r="R43" i="3" s="1"/>
  <c r="S43" i="3"/>
  <c r="N45" i="3"/>
  <c r="P44" i="3"/>
  <c r="Q44" i="3" l="1"/>
  <c r="S44" i="3"/>
  <c r="R44" i="3"/>
  <c r="P45" i="3"/>
  <c r="N46" i="3"/>
  <c r="P46" i="3" l="1"/>
  <c r="N47" i="3"/>
  <c r="Q45" i="3"/>
  <c r="R45" i="3"/>
  <c r="S45" i="3"/>
  <c r="N48" i="3" l="1"/>
  <c r="P47" i="3"/>
  <c r="Q46" i="3"/>
  <c r="S46" i="3"/>
  <c r="R46" i="3"/>
  <c r="Q47" i="3" l="1"/>
  <c r="R47" i="3"/>
  <c r="S47" i="3"/>
  <c r="P48" i="3"/>
  <c r="N49" i="3"/>
  <c r="P49" i="3" l="1"/>
  <c r="N50" i="3"/>
  <c r="Q48" i="3"/>
  <c r="R48" i="3" s="1"/>
  <c r="S48" i="3"/>
  <c r="N51" i="3" l="1"/>
  <c r="P50" i="3"/>
  <c r="Q49" i="3"/>
  <c r="S49" i="3" s="1"/>
  <c r="R49" i="3" l="1"/>
  <c r="Q50" i="3"/>
  <c r="R50" i="3"/>
  <c r="S50" i="3"/>
  <c r="P51" i="3"/>
  <c r="N52" i="3"/>
  <c r="N53" i="3" l="1"/>
  <c r="P52" i="3"/>
  <c r="Q51" i="3"/>
  <c r="R51" i="3" s="1"/>
  <c r="S51" i="3"/>
  <c r="Q52" i="3" l="1"/>
  <c r="R52" i="3" s="1"/>
  <c r="S52" i="3"/>
  <c r="N54" i="3"/>
  <c r="P53" i="3"/>
  <c r="Q53" i="3" l="1"/>
  <c r="S53" i="3" s="1"/>
  <c r="N55" i="3"/>
  <c r="P54" i="3"/>
  <c r="Q54" i="3" l="1"/>
  <c r="R54" i="3" s="1"/>
  <c r="S54" i="3"/>
  <c r="N56" i="3"/>
  <c r="P55" i="3"/>
  <c r="R53" i="3"/>
  <c r="Q55" i="3" l="1"/>
  <c r="R55" i="3" s="1"/>
  <c r="N57" i="3"/>
  <c r="P56" i="3"/>
  <c r="Q56" i="3" l="1"/>
  <c r="R56" i="3" s="1"/>
  <c r="S55" i="3"/>
  <c r="P57" i="3"/>
  <c r="N58" i="3"/>
  <c r="N59" i="3" l="1"/>
  <c r="P58" i="3"/>
  <c r="Q57" i="3"/>
  <c r="R57" i="3"/>
  <c r="S57" i="3"/>
  <c r="S56" i="3"/>
  <c r="Q58" i="3" l="1"/>
  <c r="R58" i="3"/>
  <c r="S58" i="3"/>
  <c r="P59" i="3"/>
  <c r="N60" i="3"/>
  <c r="N61" i="3" l="1"/>
  <c r="P60" i="3"/>
  <c r="Q59" i="3"/>
  <c r="S59" i="3" s="1"/>
  <c r="R59" i="3" l="1"/>
  <c r="Q60" i="3"/>
  <c r="R60" i="3" s="1"/>
  <c r="S60" i="3"/>
  <c r="N62" i="3"/>
  <c r="P61" i="3"/>
  <c r="Q61" i="3" l="1"/>
  <c r="R61" i="3"/>
  <c r="S61" i="3"/>
  <c r="N63" i="3"/>
  <c r="P62" i="3"/>
  <c r="P63" i="3" l="1"/>
  <c r="N64" i="3"/>
  <c r="Q62" i="3"/>
  <c r="R62" i="3" s="1"/>
  <c r="S62" i="3"/>
  <c r="N65" i="3" l="1"/>
  <c r="P64" i="3"/>
  <c r="Q63" i="3"/>
  <c r="R63" i="3" s="1"/>
  <c r="S63" i="3"/>
  <c r="Q64" i="3" l="1"/>
  <c r="R64" i="3" s="1"/>
  <c r="S64" i="3"/>
  <c r="N66" i="3"/>
  <c r="P65" i="3"/>
  <c r="Q65" i="3" l="1"/>
  <c r="S65" i="3" s="1"/>
  <c r="N67" i="3"/>
  <c r="P66" i="3"/>
  <c r="Q66" i="3" l="1"/>
  <c r="R66" i="3" s="1"/>
  <c r="S66" i="3"/>
  <c r="P67" i="3"/>
  <c r="N68" i="3"/>
  <c r="R65" i="3"/>
  <c r="N69" i="3" l="1"/>
  <c r="P68" i="3"/>
  <c r="Q67" i="3"/>
  <c r="R67" i="3" s="1"/>
  <c r="S67" i="3" l="1"/>
  <c r="Q68" i="3"/>
  <c r="R68" i="3" s="1"/>
  <c r="S68" i="3"/>
  <c r="P69" i="3"/>
  <c r="N70" i="3"/>
  <c r="P70" i="3" l="1"/>
  <c r="N71" i="3"/>
  <c r="Q69" i="3"/>
  <c r="R69" i="3"/>
  <c r="S69" i="3"/>
  <c r="P71" i="3" l="1"/>
  <c r="N72" i="3"/>
  <c r="Q70" i="3"/>
  <c r="R70" i="3"/>
  <c r="S70" i="3"/>
  <c r="N73" i="3" l="1"/>
  <c r="P72" i="3"/>
  <c r="Q71" i="3"/>
  <c r="S71" i="3" s="1"/>
  <c r="R71" i="3"/>
  <c r="Q72" i="3" l="1"/>
  <c r="R72" i="3" s="1"/>
  <c r="S72" i="3"/>
  <c r="N74" i="3"/>
  <c r="P73" i="3"/>
  <c r="Q73" i="3" l="1"/>
  <c r="R73" i="3"/>
  <c r="S73" i="3"/>
  <c r="N75" i="3"/>
  <c r="P74" i="3"/>
  <c r="Q74" i="3" l="1"/>
  <c r="R74" i="3"/>
  <c r="S74" i="3"/>
  <c r="P75" i="3"/>
  <c r="N76" i="3"/>
  <c r="N77" i="3" l="1"/>
  <c r="P76" i="3"/>
  <c r="Q75" i="3"/>
  <c r="R75" i="3" s="1"/>
  <c r="S75" i="3" l="1"/>
  <c r="Q76" i="3"/>
  <c r="R76" i="3" s="1"/>
  <c r="S76" i="3"/>
  <c r="N78" i="3"/>
  <c r="P77" i="3"/>
  <c r="Q77" i="3" l="1"/>
  <c r="S77" i="3" s="1"/>
  <c r="N79" i="3"/>
  <c r="P78" i="3"/>
  <c r="Q78" i="3" l="1"/>
  <c r="R78" i="3"/>
  <c r="S78" i="3"/>
  <c r="N80" i="3"/>
  <c r="P79" i="3"/>
  <c r="R77" i="3"/>
  <c r="Q79" i="3" l="1"/>
  <c r="R79" i="3" s="1"/>
  <c r="N81" i="3"/>
  <c r="P80" i="3"/>
  <c r="Q80" i="3" l="1"/>
  <c r="R80" i="3" s="1"/>
  <c r="S80" i="3"/>
  <c r="P81" i="3"/>
  <c r="N82" i="3"/>
  <c r="S79" i="3"/>
  <c r="N83" i="3" l="1"/>
  <c r="P82" i="3"/>
  <c r="Q81" i="3"/>
  <c r="R81" i="3"/>
  <c r="S81" i="3"/>
  <c r="Q82" i="3" l="1"/>
  <c r="R82" i="3"/>
  <c r="S82" i="3"/>
  <c r="P83" i="3"/>
  <c r="N84" i="3"/>
  <c r="N85" i="3" l="1"/>
  <c r="P84" i="3"/>
  <c r="Q83" i="3"/>
  <c r="S83" i="3" s="1"/>
  <c r="R83" i="3" l="1"/>
  <c r="Q84" i="3"/>
  <c r="R84" i="3" s="1"/>
  <c r="S84" i="3"/>
  <c r="N86" i="3"/>
  <c r="P85" i="3"/>
  <c r="Q85" i="3" l="1"/>
  <c r="R85" i="3"/>
  <c r="S85" i="3"/>
  <c r="N87" i="3"/>
  <c r="P86" i="3"/>
  <c r="P87" i="3" l="1"/>
  <c r="N88" i="3"/>
  <c r="Q86" i="3"/>
  <c r="R86" i="3" s="1"/>
  <c r="S86" i="3"/>
  <c r="P88" i="3" l="1"/>
  <c r="N89" i="3"/>
  <c r="Q87" i="3"/>
  <c r="S87" i="3" s="1"/>
  <c r="R87" i="3" l="1"/>
  <c r="N90" i="3"/>
  <c r="P89" i="3"/>
  <c r="Q88" i="3"/>
  <c r="R88" i="3" s="1"/>
  <c r="S88" i="3"/>
  <c r="Q89" i="3" l="1"/>
  <c r="S89" i="3" s="1"/>
  <c r="N91" i="3"/>
  <c r="P90" i="3"/>
  <c r="P91" i="3" l="1"/>
  <c r="N92" i="3"/>
  <c r="R89" i="3"/>
  <c r="Q90" i="3"/>
  <c r="R90" i="3"/>
  <c r="S90" i="3"/>
  <c r="N93" i="3" l="1"/>
  <c r="P92" i="3"/>
  <c r="Q91" i="3"/>
  <c r="S91" i="3" s="1"/>
  <c r="R91" i="3" l="1"/>
  <c r="Q92" i="3"/>
  <c r="R92" i="3" s="1"/>
  <c r="P93" i="3"/>
  <c r="N94" i="3"/>
  <c r="N95" i="3" l="1"/>
  <c r="P94" i="3"/>
  <c r="Q93" i="3"/>
  <c r="R93" i="3"/>
  <c r="S93" i="3"/>
  <c r="S92" i="3"/>
  <c r="Q94" i="3" l="1"/>
  <c r="S94" i="3" s="1"/>
  <c r="R94" i="3"/>
  <c r="P95" i="3"/>
  <c r="N96" i="3"/>
  <c r="N97" i="3" l="1"/>
  <c r="P96" i="3"/>
  <c r="Q95" i="3"/>
  <c r="R95" i="3" s="1"/>
  <c r="S95" i="3"/>
  <c r="Q96" i="3" l="1"/>
  <c r="R96" i="3" s="1"/>
  <c r="S96" i="3"/>
  <c r="N98" i="3"/>
  <c r="P97" i="3"/>
  <c r="Q97" i="3" l="1"/>
  <c r="R97" i="3" s="1"/>
  <c r="S97" i="3"/>
  <c r="P98" i="3"/>
  <c r="N99" i="3"/>
  <c r="P99" i="3" l="1"/>
  <c r="N100" i="3"/>
  <c r="Q98" i="3"/>
  <c r="S98" i="3"/>
  <c r="R98" i="3"/>
  <c r="N101" i="3" l="1"/>
  <c r="P100" i="3"/>
  <c r="Q99" i="3"/>
  <c r="R99" i="3" s="1"/>
  <c r="S99" i="3" l="1"/>
  <c r="Q100" i="3"/>
  <c r="R100" i="3" s="1"/>
  <c r="S100" i="3"/>
  <c r="P101" i="3"/>
  <c r="N102" i="3"/>
  <c r="N103" i="3" l="1"/>
  <c r="P102" i="3"/>
  <c r="Q101" i="3"/>
  <c r="R101" i="3" s="1"/>
  <c r="S101" i="3"/>
  <c r="Q102" i="3" l="1"/>
  <c r="S102" i="3"/>
  <c r="R102" i="3"/>
  <c r="N104" i="3"/>
  <c r="P103" i="3"/>
  <c r="Q103" i="3" l="1"/>
  <c r="R103" i="3" s="1"/>
  <c r="N105" i="3"/>
  <c r="P104" i="3"/>
  <c r="S103" i="3" l="1"/>
  <c r="Q104" i="3"/>
  <c r="R104" i="3" s="1"/>
  <c r="S104" i="3"/>
  <c r="N106" i="3"/>
  <c r="P105" i="3"/>
  <c r="P106" i="3" l="1"/>
  <c r="N107" i="3"/>
  <c r="Q105" i="3"/>
  <c r="S105" i="3"/>
  <c r="R105" i="3"/>
  <c r="P107" i="3" l="1"/>
  <c r="N108" i="3"/>
  <c r="Q106" i="3"/>
  <c r="S106" i="3" s="1"/>
  <c r="R106" i="3"/>
  <c r="N109" i="3" l="1"/>
  <c r="P108" i="3"/>
  <c r="Q107" i="3"/>
  <c r="R107" i="3"/>
  <c r="S107" i="3"/>
  <c r="Q108" i="3" l="1"/>
  <c r="R108" i="3" s="1"/>
  <c r="S108" i="3"/>
  <c r="N110" i="3"/>
  <c r="P109" i="3"/>
  <c r="Q109" i="3" l="1"/>
  <c r="S109" i="3"/>
  <c r="R109" i="3"/>
  <c r="N111" i="3"/>
  <c r="P110" i="3"/>
  <c r="Q110" i="3" l="1"/>
  <c r="R110" i="3" s="1"/>
  <c r="S110" i="3"/>
  <c r="P111" i="3"/>
  <c r="N112" i="3"/>
  <c r="N113" i="3" l="1"/>
  <c r="P112" i="3"/>
  <c r="Q111" i="3"/>
  <c r="R111" i="3" s="1"/>
  <c r="S111" i="3"/>
  <c r="Q112" i="3" l="1"/>
  <c r="R112" i="3" s="1"/>
  <c r="S112" i="3"/>
  <c r="N114" i="3"/>
  <c r="P113" i="3"/>
  <c r="Q113" i="3" l="1"/>
  <c r="R113" i="3" s="1"/>
  <c r="S113" i="3"/>
  <c r="N115" i="3"/>
  <c r="P114" i="3"/>
  <c r="Q114" i="3" l="1"/>
  <c r="R114" i="3"/>
  <c r="S114" i="3"/>
  <c r="N116" i="3"/>
  <c r="P115" i="3"/>
  <c r="Q115" i="3" l="1"/>
  <c r="R115" i="3" s="1"/>
  <c r="N117" i="3"/>
  <c r="P116" i="3"/>
  <c r="Q116" i="3" l="1"/>
  <c r="R116" i="3" s="1"/>
  <c r="S116" i="3"/>
  <c r="P117" i="3"/>
  <c r="N118" i="3"/>
  <c r="S115" i="3"/>
  <c r="N119" i="3" l="1"/>
  <c r="P118" i="3"/>
  <c r="Q117" i="3"/>
  <c r="R117" i="3"/>
  <c r="S117" i="3"/>
  <c r="Q118" i="3" l="1"/>
  <c r="S118" i="3"/>
  <c r="R118" i="3"/>
  <c r="P119" i="3"/>
  <c r="N120" i="3"/>
  <c r="N121" i="3" l="1"/>
  <c r="P120" i="3"/>
  <c r="Q119" i="3"/>
  <c r="S119" i="3" s="1"/>
  <c r="R119" i="3" l="1"/>
  <c r="Q120" i="3"/>
  <c r="R120" i="3" s="1"/>
  <c r="S120" i="3"/>
  <c r="N122" i="3"/>
  <c r="P121" i="3"/>
  <c r="Q121" i="3" l="1"/>
  <c r="R121" i="3"/>
  <c r="S121" i="3"/>
  <c r="P122" i="3"/>
  <c r="N123" i="3"/>
  <c r="P123" i="3" l="1"/>
  <c r="N124" i="3"/>
  <c r="Q122" i="3"/>
  <c r="S122" i="3"/>
  <c r="R122" i="3"/>
  <c r="N125" i="3" l="1"/>
  <c r="P124" i="3"/>
  <c r="Q123" i="3"/>
  <c r="R123" i="3" s="1"/>
  <c r="S123" i="3"/>
  <c r="Q124" i="3" l="1"/>
  <c r="R124" i="3" s="1"/>
  <c r="S124" i="3"/>
  <c r="P125" i="3"/>
  <c r="N126" i="3"/>
  <c r="N127" i="3" l="1"/>
  <c r="P126" i="3"/>
  <c r="Q125" i="3"/>
  <c r="S125" i="3" s="1"/>
  <c r="R125" i="3" l="1"/>
  <c r="Q126" i="3"/>
  <c r="S126" i="3"/>
  <c r="R126" i="3"/>
  <c r="N128" i="3"/>
  <c r="P127" i="3"/>
  <c r="Q127" i="3" l="1"/>
  <c r="R127" i="3" s="1"/>
  <c r="S127" i="3"/>
  <c r="N129" i="3"/>
  <c r="P128" i="3"/>
  <c r="N130" i="3" l="1"/>
  <c r="P129" i="3"/>
  <c r="Q128" i="3"/>
  <c r="R128" i="3" s="1"/>
  <c r="S128" i="3"/>
  <c r="Q129" i="3" l="1"/>
  <c r="S129" i="3"/>
  <c r="R129" i="3"/>
  <c r="P130" i="3"/>
  <c r="N131" i="3"/>
  <c r="P131" i="3" l="1"/>
  <c r="N132" i="3"/>
  <c r="Q130" i="3"/>
  <c r="R130" i="3"/>
  <c r="S130" i="3"/>
  <c r="N133" i="3" l="1"/>
  <c r="P132" i="3"/>
  <c r="Q131" i="3"/>
  <c r="R131" i="3"/>
  <c r="S131" i="3"/>
  <c r="Q132" i="3" l="1"/>
  <c r="R132" i="3" s="1"/>
  <c r="N134" i="3"/>
  <c r="P133" i="3"/>
  <c r="Q133" i="3" l="1"/>
  <c r="S133" i="3"/>
  <c r="R133" i="3"/>
  <c r="N135" i="3"/>
  <c r="P134" i="3"/>
  <c r="S132" i="3"/>
  <c r="Q134" i="3" l="1"/>
  <c r="R134" i="3" s="1"/>
  <c r="S134" i="3"/>
  <c r="P135" i="3"/>
  <c r="N136" i="3"/>
  <c r="N137" i="3" l="1"/>
  <c r="P136" i="3"/>
  <c r="Q135" i="3"/>
  <c r="R135" i="3" s="1"/>
  <c r="S135" i="3"/>
  <c r="Q136" i="3" l="1"/>
  <c r="R136" i="3" s="1"/>
  <c r="S136" i="3"/>
  <c r="N138" i="3"/>
  <c r="P137" i="3"/>
  <c r="Q137" i="3" l="1"/>
  <c r="R137" i="3" s="1"/>
  <c r="S137" i="3"/>
  <c r="N139" i="3"/>
  <c r="P138" i="3"/>
  <c r="Q138" i="3" l="1"/>
  <c r="R138" i="3"/>
  <c r="S138" i="3"/>
  <c r="N140" i="3"/>
  <c r="P139" i="3"/>
  <c r="Q139" i="3" l="1"/>
  <c r="R139" i="3" s="1"/>
  <c r="S139" i="3"/>
  <c r="N141" i="3"/>
  <c r="P140" i="3"/>
  <c r="Q140" i="3" l="1"/>
  <c r="R140" i="3" s="1"/>
  <c r="S140" i="3"/>
  <c r="P141" i="3"/>
  <c r="N142" i="3"/>
  <c r="N143" i="3" l="1"/>
  <c r="P142" i="3"/>
  <c r="Q141" i="3"/>
  <c r="R141" i="3"/>
  <c r="S141" i="3"/>
  <c r="P143" i="3" l="1"/>
  <c r="N144" i="3"/>
  <c r="Q142" i="3"/>
  <c r="S142" i="3"/>
  <c r="R142" i="3"/>
  <c r="N145" i="3" l="1"/>
  <c r="P144" i="3"/>
  <c r="Q143" i="3"/>
  <c r="R143" i="3" s="1"/>
  <c r="S143" i="3" l="1"/>
  <c r="Q144" i="3"/>
  <c r="R144" i="3" s="1"/>
  <c r="S144" i="3"/>
  <c r="N146" i="3"/>
  <c r="P145" i="3"/>
  <c r="Q145" i="3" l="1"/>
  <c r="R145" i="3" s="1"/>
  <c r="S145" i="3"/>
  <c r="P146" i="3"/>
  <c r="N147" i="3"/>
  <c r="P147" i="3" l="1"/>
  <c r="N148" i="3"/>
  <c r="Q146" i="3"/>
  <c r="S146" i="3"/>
  <c r="R146" i="3"/>
  <c r="N149" i="3" l="1"/>
  <c r="P148" i="3"/>
  <c r="Q147" i="3"/>
  <c r="R147" i="3" s="1"/>
  <c r="S147" i="3" l="1"/>
  <c r="Q148" i="3"/>
  <c r="R148" i="3" s="1"/>
  <c r="P149" i="3"/>
  <c r="N150" i="3"/>
  <c r="N151" i="3" l="1"/>
  <c r="P150" i="3"/>
  <c r="Q149" i="3"/>
  <c r="R149" i="3" s="1"/>
  <c r="S149" i="3"/>
  <c r="S148" i="3"/>
  <c r="Q150" i="3" l="1"/>
  <c r="R150" i="3"/>
  <c r="S150" i="3"/>
  <c r="N152" i="3"/>
  <c r="P151" i="3"/>
  <c r="Q151" i="3" l="1"/>
  <c r="R151" i="3" s="1"/>
  <c r="N153" i="3"/>
  <c r="P152" i="3"/>
  <c r="S151" i="3" l="1"/>
  <c r="Q152" i="3"/>
  <c r="S152" i="3" s="1"/>
  <c r="N154" i="3"/>
  <c r="P153" i="3"/>
  <c r="R152" i="3" l="1"/>
  <c r="Q153" i="3"/>
  <c r="R153" i="3"/>
  <c r="S153" i="3"/>
  <c r="P154" i="3"/>
  <c r="N155" i="3"/>
  <c r="P155" i="3" l="1"/>
  <c r="N156" i="3"/>
  <c r="Q154" i="3"/>
  <c r="R154" i="3" s="1"/>
  <c r="N157" i="3" l="1"/>
  <c r="P156" i="3"/>
  <c r="S154" i="3"/>
  <c r="Q155" i="3"/>
  <c r="R155" i="3"/>
  <c r="S155" i="3"/>
  <c r="Q156" i="3" l="1"/>
  <c r="R156" i="3" s="1"/>
  <c r="S156" i="3"/>
  <c r="N158" i="3"/>
  <c r="P157" i="3"/>
  <c r="N159" i="3" l="1"/>
  <c r="P158" i="3"/>
  <c r="Q157" i="3"/>
  <c r="R157" i="3"/>
  <c r="S157" i="3"/>
  <c r="Q158" i="3" l="1"/>
  <c r="R158" i="3" s="1"/>
  <c r="S158" i="3"/>
  <c r="P159" i="3"/>
  <c r="N160" i="3"/>
  <c r="P160" i="3" l="1"/>
  <c r="N161" i="3"/>
  <c r="Q159" i="3"/>
  <c r="S159" i="3" s="1"/>
  <c r="R159" i="3" l="1"/>
  <c r="N162" i="3"/>
  <c r="P161" i="3"/>
  <c r="Q160" i="3"/>
  <c r="R160" i="3" s="1"/>
  <c r="S160" i="3"/>
  <c r="Q161" i="3" l="1"/>
  <c r="R161" i="3" s="1"/>
  <c r="S161" i="3"/>
  <c r="P162" i="3"/>
  <c r="N163" i="3"/>
  <c r="Q162" i="3" l="1"/>
  <c r="R162" i="3" s="1"/>
  <c r="S162" i="3"/>
  <c r="N164" i="3"/>
  <c r="P163" i="3"/>
  <c r="Q163" i="3" l="1"/>
  <c r="R163" i="3"/>
  <c r="S163" i="3"/>
  <c r="P164" i="3"/>
  <c r="N165" i="3"/>
  <c r="P165" i="3" l="1"/>
  <c r="N166" i="3"/>
  <c r="Q164" i="3"/>
  <c r="R164" i="3" s="1"/>
  <c r="S164" i="3"/>
  <c r="P166" i="3" l="1"/>
  <c r="N167" i="3"/>
  <c r="Q165" i="3"/>
  <c r="S165" i="3"/>
  <c r="R165" i="3"/>
  <c r="P167" i="3" l="1"/>
  <c r="N168" i="3"/>
  <c r="Q166" i="3"/>
  <c r="R166" i="3" s="1"/>
  <c r="S166" i="3" l="1"/>
  <c r="N169" i="3"/>
  <c r="P168" i="3"/>
  <c r="Q167" i="3"/>
  <c r="R167" i="3" s="1"/>
  <c r="S167" i="3"/>
  <c r="Q168" i="3" l="1"/>
  <c r="R168" i="3" s="1"/>
  <c r="S168" i="3"/>
  <c r="N170" i="3"/>
  <c r="P169" i="3"/>
  <c r="Q169" i="3" l="1"/>
  <c r="R169" i="3" s="1"/>
  <c r="S169" i="3"/>
  <c r="P170" i="3"/>
  <c r="N171" i="3"/>
  <c r="P171" i="3" l="1"/>
  <c r="N172" i="3"/>
  <c r="Q170" i="3"/>
  <c r="R170" i="3" s="1"/>
  <c r="S170" i="3" l="1"/>
  <c r="P172" i="3"/>
  <c r="N173" i="3"/>
  <c r="Q171" i="3"/>
  <c r="R171" i="3"/>
  <c r="S171" i="3"/>
  <c r="N174" i="3" l="1"/>
  <c r="P173" i="3"/>
  <c r="Q172" i="3"/>
  <c r="R172" i="3" s="1"/>
  <c r="S172" i="3"/>
  <c r="Q173" i="3" l="1"/>
  <c r="R173" i="3" s="1"/>
  <c r="S173" i="3"/>
  <c r="P174" i="3"/>
  <c r="N175" i="3"/>
  <c r="N176" i="3" l="1"/>
  <c r="P175" i="3"/>
  <c r="Q174" i="3"/>
  <c r="R174" i="3" s="1"/>
  <c r="S174" i="3" l="1"/>
  <c r="Q175" i="3"/>
  <c r="R175" i="3"/>
  <c r="S175" i="3"/>
  <c r="N177" i="3"/>
  <c r="P176" i="3"/>
  <c r="Q176" i="3" l="1"/>
  <c r="R176" i="3" s="1"/>
  <c r="S176" i="3"/>
  <c r="P177" i="3"/>
  <c r="N178" i="3"/>
  <c r="P178" i="3" l="1"/>
  <c r="N179" i="3"/>
  <c r="Q177" i="3"/>
  <c r="R177" i="3" s="1"/>
  <c r="S177" i="3"/>
  <c r="N180" i="3" l="1"/>
  <c r="P179" i="3"/>
  <c r="Q178" i="3"/>
  <c r="R178" i="3" s="1"/>
  <c r="S178" i="3"/>
  <c r="Q179" i="3" l="1"/>
  <c r="R179" i="3" s="1"/>
  <c r="N181" i="3"/>
  <c r="P180" i="3"/>
  <c r="Q180" i="3" l="1"/>
  <c r="R180" i="3"/>
  <c r="S180" i="3"/>
  <c r="N182" i="3"/>
  <c r="P181" i="3"/>
  <c r="S179" i="3"/>
  <c r="Q181" i="3" l="1"/>
  <c r="R181" i="3" s="1"/>
  <c r="S181" i="3"/>
  <c r="P182" i="3"/>
  <c r="N183" i="3"/>
  <c r="P183" i="3" l="1"/>
  <c r="N184" i="3"/>
  <c r="Q182" i="3"/>
  <c r="R182" i="3" s="1"/>
  <c r="S182" i="3" l="1"/>
  <c r="N185" i="3"/>
  <c r="P184" i="3"/>
  <c r="Q183" i="3"/>
  <c r="R183" i="3" s="1"/>
  <c r="S183" i="3"/>
  <c r="Q184" i="3" l="1"/>
  <c r="R184" i="3" s="1"/>
  <c r="S184" i="3"/>
  <c r="N186" i="3"/>
  <c r="P185" i="3"/>
  <c r="Q185" i="3" l="1"/>
  <c r="S185" i="3"/>
  <c r="R185" i="3"/>
  <c r="P186" i="3"/>
  <c r="N187" i="3"/>
  <c r="N188" i="3" l="1"/>
  <c r="P187" i="3"/>
  <c r="Q186" i="3"/>
  <c r="R186" i="3" s="1"/>
  <c r="S186" i="3"/>
  <c r="Q187" i="3" l="1"/>
  <c r="R187" i="3" s="1"/>
  <c r="S187" i="3"/>
  <c r="N189" i="3"/>
  <c r="P188" i="3"/>
  <c r="Q188" i="3" l="1"/>
  <c r="R188" i="3" s="1"/>
  <c r="S188" i="3"/>
  <c r="P189" i="3"/>
  <c r="N190" i="3"/>
  <c r="P190" i="3" l="1"/>
  <c r="N191" i="3"/>
  <c r="Q189" i="3"/>
  <c r="R189" i="3" s="1"/>
  <c r="S189" i="3" l="1"/>
  <c r="P191" i="3"/>
  <c r="N192" i="3"/>
  <c r="Q190" i="3"/>
  <c r="R190" i="3" s="1"/>
  <c r="S190" i="3"/>
  <c r="N193" i="3" l="1"/>
  <c r="P192" i="3"/>
  <c r="Q191" i="3"/>
  <c r="S191" i="3"/>
  <c r="R191" i="3"/>
  <c r="Q192" i="3" l="1"/>
  <c r="R192" i="3" s="1"/>
  <c r="S192" i="3"/>
  <c r="N194" i="3"/>
  <c r="P193" i="3"/>
  <c r="Q193" i="3" l="1"/>
  <c r="R193" i="3" s="1"/>
  <c r="S193" i="3"/>
  <c r="N195" i="3"/>
  <c r="P194" i="3"/>
  <c r="Q194" i="3" l="1"/>
  <c r="R194" i="3" s="1"/>
  <c r="S194" i="3"/>
  <c r="P195" i="3"/>
  <c r="N196" i="3"/>
  <c r="N197" i="3" l="1"/>
  <c r="P196" i="3"/>
  <c r="Q195" i="3"/>
  <c r="R195" i="3" s="1"/>
  <c r="S195" i="3"/>
  <c r="Q196" i="3" l="1"/>
  <c r="R196" i="3" s="1"/>
  <c r="S196" i="3"/>
  <c r="N198" i="3"/>
  <c r="P197" i="3"/>
  <c r="Q197" i="3" l="1"/>
  <c r="R197" i="3"/>
  <c r="S197" i="3"/>
  <c r="P198" i="3"/>
  <c r="N199" i="3"/>
  <c r="N200" i="3" l="1"/>
  <c r="P199" i="3"/>
  <c r="Q198" i="3"/>
  <c r="R198" i="3" s="1"/>
  <c r="S198" i="3"/>
  <c r="Q199" i="3" l="1"/>
  <c r="R199" i="3" s="1"/>
  <c r="S199" i="3"/>
  <c r="N201" i="3"/>
  <c r="P200" i="3"/>
  <c r="Q200" i="3" l="1"/>
  <c r="R200" i="3"/>
  <c r="S200" i="3"/>
  <c r="P201" i="3"/>
  <c r="N202" i="3"/>
  <c r="N203" i="3" l="1"/>
  <c r="P202" i="3"/>
  <c r="Q201" i="3"/>
  <c r="R201" i="3" s="1"/>
  <c r="S201" i="3"/>
  <c r="Q202" i="3" l="1"/>
  <c r="R202" i="3" s="1"/>
  <c r="S202" i="3"/>
  <c r="P203" i="3"/>
  <c r="N204" i="3"/>
  <c r="Q203" i="3" l="1"/>
  <c r="S203" i="3"/>
  <c r="R203" i="3"/>
  <c r="N205" i="3"/>
  <c r="P204" i="3"/>
  <c r="Q204" i="3" l="1"/>
  <c r="S204" i="3"/>
  <c r="R204" i="3"/>
  <c r="N206" i="3"/>
  <c r="P205" i="3"/>
  <c r="Q205" i="3" l="1"/>
  <c r="R205" i="3" s="1"/>
  <c r="N207" i="3"/>
  <c r="P206" i="3"/>
  <c r="Q206" i="3" l="1"/>
  <c r="S206" i="3"/>
  <c r="R206" i="3"/>
  <c r="P207" i="3"/>
  <c r="N208" i="3"/>
  <c r="S205" i="3"/>
  <c r="P208" i="3" l="1"/>
  <c r="N209" i="3"/>
  <c r="Q207" i="3"/>
  <c r="R207" i="3"/>
  <c r="S207" i="3"/>
  <c r="N210" i="3" l="1"/>
  <c r="P209" i="3"/>
  <c r="Q208" i="3"/>
  <c r="R208" i="3" s="1"/>
  <c r="S208" i="3"/>
  <c r="Q209" i="3" l="1"/>
  <c r="R209" i="3"/>
  <c r="S209" i="3"/>
  <c r="P210" i="3"/>
  <c r="N211" i="3"/>
  <c r="N212" i="3" l="1"/>
  <c r="P211" i="3"/>
  <c r="Q210" i="3"/>
  <c r="R210" i="3" s="1"/>
  <c r="S210" i="3"/>
  <c r="Q211" i="3" l="1"/>
  <c r="S211" i="3"/>
  <c r="R211" i="3"/>
  <c r="P212" i="3"/>
  <c r="N213" i="3"/>
  <c r="P213" i="3" l="1"/>
  <c r="N214" i="3"/>
  <c r="Q212" i="3"/>
  <c r="R212" i="3"/>
  <c r="S212" i="3"/>
  <c r="N215" i="3" l="1"/>
  <c r="P214" i="3"/>
  <c r="Q213" i="3"/>
  <c r="R213" i="3" s="1"/>
  <c r="S213" i="3"/>
  <c r="Q214" i="3" l="1"/>
  <c r="R214" i="3" s="1"/>
  <c r="S214" i="3"/>
  <c r="P215" i="3"/>
  <c r="N216" i="3"/>
  <c r="N217" i="3" l="1"/>
  <c r="P216" i="3"/>
  <c r="Q215" i="3"/>
  <c r="R215" i="3" s="1"/>
  <c r="S215" i="3" l="1"/>
  <c r="Q216" i="3"/>
  <c r="R216" i="3"/>
  <c r="S216" i="3"/>
  <c r="N218" i="3"/>
  <c r="P217" i="3"/>
  <c r="Q217" i="3" l="1"/>
  <c r="R217" i="3" s="1"/>
  <c r="N219" i="3"/>
  <c r="P218" i="3"/>
  <c r="Q218" i="3" l="1"/>
  <c r="R218" i="3"/>
  <c r="S218" i="3"/>
  <c r="P219" i="3"/>
  <c r="N220" i="3"/>
  <c r="S217" i="3"/>
  <c r="N221" i="3" l="1"/>
  <c r="P220" i="3"/>
  <c r="Q219" i="3"/>
  <c r="R219" i="3"/>
  <c r="S219" i="3"/>
  <c r="Q220" i="3" l="1"/>
  <c r="R220" i="3" s="1"/>
  <c r="S220" i="3"/>
  <c r="N222" i="3"/>
  <c r="P221" i="3"/>
  <c r="Q221" i="3" l="1"/>
  <c r="R221" i="3" s="1"/>
  <c r="S221" i="3"/>
  <c r="N223" i="3"/>
  <c r="P222" i="3"/>
  <c r="Q222" i="3" l="1"/>
  <c r="R222" i="3" s="1"/>
  <c r="S222" i="3"/>
  <c r="N224" i="3"/>
  <c r="P223" i="3"/>
  <c r="Q223" i="3" l="1"/>
  <c r="R223" i="3"/>
  <c r="S223" i="3"/>
  <c r="P224" i="3"/>
  <c r="N225" i="3"/>
  <c r="P225" i="3" l="1"/>
  <c r="N226" i="3"/>
  <c r="Q224" i="3"/>
  <c r="R224" i="3"/>
  <c r="S224" i="3"/>
  <c r="N227" i="3" l="1"/>
  <c r="P226" i="3"/>
  <c r="Q225" i="3"/>
  <c r="R225" i="3" s="1"/>
  <c r="S225" i="3"/>
  <c r="Q226" i="3" l="1"/>
  <c r="R226" i="3" s="1"/>
  <c r="S226" i="3"/>
  <c r="P227" i="3"/>
  <c r="N228" i="3"/>
  <c r="P228" i="3" l="1"/>
  <c r="N229" i="3"/>
  <c r="Q227" i="3"/>
  <c r="R227" i="3" s="1"/>
  <c r="S227" i="3"/>
  <c r="N230" i="3" l="1"/>
  <c r="P229" i="3"/>
  <c r="Q228" i="3"/>
  <c r="R228" i="3"/>
  <c r="S228" i="3"/>
  <c r="Q229" i="3" l="1"/>
  <c r="R229" i="3"/>
  <c r="S229" i="3"/>
  <c r="P230" i="3"/>
  <c r="N231" i="3"/>
  <c r="P231" i="3" l="1"/>
  <c r="N232" i="3"/>
  <c r="Q230" i="3"/>
  <c r="R230" i="3" s="1"/>
  <c r="S230" i="3"/>
  <c r="N233" i="3" l="1"/>
  <c r="P232" i="3"/>
  <c r="Q231" i="3"/>
  <c r="R231" i="3"/>
  <c r="S231" i="3"/>
  <c r="Q232" i="3" l="1"/>
  <c r="R232" i="3" s="1"/>
  <c r="S232" i="3"/>
  <c r="P233" i="3"/>
  <c r="N234" i="3"/>
  <c r="P234" i="3" l="1"/>
  <c r="N235" i="3"/>
  <c r="Q233" i="3"/>
  <c r="R233" i="3"/>
  <c r="S233" i="3"/>
  <c r="N236" i="3" l="1"/>
  <c r="P235" i="3"/>
  <c r="Q234" i="3"/>
  <c r="R234" i="3" s="1"/>
  <c r="S234" i="3"/>
  <c r="Q235" i="3" l="1"/>
  <c r="R235" i="3" s="1"/>
  <c r="P236" i="3"/>
  <c r="N237" i="3"/>
  <c r="P237" i="3" l="1"/>
  <c r="N238" i="3"/>
  <c r="Q236" i="3"/>
  <c r="R236" i="3"/>
  <c r="S236" i="3"/>
  <c r="S235" i="3"/>
  <c r="N239" i="3" l="1"/>
  <c r="P238" i="3"/>
  <c r="Q237" i="3"/>
  <c r="R237" i="3" s="1"/>
  <c r="S237" i="3" l="1"/>
  <c r="Q238" i="3"/>
  <c r="R238" i="3" s="1"/>
  <c r="S238" i="3"/>
  <c r="P239" i="3"/>
  <c r="N240" i="3"/>
  <c r="P240" i="3" l="1"/>
  <c r="N241" i="3"/>
  <c r="Q239" i="3"/>
  <c r="S239" i="3"/>
  <c r="R239" i="3"/>
  <c r="N242" i="3" l="1"/>
  <c r="P241" i="3"/>
  <c r="Q240" i="3"/>
  <c r="R240" i="3" s="1"/>
  <c r="S240" i="3"/>
  <c r="Q241" i="3" l="1"/>
  <c r="S241" i="3"/>
  <c r="R241" i="3"/>
  <c r="P242" i="3"/>
  <c r="N243" i="3"/>
  <c r="P243" i="3" l="1"/>
  <c r="N244" i="3"/>
  <c r="Q242" i="3"/>
  <c r="R242" i="3" s="1"/>
  <c r="S242" i="3" l="1"/>
  <c r="N245" i="3"/>
  <c r="P244" i="3"/>
  <c r="Q243" i="3"/>
  <c r="R243" i="3" s="1"/>
  <c r="S243" i="3" l="1"/>
  <c r="Q244" i="3"/>
  <c r="R244" i="3" s="1"/>
  <c r="S244" i="3"/>
  <c r="P245" i="3"/>
  <c r="N246" i="3"/>
  <c r="N247" i="3" l="1"/>
  <c r="P246" i="3"/>
  <c r="Q245" i="3"/>
  <c r="R245" i="3"/>
  <c r="S245" i="3"/>
  <c r="Q246" i="3" l="1"/>
  <c r="R246" i="3" s="1"/>
  <c r="S246" i="3"/>
  <c r="N248" i="3"/>
  <c r="P247" i="3"/>
  <c r="Q247" i="3" l="1"/>
  <c r="R247" i="3" s="1"/>
  <c r="P248" i="3"/>
  <c r="N249" i="3"/>
  <c r="P249" i="3" l="1"/>
  <c r="N250" i="3"/>
  <c r="Q248" i="3"/>
  <c r="R248" i="3" s="1"/>
  <c r="S248" i="3"/>
  <c r="S247" i="3"/>
  <c r="P250" i="3" l="1"/>
  <c r="N251" i="3"/>
  <c r="Q249" i="3"/>
  <c r="R249" i="3" s="1"/>
  <c r="S249" i="3"/>
  <c r="P251" i="3" l="1"/>
  <c r="N252" i="3"/>
  <c r="Q250" i="3"/>
  <c r="R250" i="3" s="1"/>
  <c r="S250" i="3" l="1"/>
  <c r="P252" i="3"/>
  <c r="N253" i="3"/>
  <c r="Q251" i="3"/>
  <c r="R251" i="3"/>
  <c r="S251" i="3"/>
  <c r="N254" i="3" l="1"/>
  <c r="P253" i="3"/>
  <c r="Q252" i="3"/>
  <c r="R252" i="3" s="1"/>
  <c r="S252" i="3" l="1"/>
  <c r="Q253" i="3"/>
  <c r="S253" i="3"/>
  <c r="R253" i="3"/>
  <c r="P254" i="3"/>
  <c r="N255" i="3"/>
  <c r="P255" i="3" l="1"/>
  <c r="N256" i="3"/>
  <c r="Q254" i="3"/>
  <c r="R254" i="3" s="1"/>
  <c r="S254" i="3"/>
  <c r="P256" i="3" l="1"/>
  <c r="N257" i="3"/>
  <c r="Q255" i="3"/>
  <c r="R255" i="3" s="1"/>
  <c r="S255" i="3" l="1"/>
  <c r="P257" i="3"/>
  <c r="N258" i="3"/>
  <c r="Q256" i="3"/>
  <c r="R256" i="3" s="1"/>
  <c r="S256" i="3"/>
  <c r="N259" i="3" l="1"/>
  <c r="P258" i="3"/>
  <c r="Q257" i="3"/>
  <c r="R257" i="3"/>
  <c r="S257" i="3"/>
  <c r="Q258" i="3" l="1"/>
  <c r="R258" i="3" s="1"/>
  <c r="S258" i="3"/>
  <c r="N260" i="3"/>
  <c r="P259" i="3"/>
  <c r="Q259" i="3" l="1"/>
  <c r="R259" i="3"/>
  <c r="S259" i="3"/>
  <c r="P260" i="3"/>
  <c r="N261" i="3"/>
  <c r="P261" i="3" l="1"/>
  <c r="N262" i="3"/>
  <c r="Q260" i="3"/>
  <c r="S260" i="3"/>
  <c r="R260" i="3"/>
  <c r="P262" i="3" l="1"/>
  <c r="N263" i="3"/>
  <c r="Q261" i="3"/>
  <c r="R261" i="3" s="1"/>
  <c r="S261" i="3" l="1"/>
  <c r="P263" i="3"/>
  <c r="N264" i="3"/>
  <c r="Q262" i="3"/>
  <c r="R262" i="3" s="1"/>
  <c r="S262" i="3"/>
  <c r="P264" i="3" l="1"/>
  <c r="N265" i="3"/>
  <c r="Q263" i="3"/>
  <c r="R263" i="3"/>
  <c r="S263" i="3"/>
  <c r="N266" i="3" l="1"/>
  <c r="P265" i="3"/>
  <c r="Q264" i="3"/>
  <c r="R264" i="3" s="1"/>
  <c r="S264" i="3"/>
  <c r="Q265" i="3" l="1"/>
  <c r="R265" i="3"/>
  <c r="S265" i="3"/>
  <c r="P266" i="3"/>
  <c r="N267" i="3"/>
  <c r="P267" i="3" l="1"/>
  <c r="N268" i="3"/>
  <c r="Q266" i="3"/>
  <c r="R266" i="3" s="1"/>
  <c r="S266" i="3"/>
  <c r="N269" i="3" l="1"/>
  <c r="P268" i="3"/>
  <c r="Q267" i="3"/>
  <c r="S267" i="3" s="1"/>
  <c r="R267" i="3" l="1"/>
  <c r="Q268" i="3"/>
  <c r="R268" i="3" s="1"/>
  <c r="S268" i="3"/>
  <c r="P269" i="3"/>
  <c r="N270" i="3"/>
  <c r="Q269" i="3" l="1"/>
  <c r="R269" i="3" s="1"/>
  <c r="P270" i="3"/>
  <c r="N271" i="3"/>
  <c r="N272" i="3" l="1"/>
  <c r="P271" i="3"/>
  <c r="Q270" i="3"/>
  <c r="R270" i="3" s="1"/>
  <c r="S270" i="3"/>
  <c r="S269" i="3"/>
  <c r="Q271" i="3" l="1"/>
  <c r="R271" i="3" s="1"/>
  <c r="S271" i="3"/>
  <c r="P272" i="3"/>
  <c r="N273" i="3"/>
  <c r="P273" i="3" l="1"/>
  <c r="N274" i="3"/>
  <c r="Q272" i="3"/>
  <c r="R272" i="3" s="1"/>
  <c r="S272" i="3"/>
  <c r="N275" i="3" l="1"/>
  <c r="P274" i="3"/>
  <c r="Q273" i="3"/>
  <c r="R273" i="3" s="1"/>
  <c r="S273" i="3" l="1"/>
  <c r="Q274" i="3"/>
  <c r="R274" i="3" s="1"/>
  <c r="S274" i="3"/>
  <c r="P275" i="3"/>
  <c r="N276" i="3"/>
  <c r="P276" i="3" l="1"/>
  <c r="N277" i="3"/>
  <c r="Q275" i="3"/>
  <c r="R275" i="3"/>
  <c r="S275" i="3"/>
  <c r="N278" i="3" l="1"/>
  <c r="P277" i="3"/>
  <c r="Q276" i="3"/>
  <c r="R276" i="3" s="1"/>
  <c r="S276" i="3"/>
  <c r="Q277" i="3" l="1"/>
  <c r="R277" i="3"/>
  <c r="S277" i="3"/>
  <c r="N279" i="3"/>
  <c r="P278" i="3"/>
  <c r="Q278" i="3" l="1"/>
  <c r="R278" i="3" s="1"/>
  <c r="S278" i="3"/>
  <c r="N280" i="3"/>
  <c r="P279" i="3"/>
  <c r="Q279" i="3" l="1"/>
  <c r="R279" i="3" s="1"/>
  <c r="S279" i="3"/>
  <c r="P280" i="3"/>
  <c r="N281" i="3"/>
  <c r="N282" i="3" l="1"/>
  <c r="P281" i="3"/>
  <c r="Q280" i="3"/>
  <c r="S280" i="3"/>
  <c r="R280" i="3"/>
  <c r="Q281" i="3" l="1"/>
  <c r="R281" i="3" s="1"/>
  <c r="S281" i="3"/>
  <c r="P282" i="3"/>
  <c r="N283" i="3"/>
  <c r="P283" i="3" l="1"/>
  <c r="N284" i="3"/>
  <c r="Q282" i="3"/>
  <c r="R282" i="3" s="1"/>
  <c r="S282" i="3"/>
  <c r="P284" i="3" l="1"/>
  <c r="N285" i="3"/>
  <c r="Q283" i="3"/>
  <c r="R283" i="3"/>
  <c r="S283" i="3"/>
  <c r="P285" i="3" l="1"/>
  <c r="N286" i="3"/>
  <c r="Q284" i="3"/>
  <c r="R284" i="3" s="1"/>
  <c r="S284" i="3"/>
  <c r="P286" i="3" l="1"/>
  <c r="N287" i="3"/>
  <c r="Q285" i="3"/>
  <c r="R285" i="3"/>
  <c r="S285" i="3"/>
  <c r="N288" i="3" l="1"/>
  <c r="P287" i="3"/>
  <c r="Q286" i="3"/>
  <c r="R286" i="3" s="1"/>
  <c r="S286" i="3" l="1"/>
  <c r="Q287" i="3"/>
  <c r="R287" i="3"/>
  <c r="S287" i="3"/>
  <c r="N289" i="3"/>
  <c r="P288" i="3"/>
  <c r="Q288" i="3" l="1"/>
  <c r="R288" i="3"/>
  <c r="S288" i="3"/>
  <c r="P289" i="3"/>
  <c r="N290" i="3"/>
  <c r="P290" i="3" l="1"/>
  <c r="N291" i="3"/>
  <c r="Q289" i="3"/>
  <c r="R289" i="3" s="1"/>
  <c r="S289" i="3"/>
  <c r="P291" i="3" l="1"/>
  <c r="N292" i="3"/>
  <c r="Q290" i="3"/>
  <c r="R290" i="3" s="1"/>
  <c r="S290" i="3"/>
  <c r="N293" i="3" l="1"/>
  <c r="P292" i="3"/>
  <c r="Q291" i="3"/>
  <c r="R291" i="3" s="1"/>
  <c r="S291" i="3"/>
  <c r="Q292" i="3" l="1"/>
  <c r="R292" i="3"/>
  <c r="S292" i="3"/>
  <c r="N294" i="3"/>
  <c r="P293" i="3"/>
  <c r="Q293" i="3" l="1"/>
  <c r="R293" i="3" s="1"/>
  <c r="S293" i="3"/>
  <c r="P294" i="3"/>
  <c r="N295" i="3"/>
  <c r="P295" i="3" l="1"/>
  <c r="N296" i="3"/>
  <c r="Q294" i="3"/>
  <c r="R294" i="3" s="1"/>
  <c r="S294" i="3"/>
  <c r="N297" i="3" l="1"/>
  <c r="P296" i="3"/>
  <c r="Q295" i="3"/>
  <c r="R295" i="3"/>
  <c r="S295" i="3"/>
  <c r="Q296" i="3" l="1"/>
  <c r="R296" i="3" s="1"/>
  <c r="S296" i="3"/>
  <c r="N298" i="3"/>
  <c r="P297" i="3"/>
  <c r="Q297" i="3" l="1"/>
  <c r="R297" i="3" s="1"/>
  <c r="S297" i="3"/>
  <c r="P298" i="3"/>
  <c r="N299" i="3"/>
  <c r="N300" i="3" l="1"/>
  <c r="P299" i="3"/>
  <c r="Q298" i="3"/>
  <c r="R298" i="3" s="1"/>
  <c r="S298" i="3"/>
  <c r="Q299" i="3" l="1"/>
  <c r="R299" i="3"/>
  <c r="S299" i="3"/>
  <c r="N301" i="3"/>
  <c r="P300" i="3"/>
  <c r="Q300" i="3" l="1"/>
  <c r="S300" i="3"/>
  <c r="R300" i="3"/>
  <c r="P301" i="3"/>
  <c r="N302" i="3"/>
  <c r="N303" i="3" l="1"/>
  <c r="P302" i="3"/>
  <c r="Q301" i="3"/>
  <c r="R301" i="3"/>
  <c r="S301" i="3"/>
  <c r="Q302" i="3" l="1"/>
  <c r="R302" i="3" s="1"/>
  <c r="S302" i="3"/>
  <c r="P303" i="3"/>
  <c r="N304" i="3"/>
  <c r="P304" i="3" l="1"/>
  <c r="N305" i="3"/>
  <c r="Q303" i="3"/>
  <c r="R303" i="3" s="1"/>
  <c r="S303" i="3"/>
  <c r="N306" i="3" l="1"/>
  <c r="P305" i="3"/>
  <c r="Q304" i="3"/>
  <c r="R304" i="3" s="1"/>
  <c r="S304" i="3" l="1"/>
  <c r="Q305" i="3"/>
  <c r="R305" i="3" s="1"/>
  <c r="S305" i="3"/>
  <c r="P306" i="3"/>
  <c r="N307" i="3"/>
  <c r="P307" i="3" l="1"/>
  <c r="N308" i="3"/>
  <c r="Q306" i="3"/>
  <c r="R306" i="3" s="1"/>
  <c r="S306" i="3"/>
  <c r="N309" i="3" l="1"/>
  <c r="P308" i="3"/>
  <c r="Q307" i="3"/>
  <c r="R307" i="3" s="1"/>
  <c r="S307" i="3"/>
  <c r="Q308" i="3" l="1"/>
  <c r="R308" i="3" s="1"/>
  <c r="N310" i="3"/>
  <c r="P309" i="3"/>
  <c r="Q309" i="3" l="1"/>
  <c r="R309" i="3"/>
  <c r="S309" i="3"/>
  <c r="P310" i="3"/>
  <c r="N311" i="3"/>
  <c r="S308" i="3"/>
  <c r="N312" i="3" l="1"/>
  <c r="P311" i="3"/>
  <c r="Q310" i="3"/>
  <c r="R310" i="3" s="1"/>
  <c r="S310" i="3"/>
  <c r="Q311" i="3" l="1"/>
  <c r="R311" i="3"/>
  <c r="S311" i="3"/>
  <c r="N313" i="3"/>
  <c r="P312" i="3"/>
  <c r="Q312" i="3" l="1"/>
  <c r="S312" i="3" s="1"/>
  <c r="R312" i="3"/>
  <c r="P313" i="3"/>
  <c r="N314" i="3"/>
  <c r="P314" i="3" l="1"/>
  <c r="N315" i="3"/>
  <c r="Q313" i="3"/>
  <c r="R313" i="3" s="1"/>
  <c r="S313" i="3"/>
  <c r="P315" i="3" l="1"/>
  <c r="N316" i="3"/>
  <c r="Q314" i="3"/>
  <c r="R314" i="3" s="1"/>
  <c r="S314" i="3"/>
  <c r="N317" i="3" l="1"/>
  <c r="P316" i="3"/>
  <c r="Q315" i="3"/>
  <c r="R315" i="3"/>
  <c r="S315" i="3"/>
  <c r="Q316" i="3" l="1"/>
  <c r="R316" i="3" s="1"/>
  <c r="S316" i="3"/>
  <c r="N318" i="3"/>
  <c r="P317" i="3"/>
  <c r="Q317" i="3" l="1"/>
  <c r="R317" i="3" s="1"/>
  <c r="S317" i="3"/>
  <c r="P318" i="3"/>
  <c r="N319" i="3"/>
  <c r="P319" i="3" l="1"/>
  <c r="N320" i="3"/>
  <c r="Q318" i="3"/>
  <c r="R318" i="3" s="1"/>
  <c r="S318" i="3"/>
  <c r="P320" i="3" l="1"/>
  <c r="N321" i="3"/>
  <c r="Q319" i="3"/>
  <c r="R319" i="3"/>
  <c r="S319" i="3"/>
  <c r="N322" i="3" l="1"/>
  <c r="P321" i="3"/>
  <c r="Q320" i="3"/>
  <c r="R320" i="3" s="1"/>
  <c r="S320" i="3"/>
  <c r="Q321" i="3" l="1"/>
  <c r="R321" i="3" s="1"/>
  <c r="S321" i="3"/>
  <c r="P322" i="3"/>
  <c r="N323" i="3"/>
  <c r="N324" i="3" l="1"/>
  <c r="P323" i="3"/>
  <c r="Q322" i="3"/>
  <c r="R322" i="3" s="1"/>
  <c r="S322" i="3"/>
  <c r="Q323" i="3" l="1"/>
  <c r="R323" i="3" s="1"/>
  <c r="S323" i="3"/>
  <c r="N325" i="3"/>
  <c r="P324" i="3"/>
  <c r="Q324" i="3" l="1"/>
  <c r="R324" i="3"/>
  <c r="S324" i="3"/>
  <c r="P325" i="3"/>
  <c r="N326" i="3"/>
  <c r="N327" i="3" l="1"/>
  <c r="P326" i="3"/>
  <c r="Q325" i="3"/>
  <c r="R325" i="3" s="1"/>
  <c r="S325" i="3"/>
  <c r="Q326" i="3" l="1"/>
  <c r="R326" i="3" s="1"/>
  <c r="S326" i="3"/>
  <c r="P327" i="3"/>
  <c r="N328" i="3"/>
  <c r="N329" i="3" l="1"/>
  <c r="P328" i="3"/>
  <c r="Q327" i="3"/>
  <c r="R327" i="3" s="1"/>
  <c r="S327" i="3"/>
  <c r="Q328" i="3" l="1"/>
  <c r="R328" i="3"/>
  <c r="S328" i="3"/>
  <c r="N330" i="3"/>
  <c r="P329" i="3"/>
  <c r="Q329" i="3" l="1"/>
  <c r="R329" i="3"/>
  <c r="S329" i="3"/>
  <c r="N331" i="3"/>
  <c r="P330" i="3"/>
  <c r="Q330" i="3" l="1"/>
  <c r="R330" i="3" s="1"/>
  <c r="S330" i="3"/>
  <c r="P331" i="3"/>
  <c r="N332" i="3"/>
  <c r="P332" i="3" l="1"/>
  <c r="N333" i="3"/>
  <c r="Q331" i="3"/>
  <c r="R331" i="3" s="1"/>
  <c r="S331" i="3"/>
  <c r="N334" i="3" l="1"/>
  <c r="P333" i="3"/>
  <c r="Q332" i="3"/>
  <c r="R332" i="3" s="1"/>
  <c r="S332" i="3"/>
  <c r="Q333" i="3" l="1"/>
  <c r="S333" i="3"/>
  <c r="R333" i="3"/>
  <c r="N335" i="3"/>
  <c r="P334" i="3"/>
  <c r="Q334" i="3" l="1"/>
  <c r="R334" i="3"/>
  <c r="S334" i="3"/>
  <c r="N336" i="3"/>
  <c r="P335" i="3"/>
  <c r="Q335" i="3" l="1"/>
  <c r="R335" i="3"/>
  <c r="S335" i="3"/>
  <c r="P336" i="3"/>
  <c r="N337" i="3"/>
  <c r="P337" i="3" l="1"/>
  <c r="N338" i="3"/>
  <c r="Q336" i="3"/>
  <c r="R336" i="3" s="1"/>
  <c r="S336" i="3"/>
  <c r="N339" i="3" l="1"/>
  <c r="P338" i="3"/>
  <c r="Q337" i="3"/>
  <c r="R337" i="3" s="1"/>
  <c r="S337" i="3" l="1"/>
  <c r="Q338" i="3"/>
  <c r="R338" i="3" s="1"/>
  <c r="S338" i="3"/>
  <c r="P339" i="3"/>
  <c r="N340" i="3"/>
  <c r="P340" i="3" l="1"/>
  <c r="N341" i="3"/>
  <c r="Q339" i="3"/>
  <c r="R339" i="3"/>
  <c r="S339" i="3"/>
  <c r="N342" i="3" l="1"/>
  <c r="P341" i="3"/>
  <c r="Q340" i="3"/>
  <c r="R340" i="3"/>
  <c r="S340" i="3"/>
  <c r="Q341" i="3" l="1"/>
  <c r="R341" i="3" s="1"/>
  <c r="S341" i="3"/>
  <c r="N343" i="3"/>
  <c r="P342" i="3"/>
  <c r="Q342" i="3" l="1"/>
  <c r="R342" i="3"/>
  <c r="S342" i="3"/>
  <c r="P343" i="3"/>
  <c r="N344" i="3"/>
  <c r="P344" i="3" l="1"/>
  <c r="N345" i="3"/>
  <c r="Q343" i="3"/>
  <c r="S343" i="3"/>
  <c r="R343" i="3"/>
  <c r="N346" i="3" l="1"/>
  <c r="P345" i="3"/>
  <c r="Q344" i="3"/>
  <c r="R344" i="3" s="1"/>
  <c r="S344" i="3"/>
  <c r="Q345" i="3" l="1"/>
  <c r="R345" i="3"/>
  <c r="S345" i="3"/>
  <c r="N347" i="3"/>
  <c r="P346" i="3"/>
  <c r="Q346" i="3" l="1"/>
  <c r="R346" i="3"/>
  <c r="S346" i="3"/>
  <c r="N348" i="3"/>
  <c r="P347" i="3"/>
  <c r="Q347" i="3" l="1"/>
  <c r="R347" i="3"/>
  <c r="S347" i="3"/>
  <c r="P348" i="3"/>
  <c r="N349" i="3"/>
  <c r="P349" i="3" l="1"/>
  <c r="N350" i="3"/>
  <c r="Q348" i="3"/>
  <c r="R348" i="3"/>
  <c r="S348" i="3"/>
  <c r="N351" i="3" l="1"/>
  <c r="P350" i="3"/>
  <c r="Q349" i="3"/>
  <c r="R349" i="3" s="1"/>
  <c r="S349" i="3"/>
  <c r="Q350" i="3" l="1"/>
  <c r="R350" i="3" s="1"/>
  <c r="N352" i="3"/>
  <c r="P351" i="3"/>
  <c r="Q351" i="3" l="1"/>
  <c r="R351" i="3" s="1"/>
  <c r="S351" i="3"/>
  <c r="P352" i="3"/>
  <c r="N353" i="3"/>
  <c r="S350" i="3"/>
  <c r="N354" i="3" l="1"/>
  <c r="P353" i="3"/>
  <c r="Q352" i="3"/>
  <c r="R352" i="3"/>
  <c r="S352" i="3"/>
  <c r="Q353" i="3" l="1"/>
  <c r="R353" i="3" s="1"/>
  <c r="S353" i="3"/>
  <c r="P354" i="3"/>
  <c r="N355" i="3"/>
  <c r="P355" i="3" l="1"/>
  <c r="N356" i="3"/>
  <c r="Q354" i="3"/>
  <c r="R354" i="3"/>
  <c r="S354" i="3"/>
  <c r="P356" i="3" l="1"/>
  <c r="N357" i="3"/>
  <c r="Q355" i="3"/>
  <c r="R355" i="3"/>
  <c r="S355" i="3"/>
  <c r="P357" i="3" l="1"/>
  <c r="N358" i="3"/>
  <c r="Q356" i="3"/>
  <c r="R356" i="3" s="1"/>
  <c r="S356" i="3"/>
  <c r="P358" i="3" l="1"/>
  <c r="N359" i="3"/>
  <c r="Q357" i="3"/>
  <c r="R357" i="3"/>
  <c r="S357" i="3"/>
  <c r="N360" i="3" l="1"/>
  <c r="P359" i="3"/>
  <c r="Q358" i="3"/>
  <c r="R358" i="3" s="1"/>
  <c r="S358" i="3" l="1"/>
  <c r="Q359" i="3"/>
  <c r="R359" i="3" s="1"/>
  <c r="S359" i="3"/>
  <c r="N361" i="3"/>
  <c r="P360" i="3"/>
  <c r="Q360" i="3" l="1"/>
  <c r="R360" i="3"/>
  <c r="S360" i="3"/>
  <c r="P361" i="3"/>
  <c r="N362" i="3"/>
  <c r="N363" i="3" l="1"/>
  <c r="P362" i="3"/>
  <c r="Q361" i="3"/>
  <c r="R361" i="3" s="1"/>
  <c r="S361" i="3"/>
  <c r="Q362" i="3" l="1"/>
  <c r="R362" i="3" s="1"/>
  <c r="S362" i="3"/>
  <c r="P363" i="3"/>
  <c r="N364" i="3"/>
  <c r="N365" i="3" l="1"/>
  <c r="P364" i="3"/>
  <c r="Q363" i="3"/>
  <c r="R363" i="3" s="1"/>
  <c r="S363" i="3" l="1"/>
  <c r="Q364" i="3"/>
  <c r="R364" i="3" s="1"/>
  <c r="S364" i="3"/>
  <c r="N366" i="3"/>
  <c r="P365" i="3"/>
  <c r="Q365" i="3" l="1"/>
  <c r="R365" i="3" s="1"/>
  <c r="S365" i="3"/>
  <c r="N367" i="3"/>
  <c r="P366" i="3"/>
  <c r="Q366" i="3" l="1"/>
  <c r="R366" i="3" s="1"/>
  <c r="S366" i="3"/>
  <c r="P367" i="3"/>
  <c r="N368" i="3"/>
  <c r="P368" i="3" l="1"/>
  <c r="N369" i="3"/>
  <c r="Q367" i="3"/>
  <c r="R367" i="3"/>
  <c r="S367" i="3"/>
  <c r="P369" i="3" l="1"/>
  <c r="N370" i="3"/>
  <c r="Q368" i="3"/>
  <c r="R368" i="3" s="1"/>
  <c r="S368" i="3"/>
  <c r="P370" i="3" l="1"/>
  <c r="N371" i="3"/>
  <c r="Q369" i="3"/>
  <c r="R369" i="3"/>
  <c r="S369" i="3"/>
  <c r="N372" i="3" l="1"/>
  <c r="P371" i="3"/>
  <c r="Q370" i="3"/>
  <c r="R370" i="3" s="1"/>
  <c r="S370" i="3"/>
  <c r="Q371" i="3" l="1"/>
  <c r="R371" i="3" s="1"/>
  <c r="S371" i="3"/>
  <c r="P372" i="3"/>
  <c r="N373" i="3"/>
  <c r="P373" i="3" l="1"/>
  <c r="N374" i="3"/>
  <c r="Q372" i="3"/>
  <c r="R372" i="3"/>
  <c r="S372" i="3"/>
  <c r="P374" i="3" l="1"/>
  <c r="N375" i="3"/>
  <c r="Q373" i="3"/>
  <c r="R373" i="3"/>
  <c r="S373" i="3"/>
  <c r="P375" i="3" l="1"/>
  <c r="N376" i="3"/>
  <c r="Q374" i="3"/>
  <c r="R374" i="3" s="1"/>
  <c r="S374" i="3"/>
  <c r="N377" i="3" l="1"/>
  <c r="P376" i="3"/>
  <c r="Q375" i="3"/>
  <c r="S375" i="3" s="1"/>
  <c r="R375" i="3" l="1"/>
  <c r="Q376" i="3"/>
  <c r="R376" i="3" s="1"/>
  <c r="S376" i="3"/>
  <c r="N378" i="3"/>
  <c r="P377" i="3"/>
  <c r="Q377" i="3" l="1"/>
  <c r="R377" i="3" s="1"/>
  <c r="S377" i="3"/>
  <c r="N379" i="3"/>
  <c r="P378" i="3"/>
  <c r="Q378" i="3" l="1"/>
  <c r="R378" i="3"/>
  <c r="S378" i="3"/>
  <c r="P379" i="3"/>
  <c r="N380" i="3"/>
  <c r="N381" i="3" l="1"/>
  <c r="P380" i="3"/>
  <c r="Q379" i="3"/>
  <c r="R379" i="3" s="1"/>
  <c r="S379" i="3"/>
  <c r="Q380" i="3" l="1"/>
  <c r="R380" i="3" s="1"/>
  <c r="S380" i="3"/>
  <c r="P381" i="3"/>
  <c r="N382" i="3"/>
  <c r="N383" i="3" l="1"/>
  <c r="P382" i="3"/>
  <c r="Q381" i="3"/>
  <c r="R381" i="3" s="1"/>
  <c r="S381" i="3"/>
  <c r="Q382" i="3" l="1"/>
  <c r="R382" i="3" s="1"/>
  <c r="S382" i="3"/>
  <c r="N384" i="3"/>
  <c r="P383" i="3"/>
  <c r="Q383" i="3" l="1"/>
  <c r="R383" i="3"/>
  <c r="S383" i="3"/>
  <c r="P384" i="3"/>
  <c r="N385" i="3"/>
  <c r="P385" i="3" l="1"/>
  <c r="N386" i="3"/>
  <c r="Q384" i="3"/>
  <c r="R384" i="3"/>
  <c r="S384" i="3"/>
  <c r="P386" i="3" l="1"/>
  <c r="N387" i="3"/>
  <c r="Q385" i="3"/>
  <c r="S385" i="3"/>
  <c r="R385" i="3"/>
  <c r="P387" i="3" l="1"/>
  <c r="N388" i="3"/>
  <c r="Q386" i="3"/>
  <c r="R386" i="3" s="1"/>
  <c r="S386" i="3"/>
  <c r="N389" i="3" l="1"/>
  <c r="P388" i="3"/>
  <c r="Q387" i="3"/>
  <c r="R387" i="3" s="1"/>
  <c r="S387" i="3"/>
  <c r="Q388" i="3" l="1"/>
  <c r="R388" i="3" s="1"/>
  <c r="S388" i="3"/>
  <c r="N390" i="3"/>
  <c r="P389" i="3"/>
  <c r="Q389" i="3" l="1"/>
  <c r="R389" i="3"/>
  <c r="S389" i="3"/>
  <c r="N391" i="3"/>
  <c r="P390" i="3"/>
  <c r="Q390" i="3" l="1"/>
  <c r="R390" i="3" s="1"/>
  <c r="S390" i="3"/>
  <c r="P391" i="3"/>
  <c r="N392" i="3"/>
  <c r="N393" i="3" l="1"/>
  <c r="P392" i="3"/>
  <c r="Q391" i="3"/>
  <c r="R391" i="3" s="1"/>
  <c r="S391" i="3"/>
  <c r="Q392" i="3" l="1"/>
  <c r="R392" i="3" s="1"/>
  <c r="S392" i="3"/>
  <c r="P393" i="3"/>
  <c r="N394" i="3"/>
  <c r="N395" i="3" l="1"/>
  <c r="P394" i="3"/>
  <c r="Q393" i="3"/>
  <c r="R393" i="3" s="1"/>
  <c r="S393" i="3"/>
  <c r="Q394" i="3" l="1"/>
  <c r="R394" i="3" s="1"/>
  <c r="S394" i="3"/>
  <c r="N396" i="3"/>
  <c r="P395" i="3"/>
  <c r="Q395" i="3" l="1"/>
  <c r="S395" i="3"/>
  <c r="R395" i="3"/>
  <c r="P396" i="3"/>
  <c r="N397" i="3"/>
  <c r="P397" i="3" l="1"/>
  <c r="N398" i="3"/>
  <c r="Q396" i="3"/>
  <c r="S396" i="3"/>
  <c r="R396" i="3"/>
  <c r="N399" i="3" l="1"/>
  <c r="P398" i="3"/>
  <c r="Q397" i="3"/>
  <c r="R397" i="3" s="1"/>
  <c r="S397" i="3"/>
  <c r="Q398" i="3" l="1"/>
  <c r="R398" i="3" s="1"/>
  <c r="S398" i="3"/>
  <c r="P399" i="3"/>
  <c r="N400" i="3"/>
  <c r="N401" i="3" l="1"/>
  <c r="P400" i="3"/>
  <c r="Q399" i="3"/>
  <c r="R399" i="3" s="1"/>
  <c r="S399" i="3"/>
  <c r="Q400" i="3" l="1"/>
  <c r="R400" i="3" s="1"/>
  <c r="N402" i="3"/>
  <c r="P401" i="3"/>
  <c r="Q401" i="3" l="1"/>
  <c r="R401" i="3" s="1"/>
  <c r="S401" i="3"/>
  <c r="N403" i="3"/>
  <c r="P402" i="3"/>
  <c r="S400" i="3"/>
  <c r="Q402" i="3" l="1"/>
  <c r="R402" i="3" s="1"/>
  <c r="S402" i="3"/>
  <c r="P403" i="3"/>
  <c r="N404" i="3"/>
  <c r="N405" i="3" l="1"/>
  <c r="P404" i="3"/>
  <c r="Q403" i="3"/>
  <c r="R403" i="3"/>
  <c r="S403" i="3"/>
  <c r="Q404" i="3" l="1"/>
  <c r="R404" i="3" s="1"/>
  <c r="S404" i="3"/>
  <c r="P405" i="3"/>
  <c r="N406" i="3"/>
  <c r="P406" i="3" l="1"/>
  <c r="N407" i="3"/>
  <c r="Q405" i="3"/>
  <c r="R405" i="3"/>
  <c r="S405" i="3"/>
  <c r="N408" i="3" l="1"/>
  <c r="P407" i="3"/>
  <c r="Q406" i="3"/>
  <c r="R406" i="3" s="1"/>
  <c r="S406" i="3"/>
  <c r="Q407" i="3" l="1"/>
  <c r="R407" i="3" s="1"/>
  <c r="S407" i="3"/>
  <c r="N409" i="3"/>
  <c r="P408" i="3"/>
  <c r="Q408" i="3" l="1"/>
  <c r="R408" i="3"/>
  <c r="S408" i="3"/>
  <c r="P409" i="3"/>
  <c r="N410" i="3"/>
  <c r="N411" i="3" l="1"/>
  <c r="P410" i="3"/>
  <c r="Q409" i="3"/>
  <c r="R409" i="3" s="1"/>
  <c r="S409" i="3" l="1"/>
  <c r="Q410" i="3"/>
  <c r="R410" i="3" s="1"/>
  <c r="S410" i="3"/>
  <c r="P411" i="3"/>
  <c r="N412" i="3"/>
  <c r="P412" i="3" l="1"/>
  <c r="N413" i="3"/>
  <c r="Q411" i="3"/>
  <c r="R411" i="3" s="1"/>
  <c r="S411" i="3"/>
  <c r="N414" i="3" l="1"/>
  <c r="P413" i="3"/>
  <c r="Q412" i="3"/>
  <c r="R412" i="3" s="1"/>
  <c r="S412" i="3" l="1"/>
  <c r="Q413" i="3"/>
  <c r="R413" i="3" s="1"/>
  <c r="S413" i="3"/>
  <c r="N415" i="3"/>
  <c r="P414" i="3"/>
  <c r="Q414" i="3" l="1"/>
  <c r="R414" i="3" s="1"/>
  <c r="P415" i="3"/>
  <c r="N416" i="3"/>
  <c r="N417" i="3" l="1"/>
  <c r="P416" i="3"/>
  <c r="Q415" i="3"/>
  <c r="R415" i="3" s="1"/>
  <c r="S414" i="3"/>
  <c r="S415" i="3" l="1"/>
  <c r="Q416" i="3"/>
  <c r="R416" i="3" s="1"/>
  <c r="S416" i="3"/>
  <c r="P417" i="3"/>
  <c r="N418" i="3"/>
  <c r="P418" i="3" l="1"/>
  <c r="N419" i="3"/>
  <c r="Q417" i="3"/>
  <c r="R417" i="3"/>
  <c r="S417" i="3"/>
  <c r="N420" i="3" l="1"/>
  <c r="P419" i="3"/>
  <c r="Q418" i="3"/>
  <c r="R418" i="3" s="1"/>
  <c r="S418" i="3"/>
  <c r="Q419" i="3" l="1"/>
  <c r="R419" i="3" s="1"/>
  <c r="S419" i="3"/>
  <c r="P420" i="3"/>
  <c r="N421" i="3"/>
  <c r="P421" i="3" l="1"/>
  <c r="N422" i="3"/>
  <c r="Q420" i="3"/>
  <c r="R420" i="3" s="1"/>
  <c r="S420" i="3"/>
  <c r="N423" i="3" l="1"/>
  <c r="P422" i="3"/>
  <c r="Q421" i="3"/>
  <c r="R421" i="3"/>
  <c r="S421" i="3"/>
  <c r="Q422" i="3" l="1"/>
  <c r="R422" i="3" s="1"/>
  <c r="S422" i="3"/>
  <c r="P423" i="3"/>
  <c r="N424" i="3"/>
  <c r="N425" i="3" l="1"/>
  <c r="P424" i="3"/>
  <c r="Q423" i="3"/>
  <c r="R423" i="3" s="1"/>
  <c r="S423" i="3"/>
  <c r="Q424" i="3" l="1"/>
  <c r="R424" i="3" s="1"/>
  <c r="S424" i="3"/>
  <c r="N426" i="3"/>
  <c r="P425" i="3"/>
  <c r="Q425" i="3" l="1"/>
  <c r="R425" i="3"/>
  <c r="S425" i="3"/>
  <c r="P426" i="3"/>
  <c r="N427" i="3"/>
  <c r="P427" i="3" l="1"/>
  <c r="N428" i="3"/>
  <c r="Q426" i="3"/>
  <c r="R426" i="3" s="1"/>
  <c r="S426" i="3"/>
  <c r="N429" i="3" l="1"/>
  <c r="P428" i="3"/>
  <c r="Q427" i="3"/>
  <c r="R427" i="3"/>
  <c r="S427" i="3"/>
  <c r="Q428" i="3" l="1"/>
  <c r="R428" i="3" s="1"/>
  <c r="S428" i="3"/>
  <c r="P429" i="3"/>
  <c r="N430" i="3"/>
  <c r="N431" i="3" l="1"/>
  <c r="P430" i="3"/>
  <c r="Q429" i="3"/>
  <c r="R429" i="3" s="1"/>
  <c r="S429" i="3"/>
  <c r="Q430" i="3" l="1"/>
  <c r="R430" i="3" s="1"/>
  <c r="S430" i="3"/>
  <c r="N432" i="3"/>
  <c r="P431" i="3"/>
  <c r="Q431" i="3" l="1"/>
  <c r="R431" i="3" s="1"/>
  <c r="S431" i="3"/>
  <c r="N433" i="3"/>
  <c r="P432" i="3"/>
  <c r="Q432" i="3" l="1"/>
  <c r="R432" i="3"/>
  <c r="S432" i="3"/>
  <c r="P433" i="3"/>
  <c r="N434" i="3"/>
  <c r="P434" i="3" l="1"/>
  <c r="N435" i="3"/>
  <c r="Q433" i="3"/>
  <c r="R433" i="3" s="1"/>
  <c r="S433" i="3"/>
  <c r="P435" i="3" l="1"/>
  <c r="N436" i="3"/>
  <c r="Q434" i="3"/>
  <c r="R434" i="3" s="1"/>
  <c r="S434" i="3"/>
  <c r="N437" i="3" l="1"/>
  <c r="P436" i="3"/>
  <c r="Q435" i="3"/>
  <c r="R435" i="3" s="1"/>
  <c r="S435" i="3"/>
  <c r="Q436" i="3" l="1"/>
  <c r="R436" i="3" s="1"/>
  <c r="S436" i="3"/>
  <c r="N438" i="3"/>
  <c r="P437" i="3"/>
  <c r="Q437" i="3" l="1"/>
  <c r="R437" i="3" s="1"/>
  <c r="S437" i="3"/>
  <c r="N439" i="3"/>
  <c r="P438" i="3"/>
  <c r="Q438" i="3" l="1"/>
  <c r="R438" i="3"/>
  <c r="S438" i="3"/>
  <c r="P439" i="3"/>
  <c r="N440" i="3"/>
  <c r="N441" i="3" l="1"/>
  <c r="P440" i="3"/>
  <c r="Q439" i="3"/>
  <c r="R439" i="3" s="1"/>
  <c r="S439" i="3"/>
  <c r="Q440" i="3" l="1"/>
  <c r="R440" i="3" s="1"/>
  <c r="S440" i="3"/>
  <c r="P441" i="3"/>
  <c r="N442" i="3"/>
  <c r="N443" i="3" l="1"/>
  <c r="P442" i="3"/>
  <c r="Q441" i="3"/>
  <c r="R441" i="3"/>
  <c r="S441" i="3"/>
  <c r="Q442" i="3" l="1"/>
  <c r="R442" i="3" s="1"/>
  <c r="S442" i="3"/>
  <c r="N444" i="3"/>
  <c r="P443" i="3"/>
  <c r="Q443" i="3" l="1"/>
  <c r="R443" i="3"/>
  <c r="S443" i="3"/>
  <c r="P444" i="3"/>
  <c r="N445" i="3"/>
  <c r="P445" i="3" l="1"/>
  <c r="N446" i="3"/>
  <c r="Q444" i="3"/>
  <c r="R444" i="3"/>
  <c r="S444" i="3"/>
  <c r="N447" i="3" l="1"/>
  <c r="P446" i="3"/>
  <c r="Q445" i="3"/>
  <c r="R445" i="3" s="1"/>
  <c r="S445" i="3"/>
  <c r="Q446" i="3" l="1"/>
  <c r="R446" i="3" s="1"/>
  <c r="S446" i="3"/>
  <c r="N448" i="3"/>
  <c r="P447" i="3"/>
  <c r="Q447" i="3" l="1"/>
  <c r="R447" i="3" s="1"/>
  <c r="S447" i="3"/>
  <c r="N449" i="3"/>
  <c r="P448" i="3"/>
  <c r="Q448" i="3" l="1"/>
  <c r="R448" i="3"/>
  <c r="S448" i="3"/>
  <c r="N450" i="3"/>
  <c r="P449" i="3"/>
  <c r="Q449" i="3" l="1"/>
  <c r="R449" i="3" s="1"/>
  <c r="S449" i="3"/>
  <c r="N451" i="3"/>
  <c r="P450" i="3"/>
  <c r="Q450" i="3" l="1"/>
  <c r="R450" i="3" s="1"/>
  <c r="S450" i="3"/>
  <c r="N452" i="3"/>
  <c r="P451" i="3"/>
  <c r="Q451" i="3" l="1"/>
  <c r="R451" i="3"/>
  <c r="S451" i="3"/>
  <c r="P452" i="3"/>
  <c r="N453" i="3"/>
  <c r="P453" i="3" l="1"/>
  <c r="N454" i="3"/>
  <c r="Q452" i="3"/>
  <c r="R452" i="3" s="1"/>
  <c r="S452" i="3"/>
  <c r="N455" i="3" l="1"/>
  <c r="P454" i="3"/>
  <c r="Q453" i="3"/>
  <c r="R453" i="3" s="1"/>
  <c r="S453" i="3"/>
  <c r="Q454" i="3" l="1"/>
  <c r="R454" i="3"/>
  <c r="S454" i="3"/>
  <c r="N456" i="3"/>
  <c r="P455" i="3"/>
  <c r="Q455" i="3" l="1"/>
  <c r="R455" i="3"/>
  <c r="S455" i="3"/>
  <c r="N457" i="3"/>
  <c r="P456" i="3"/>
  <c r="Q456" i="3" l="1"/>
  <c r="R456" i="3"/>
  <c r="S456" i="3"/>
  <c r="N458" i="3"/>
  <c r="P457" i="3"/>
  <c r="Q457" i="3" l="1"/>
  <c r="R457" i="3" s="1"/>
  <c r="S457" i="3"/>
  <c r="N459" i="3"/>
  <c r="P458" i="3"/>
  <c r="Q458" i="3" l="1"/>
  <c r="R458" i="3"/>
  <c r="S458" i="3"/>
  <c r="N460" i="3"/>
  <c r="P459" i="3"/>
  <c r="Q459" i="3" l="1"/>
  <c r="R459" i="3" s="1"/>
  <c r="S459" i="3"/>
  <c r="N461" i="3"/>
  <c r="P460" i="3"/>
  <c r="Q460" i="3" l="1"/>
  <c r="R460" i="3"/>
  <c r="S460" i="3"/>
  <c r="N462" i="3"/>
  <c r="P461" i="3"/>
  <c r="Q461" i="3" l="1"/>
  <c r="R461" i="3" s="1"/>
  <c r="S461" i="3"/>
  <c r="N463" i="3"/>
  <c r="P462" i="3"/>
  <c r="Q462" i="3" l="1"/>
  <c r="R462" i="3" s="1"/>
  <c r="S462" i="3"/>
  <c r="P463" i="3"/>
  <c r="N464" i="3"/>
  <c r="P464" i="3" l="1"/>
  <c r="N465" i="3"/>
  <c r="Q463" i="3"/>
  <c r="R463" i="3"/>
  <c r="S463" i="3"/>
  <c r="P465" i="3" l="1"/>
  <c r="N466" i="3"/>
  <c r="Q464" i="3"/>
  <c r="R464" i="3" s="1"/>
  <c r="S464" i="3"/>
  <c r="N467" i="3" l="1"/>
  <c r="P466" i="3"/>
  <c r="Q465" i="3"/>
  <c r="R465" i="3" s="1"/>
  <c r="S465" i="3"/>
  <c r="Q466" i="3" l="1"/>
  <c r="R466" i="3"/>
  <c r="S466" i="3"/>
  <c r="N468" i="3"/>
  <c r="P467" i="3"/>
  <c r="Q467" i="3" l="1"/>
  <c r="R467" i="3"/>
  <c r="S467" i="3"/>
  <c r="N469" i="3"/>
  <c r="P468" i="3"/>
  <c r="Q468" i="3" l="1"/>
  <c r="S468" i="3"/>
  <c r="R468" i="3"/>
  <c r="N470" i="3"/>
  <c r="P469" i="3"/>
  <c r="Q469" i="3" l="1"/>
  <c r="R469" i="3" s="1"/>
  <c r="S469" i="3"/>
  <c r="P470" i="3"/>
  <c r="N471" i="3"/>
  <c r="P471" i="3" l="1"/>
  <c r="N472" i="3"/>
  <c r="Q470" i="3"/>
  <c r="R470" i="3"/>
  <c r="S470" i="3"/>
  <c r="N473" i="3" l="1"/>
  <c r="P472" i="3"/>
  <c r="Q471" i="3"/>
  <c r="S471" i="3"/>
  <c r="R471" i="3"/>
  <c r="Q472" i="3" l="1"/>
  <c r="R472" i="3"/>
  <c r="S472" i="3"/>
  <c r="N474" i="3"/>
  <c r="P473" i="3"/>
  <c r="Q473" i="3" l="1"/>
  <c r="R473" i="3"/>
  <c r="S473" i="3"/>
  <c r="P474" i="3"/>
  <c r="N475" i="3"/>
  <c r="P475" i="3" l="1"/>
  <c r="N476" i="3"/>
  <c r="Q474" i="3"/>
  <c r="R474" i="3"/>
  <c r="S474" i="3"/>
  <c r="N477" i="3" l="1"/>
  <c r="P476" i="3"/>
  <c r="Q475" i="3"/>
  <c r="R475" i="3" s="1"/>
  <c r="S475" i="3"/>
  <c r="Q476" i="3" l="1"/>
  <c r="R476" i="3"/>
  <c r="S476" i="3"/>
  <c r="P477" i="3"/>
  <c r="N478" i="3"/>
  <c r="N479" i="3" l="1"/>
  <c r="P478" i="3"/>
  <c r="Q477" i="3"/>
  <c r="R477" i="3" s="1"/>
  <c r="S477" i="3" l="1"/>
  <c r="Q478" i="3"/>
  <c r="R478" i="3"/>
  <c r="S478" i="3"/>
  <c r="N480" i="3"/>
  <c r="P479" i="3"/>
  <c r="Q479" i="3" l="1"/>
  <c r="R479" i="3"/>
  <c r="S479" i="3"/>
  <c r="P480" i="3"/>
  <c r="N481" i="3"/>
  <c r="P481" i="3" l="1"/>
  <c r="N482" i="3"/>
  <c r="Q480" i="3"/>
  <c r="R480" i="3" s="1"/>
  <c r="S480" i="3" l="1"/>
  <c r="P482" i="3"/>
  <c r="N483" i="3"/>
  <c r="Q481" i="3"/>
  <c r="R481" i="3" s="1"/>
  <c r="S481" i="3"/>
  <c r="N484" i="3" l="1"/>
  <c r="P483" i="3"/>
  <c r="Q482" i="3"/>
  <c r="R482" i="3"/>
  <c r="S482" i="3"/>
  <c r="Q483" i="3" l="1"/>
  <c r="R483" i="3"/>
  <c r="S483" i="3"/>
  <c r="N485" i="3"/>
  <c r="P484" i="3"/>
  <c r="Q484" i="3" l="1"/>
  <c r="R484" i="3"/>
  <c r="S484" i="3"/>
  <c r="N486" i="3"/>
  <c r="P485" i="3"/>
  <c r="Q485" i="3" l="1"/>
  <c r="R485" i="3" s="1"/>
  <c r="S485" i="3"/>
  <c r="P486" i="3"/>
  <c r="N487" i="3"/>
  <c r="P487" i="3" l="1"/>
  <c r="N488" i="3"/>
  <c r="Q486" i="3"/>
  <c r="R486" i="3"/>
  <c r="S486" i="3"/>
  <c r="N489" i="3" l="1"/>
  <c r="P488" i="3"/>
  <c r="Q487" i="3"/>
  <c r="R487" i="3" s="1"/>
  <c r="S487" i="3"/>
  <c r="Q488" i="3" l="1"/>
  <c r="S488" i="3"/>
  <c r="R488" i="3"/>
  <c r="N490" i="3"/>
  <c r="P489" i="3"/>
  <c r="Q489" i="3" l="1"/>
  <c r="R489" i="3" s="1"/>
  <c r="S489" i="3"/>
  <c r="N491" i="3"/>
  <c r="P490" i="3"/>
  <c r="Q490" i="3" l="1"/>
  <c r="R490" i="3"/>
  <c r="S490" i="3"/>
  <c r="N492" i="3"/>
  <c r="P491" i="3"/>
  <c r="Q491" i="3" l="1"/>
  <c r="R491" i="3" s="1"/>
  <c r="S491" i="3"/>
  <c r="P492" i="3"/>
  <c r="N493" i="3"/>
  <c r="P493" i="3" l="1"/>
  <c r="N494" i="3"/>
  <c r="Q492" i="3"/>
  <c r="R492" i="3"/>
  <c r="S492" i="3"/>
  <c r="P494" i="3" l="1"/>
  <c r="N495" i="3"/>
  <c r="Q493" i="3"/>
  <c r="R493" i="3" s="1"/>
  <c r="S493" i="3"/>
  <c r="P495" i="3" l="1"/>
  <c r="N496" i="3"/>
  <c r="Q494" i="3"/>
  <c r="R494" i="3" s="1"/>
  <c r="S494" i="3"/>
  <c r="N497" i="3" l="1"/>
  <c r="P496" i="3"/>
  <c r="Q495" i="3"/>
  <c r="R495" i="3"/>
  <c r="S495" i="3"/>
  <c r="Q496" i="3" l="1"/>
  <c r="R496" i="3" s="1"/>
  <c r="S496" i="3"/>
  <c r="P497" i="3"/>
  <c r="N498" i="3"/>
  <c r="P498" i="3" l="1"/>
  <c r="N499" i="3"/>
  <c r="Q497" i="3"/>
  <c r="R497" i="3"/>
  <c r="S497" i="3"/>
  <c r="N500" i="3" l="1"/>
  <c r="P499" i="3"/>
  <c r="Q498" i="3"/>
  <c r="R498" i="3" s="1"/>
  <c r="S498" i="3"/>
  <c r="Q499" i="3" l="1"/>
  <c r="R499" i="3" s="1"/>
  <c r="S499" i="3"/>
  <c r="N501" i="3"/>
  <c r="P500" i="3"/>
  <c r="Q500" i="3" l="1"/>
  <c r="R500" i="3"/>
  <c r="S500" i="3"/>
  <c r="P501" i="3"/>
  <c r="N502" i="3"/>
  <c r="N503" i="3" l="1"/>
  <c r="P502" i="3"/>
  <c r="Q501" i="3"/>
  <c r="R501" i="3"/>
  <c r="S501" i="3"/>
  <c r="Q502" i="3" l="1"/>
  <c r="R502" i="3" s="1"/>
  <c r="S502" i="3"/>
  <c r="N504" i="3"/>
  <c r="P503" i="3"/>
  <c r="Q503" i="3" l="1"/>
  <c r="R503" i="3"/>
  <c r="S503" i="3"/>
  <c r="P504" i="3"/>
  <c r="N505" i="3"/>
  <c r="P505" i="3" l="1"/>
  <c r="N506" i="3"/>
  <c r="Q504" i="3"/>
  <c r="R504" i="3"/>
  <c r="S504" i="3"/>
  <c r="N507" i="3" l="1"/>
  <c r="P506" i="3"/>
  <c r="Q505" i="3"/>
  <c r="R505" i="3" s="1"/>
  <c r="S505" i="3"/>
  <c r="Q506" i="3" l="1"/>
  <c r="R506" i="3" s="1"/>
  <c r="S506" i="3"/>
  <c r="N508" i="3"/>
  <c r="P507" i="3"/>
  <c r="Q507" i="3" l="1"/>
  <c r="R507" i="3"/>
  <c r="S507" i="3"/>
  <c r="N509" i="3"/>
  <c r="P508" i="3"/>
  <c r="Q508" i="3" l="1"/>
  <c r="R508" i="3" s="1"/>
  <c r="S508" i="3"/>
  <c r="N510" i="3"/>
  <c r="P509" i="3"/>
  <c r="Q509" i="3" l="1"/>
  <c r="R509" i="3"/>
  <c r="S509" i="3"/>
  <c r="N511" i="3"/>
  <c r="P510" i="3"/>
  <c r="Q510" i="3" l="1"/>
  <c r="R510" i="3" s="1"/>
  <c r="S510" i="3"/>
  <c r="P511" i="3"/>
  <c r="N512" i="3"/>
  <c r="N513" i="3" l="1"/>
  <c r="P512" i="3"/>
  <c r="Q511" i="3"/>
  <c r="R511" i="3" s="1"/>
  <c r="S511" i="3"/>
  <c r="Q512" i="3" l="1"/>
  <c r="S512" i="3"/>
  <c r="R512" i="3"/>
  <c r="N514" i="3"/>
  <c r="P513" i="3"/>
  <c r="Q513" i="3" l="1"/>
  <c r="R513" i="3" s="1"/>
  <c r="S513" i="3"/>
  <c r="N515" i="3"/>
  <c r="P514" i="3"/>
  <c r="Q514" i="3" l="1"/>
  <c r="R514" i="3" s="1"/>
  <c r="S514" i="3"/>
  <c r="P515" i="3"/>
  <c r="N516" i="3"/>
  <c r="N517" i="3" l="1"/>
  <c r="P516" i="3"/>
  <c r="Q515" i="3"/>
  <c r="R515" i="3"/>
  <c r="S515" i="3"/>
  <c r="Q516" i="3" l="1"/>
  <c r="R516" i="3" s="1"/>
  <c r="S516" i="3"/>
  <c r="P517" i="3"/>
  <c r="N518" i="3"/>
  <c r="N519" i="3" l="1"/>
  <c r="P518" i="3"/>
  <c r="Q517" i="3"/>
  <c r="R517" i="3"/>
  <c r="S517" i="3"/>
  <c r="Q518" i="3" l="1"/>
  <c r="R518" i="3" s="1"/>
  <c r="S518" i="3"/>
  <c r="N520" i="3"/>
  <c r="P519" i="3"/>
  <c r="Q519" i="3" l="1"/>
  <c r="R519" i="3" s="1"/>
  <c r="S519" i="3"/>
  <c r="P520" i="3"/>
  <c r="N521" i="3"/>
  <c r="P521" i="3" l="1"/>
  <c r="N522" i="3"/>
  <c r="Q520" i="3"/>
  <c r="R520" i="3" s="1"/>
  <c r="S520" i="3"/>
  <c r="N523" i="3" l="1"/>
  <c r="P522" i="3"/>
  <c r="Q521" i="3"/>
  <c r="R521" i="3" s="1"/>
  <c r="S521" i="3"/>
  <c r="Q522" i="3" l="1"/>
  <c r="R522" i="3" s="1"/>
  <c r="S522" i="3"/>
  <c r="N524" i="3"/>
  <c r="P523" i="3"/>
  <c r="Q523" i="3" l="1"/>
  <c r="R523" i="3"/>
  <c r="S523" i="3"/>
  <c r="P524" i="3"/>
  <c r="N525" i="3"/>
  <c r="N526" i="3" l="1"/>
  <c r="P525" i="3"/>
  <c r="Q524" i="3"/>
  <c r="R524" i="3"/>
  <c r="S524" i="3"/>
  <c r="Q525" i="3" l="1"/>
  <c r="R525" i="3" s="1"/>
  <c r="P526" i="3"/>
  <c r="N527" i="3"/>
  <c r="P527" i="3" l="1"/>
  <c r="N528" i="3"/>
  <c r="Q526" i="3"/>
  <c r="R526" i="3" s="1"/>
  <c r="S526" i="3"/>
  <c r="S525" i="3"/>
  <c r="P528" i="3" l="1"/>
  <c r="N529" i="3"/>
  <c r="Q527" i="3"/>
  <c r="R527" i="3" s="1"/>
  <c r="S527" i="3"/>
  <c r="P529" i="3" l="1"/>
  <c r="N530" i="3"/>
  <c r="Q528" i="3"/>
  <c r="R528" i="3" s="1"/>
  <c r="S528" i="3"/>
  <c r="N531" i="3" l="1"/>
  <c r="P530" i="3"/>
  <c r="Q529" i="3"/>
  <c r="R529" i="3"/>
  <c r="S529" i="3"/>
  <c r="Q530" i="3" l="1"/>
  <c r="R530" i="3" s="1"/>
  <c r="S530" i="3"/>
  <c r="N532" i="3"/>
  <c r="P531" i="3"/>
  <c r="Q531" i="3" l="1"/>
  <c r="R531" i="3"/>
  <c r="S531" i="3"/>
  <c r="P532" i="3"/>
  <c r="N533" i="3"/>
  <c r="P533" i="3" l="1"/>
  <c r="N534" i="3"/>
  <c r="Q532" i="3"/>
  <c r="R532" i="3" s="1"/>
  <c r="S532" i="3"/>
  <c r="P534" i="3" l="1"/>
  <c r="N535" i="3"/>
  <c r="Q533" i="3"/>
  <c r="R533" i="3" s="1"/>
  <c r="S533" i="3" l="1"/>
  <c r="N536" i="3"/>
  <c r="P535" i="3"/>
  <c r="Q534" i="3"/>
  <c r="R534" i="3" s="1"/>
  <c r="S534" i="3" l="1"/>
  <c r="Q535" i="3"/>
  <c r="R535" i="3"/>
  <c r="S535" i="3"/>
  <c r="N537" i="3"/>
  <c r="P536" i="3"/>
  <c r="Q536" i="3" l="1"/>
  <c r="R536" i="3"/>
  <c r="S536" i="3"/>
  <c r="N538" i="3"/>
  <c r="P537" i="3"/>
  <c r="Q537" i="3" l="1"/>
  <c r="R537" i="3" s="1"/>
  <c r="S537" i="3"/>
  <c r="N539" i="3"/>
  <c r="P538" i="3"/>
  <c r="Q538" i="3" l="1"/>
  <c r="R538" i="3" s="1"/>
  <c r="S538" i="3"/>
  <c r="P539" i="3"/>
  <c r="N540" i="3"/>
  <c r="N541" i="3" l="1"/>
  <c r="P540" i="3"/>
  <c r="Q539" i="3"/>
  <c r="S539" i="3"/>
  <c r="R539" i="3"/>
  <c r="Q540" i="3" l="1"/>
  <c r="R540" i="3" s="1"/>
  <c r="S540" i="3"/>
  <c r="P541" i="3"/>
  <c r="N542" i="3"/>
  <c r="P542" i="3" l="1"/>
  <c r="N543" i="3"/>
  <c r="Q541" i="3"/>
  <c r="R541" i="3" s="1"/>
  <c r="S541" i="3"/>
  <c r="N544" i="3" l="1"/>
  <c r="P543" i="3"/>
  <c r="Q542" i="3"/>
  <c r="R542" i="3"/>
  <c r="S542" i="3"/>
  <c r="Q543" i="3" l="1"/>
  <c r="R543" i="3" s="1"/>
  <c r="S543" i="3"/>
  <c r="P544" i="3"/>
  <c r="N545" i="3"/>
  <c r="P545" i="3" l="1"/>
  <c r="N546" i="3"/>
  <c r="Q544" i="3"/>
  <c r="R544" i="3"/>
  <c r="S544" i="3"/>
  <c r="N547" i="3" l="1"/>
  <c r="P546" i="3"/>
  <c r="Q545" i="3"/>
  <c r="R545" i="3"/>
  <c r="S545" i="3"/>
  <c r="Q546" i="3" l="1"/>
  <c r="R546" i="3" s="1"/>
  <c r="S546" i="3"/>
  <c r="P547" i="3"/>
  <c r="N548" i="3"/>
  <c r="N549" i="3" l="1"/>
  <c r="P548" i="3"/>
  <c r="Q547" i="3"/>
  <c r="R547" i="3"/>
  <c r="S547" i="3"/>
  <c r="Q548" i="3" l="1"/>
  <c r="R548" i="3" s="1"/>
  <c r="S548" i="3"/>
  <c r="N550" i="3"/>
  <c r="P549" i="3"/>
  <c r="Q549" i="3" l="1"/>
  <c r="R549" i="3" s="1"/>
  <c r="S549" i="3"/>
  <c r="N551" i="3"/>
  <c r="P550" i="3"/>
  <c r="Q550" i="3" l="1"/>
  <c r="R550" i="3"/>
  <c r="S550" i="3"/>
  <c r="N552" i="3"/>
  <c r="P551" i="3"/>
  <c r="Q551" i="3" l="1"/>
  <c r="R551" i="3"/>
  <c r="S551" i="3"/>
  <c r="P552" i="3"/>
  <c r="N553" i="3"/>
  <c r="P553" i="3" l="1"/>
  <c r="N554" i="3"/>
  <c r="Q552" i="3"/>
  <c r="R552" i="3"/>
  <c r="S552" i="3"/>
  <c r="N555" i="3" l="1"/>
  <c r="P554" i="3"/>
  <c r="Q553" i="3"/>
  <c r="R553" i="3" s="1"/>
  <c r="S553" i="3"/>
  <c r="Q554" i="3" l="1"/>
  <c r="R554" i="3" s="1"/>
  <c r="S554" i="3"/>
  <c r="N556" i="3"/>
  <c r="P555" i="3"/>
  <c r="Q555" i="3" l="1"/>
  <c r="R555" i="3" s="1"/>
  <c r="S555" i="3"/>
  <c r="N557" i="3"/>
  <c r="P556" i="3"/>
  <c r="Q556" i="3" l="1"/>
  <c r="R556" i="3"/>
  <c r="S556" i="3"/>
  <c r="P557" i="3"/>
  <c r="N558" i="3"/>
  <c r="P558" i="3" l="1"/>
  <c r="N559" i="3"/>
  <c r="Q557" i="3"/>
  <c r="S557" i="3"/>
  <c r="R557" i="3"/>
  <c r="P559" i="3" l="1"/>
  <c r="N560" i="3"/>
  <c r="Q558" i="3"/>
  <c r="R558" i="3"/>
  <c r="S558" i="3"/>
  <c r="N561" i="3" l="1"/>
  <c r="P560" i="3"/>
  <c r="Q559" i="3"/>
  <c r="R559" i="3" s="1"/>
  <c r="S559" i="3"/>
  <c r="Q560" i="3" l="1"/>
  <c r="R560" i="3"/>
  <c r="S560" i="3"/>
  <c r="N562" i="3"/>
  <c r="P561" i="3"/>
  <c r="Q561" i="3" l="1"/>
  <c r="R561" i="3" s="1"/>
  <c r="S561" i="3"/>
  <c r="N563" i="3"/>
  <c r="P562" i="3"/>
  <c r="Q562" i="3" l="1"/>
  <c r="R562" i="3" s="1"/>
  <c r="S562" i="3"/>
  <c r="P563" i="3"/>
  <c r="N564" i="3"/>
  <c r="P564" i="3" l="1"/>
  <c r="N565" i="3"/>
  <c r="Q563" i="3"/>
  <c r="R563" i="3"/>
  <c r="S563" i="3"/>
  <c r="N566" i="3" l="1"/>
  <c r="P565" i="3"/>
  <c r="Q564" i="3"/>
  <c r="R564" i="3" s="1"/>
  <c r="S564" i="3"/>
  <c r="Q565" i="3" l="1"/>
  <c r="R565" i="3" s="1"/>
  <c r="S565" i="3"/>
  <c r="P566" i="3"/>
  <c r="N567" i="3"/>
  <c r="N568" i="3" l="1"/>
  <c r="P567" i="3"/>
  <c r="Q566" i="3"/>
  <c r="R566" i="3" s="1"/>
  <c r="S566" i="3"/>
  <c r="Q567" i="3" l="1"/>
  <c r="S567" i="3"/>
  <c r="R567" i="3"/>
  <c r="N569" i="3"/>
  <c r="P568" i="3"/>
  <c r="Q568" i="3" l="1"/>
  <c r="R568" i="3"/>
  <c r="S568" i="3"/>
  <c r="N570" i="3"/>
  <c r="P569" i="3"/>
  <c r="Q569" i="3" l="1"/>
  <c r="R569" i="3"/>
  <c r="S569" i="3"/>
  <c r="P570" i="3"/>
  <c r="N571" i="3"/>
  <c r="P571" i="3" l="1"/>
  <c r="N572" i="3"/>
  <c r="Q570" i="3"/>
  <c r="R570" i="3" s="1"/>
  <c r="S570" i="3"/>
  <c r="N573" i="3" l="1"/>
  <c r="P572" i="3"/>
  <c r="Q571" i="3"/>
  <c r="R571" i="3" s="1"/>
  <c r="S571" i="3"/>
  <c r="Q572" i="3" l="1"/>
  <c r="R572" i="3"/>
  <c r="S572" i="3"/>
  <c r="N574" i="3"/>
  <c r="P573" i="3"/>
  <c r="Q573" i="3" l="1"/>
  <c r="R573" i="3"/>
  <c r="S573" i="3"/>
  <c r="N575" i="3"/>
  <c r="P574" i="3"/>
  <c r="Q574" i="3" l="1"/>
  <c r="R574" i="3" s="1"/>
  <c r="S574" i="3"/>
  <c r="N576" i="3"/>
  <c r="P575" i="3"/>
  <c r="Q575" i="3" l="1"/>
  <c r="R575" i="3" s="1"/>
  <c r="S575" i="3"/>
  <c r="P576" i="3"/>
  <c r="N577" i="3"/>
  <c r="N578" i="3" l="1"/>
  <c r="P577" i="3"/>
  <c r="Q576" i="3"/>
  <c r="R576" i="3" s="1"/>
  <c r="S576" i="3"/>
  <c r="Q577" i="3" l="1"/>
  <c r="R577" i="3" s="1"/>
  <c r="S577" i="3"/>
  <c r="P578" i="3"/>
  <c r="N579" i="3"/>
  <c r="N580" i="3" l="1"/>
  <c r="P579" i="3"/>
  <c r="Q578" i="3"/>
  <c r="R578" i="3" s="1"/>
  <c r="S578" i="3" l="1"/>
  <c r="Q579" i="3"/>
  <c r="R579" i="3" s="1"/>
  <c r="N581" i="3"/>
  <c r="P580" i="3"/>
  <c r="Q580" i="3" l="1"/>
  <c r="R580" i="3"/>
  <c r="S580" i="3"/>
  <c r="S579" i="3"/>
  <c r="P581" i="3"/>
  <c r="N582" i="3"/>
  <c r="P582" i="3" l="1"/>
  <c r="N583" i="3"/>
  <c r="Q581" i="3"/>
  <c r="R581" i="3"/>
  <c r="S581" i="3"/>
  <c r="N584" i="3" l="1"/>
  <c r="P583" i="3"/>
  <c r="Q582" i="3"/>
  <c r="R582" i="3"/>
  <c r="S582" i="3"/>
  <c r="Q583" i="3" l="1"/>
  <c r="R583" i="3" s="1"/>
  <c r="S583" i="3"/>
  <c r="N585" i="3"/>
  <c r="P584" i="3"/>
  <c r="Q584" i="3" l="1"/>
  <c r="R584" i="3"/>
  <c r="S584" i="3"/>
  <c r="P585" i="3"/>
  <c r="N586" i="3"/>
  <c r="N587" i="3" l="1"/>
  <c r="P586" i="3"/>
  <c r="Q585" i="3"/>
  <c r="R585" i="3" s="1"/>
  <c r="S585" i="3"/>
  <c r="Q586" i="3" l="1"/>
  <c r="R586" i="3"/>
  <c r="S586" i="3"/>
  <c r="P587" i="3"/>
  <c r="N588" i="3"/>
  <c r="P588" i="3" l="1"/>
  <c r="N589" i="3"/>
  <c r="Q587" i="3"/>
  <c r="R587" i="3"/>
  <c r="S587" i="3"/>
  <c r="P589" i="3" l="1"/>
  <c r="N590" i="3"/>
  <c r="Q588" i="3"/>
  <c r="R588" i="3" s="1"/>
  <c r="S588" i="3" l="1"/>
  <c r="P590" i="3"/>
  <c r="N591" i="3"/>
  <c r="Q589" i="3"/>
  <c r="R589" i="3" s="1"/>
  <c r="S589" i="3"/>
  <c r="P591" i="3" l="1"/>
  <c r="N592" i="3"/>
  <c r="Q590" i="3"/>
  <c r="R590" i="3" s="1"/>
  <c r="S590" i="3"/>
  <c r="N593" i="3" l="1"/>
  <c r="P592" i="3"/>
  <c r="Q591" i="3"/>
  <c r="R591" i="3"/>
  <c r="S591" i="3"/>
  <c r="Q592" i="3" l="1"/>
  <c r="R592" i="3"/>
  <c r="S592" i="3"/>
  <c r="P593" i="3"/>
  <c r="N594" i="3"/>
  <c r="P594" i="3" l="1"/>
  <c r="N595" i="3"/>
  <c r="Q593" i="3"/>
  <c r="R593" i="3" s="1"/>
  <c r="S593" i="3"/>
  <c r="P595" i="3" l="1"/>
  <c r="N596" i="3"/>
  <c r="Q594" i="3"/>
  <c r="R594" i="3"/>
  <c r="S594" i="3"/>
  <c r="P596" i="3" l="1"/>
  <c r="N597" i="3"/>
  <c r="Q595" i="3"/>
  <c r="R595" i="3" s="1"/>
  <c r="S595" i="3"/>
  <c r="P597" i="3" l="1"/>
  <c r="N598" i="3"/>
  <c r="Q596" i="3"/>
  <c r="R596" i="3"/>
  <c r="S596" i="3"/>
  <c r="N599" i="3" l="1"/>
  <c r="P598" i="3"/>
  <c r="Q597" i="3"/>
  <c r="R597" i="3" s="1"/>
  <c r="S597" i="3"/>
  <c r="Q598" i="3" l="1"/>
  <c r="R598" i="3"/>
  <c r="S598" i="3"/>
  <c r="N600" i="3"/>
  <c r="P599" i="3"/>
  <c r="Q599" i="3" l="1"/>
  <c r="R599" i="3"/>
  <c r="S599" i="3"/>
  <c r="P600" i="3"/>
  <c r="N601" i="3"/>
  <c r="P601" i="3" l="1"/>
  <c r="N602" i="3"/>
  <c r="Q600" i="3"/>
  <c r="R600" i="3"/>
  <c r="S600" i="3"/>
  <c r="N603" i="3" l="1"/>
  <c r="P602" i="3"/>
  <c r="Q601" i="3"/>
  <c r="R601" i="3" s="1"/>
  <c r="S601" i="3"/>
  <c r="Q602" i="3" l="1"/>
  <c r="R602" i="3" s="1"/>
  <c r="S602" i="3"/>
  <c r="N604" i="3"/>
  <c r="P603" i="3"/>
  <c r="Q603" i="3" l="1"/>
  <c r="R603" i="3" s="1"/>
  <c r="S603" i="3"/>
  <c r="N605" i="3"/>
  <c r="P604" i="3"/>
  <c r="Q604" i="3" l="1"/>
  <c r="R604" i="3" s="1"/>
  <c r="S604" i="3"/>
  <c r="N606" i="3"/>
  <c r="P605" i="3"/>
  <c r="Q605" i="3" l="1"/>
  <c r="R605" i="3" s="1"/>
  <c r="S605" i="3"/>
  <c r="P606" i="3"/>
  <c r="N607" i="3"/>
  <c r="P607" i="3" l="1"/>
  <c r="N608" i="3"/>
  <c r="Q606" i="3"/>
  <c r="R606" i="3" s="1"/>
  <c r="S606" i="3"/>
  <c r="P608" i="3" l="1"/>
  <c r="N609" i="3"/>
  <c r="Q607" i="3"/>
  <c r="R607" i="3" s="1"/>
  <c r="S607" i="3"/>
  <c r="P609" i="3" l="1"/>
  <c r="N610" i="3"/>
  <c r="Q608" i="3"/>
  <c r="R608" i="3"/>
  <c r="S608" i="3"/>
  <c r="N611" i="3" l="1"/>
  <c r="P610" i="3"/>
  <c r="Q609" i="3"/>
  <c r="R609" i="3" s="1"/>
  <c r="S609" i="3"/>
  <c r="Q610" i="3" l="1"/>
  <c r="R610" i="3" s="1"/>
  <c r="S610" i="3"/>
  <c r="N612" i="3"/>
  <c r="P611" i="3"/>
  <c r="Q611" i="3" l="1"/>
  <c r="R611" i="3"/>
  <c r="S611" i="3"/>
  <c r="P612" i="3"/>
  <c r="N613" i="3"/>
  <c r="N614" i="3" l="1"/>
  <c r="P613" i="3"/>
  <c r="Q612" i="3"/>
  <c r="R612" i="3" s="1"/>
  <c r="S612" i="3"/>
  <c r="Q613" i="3" l="1"/>
  <c r="R613" i="3" s="1"/>
  <c r="S613" i="3"/>
  <c r="N615" i="3"/>
  <c r="P614" i="3"/>
  <c r="Q614" i="3" l="1"/>
  <c r="R614" i="3" s="1"/>
  <c r="N616" i="3"/>
  <c r="P615" i="3"/>
  <c r="Q615" i="3" l="1"/>
  <c r="R615" i="3" s="1"/>
  <c r="S615" i="3"/>
  <c r="N617" i="3"/>
  <c r="P616" i="3"/>
  <c r="S614" i="3"/>
  <c r="Q616" i="3" l="1"/>
  <c r="R616" i="3" s="1"/>
  <c r="S616" i="3"/>
  <c r="N618" i="3"/>
  <c r="P617" i="3"/>
  <c r="Q617" i="3" l="1"/>
  <c r="R617" i="3"/>
  <c r="S617" i="3"/>
  <c r="P618" i="3"/>
  <c r="N619" i="3"/>
  <c r="N620" i="3" l="1"/>
  <c r="P619" i="3"/>
  <c r="Q618" i="3"/>
  <c r="R618" i="3" s="1"/>
  <c r="S618" i="3"/>
  <c r="Q619" i="3" l="1"/>
  <c r="R619" i="3" s="1"/>
  <c r="S619" i="3"/>
  <c r="P620" i="3"/>
  <c r="N621" i="3"/>
  <c r="N622" i="3" l="1"/>
  <c r="P621" i="3"/>
  <c r="Q620" i="3"/>
  <c r="R620" i="3"/>
  <c r="S620" i="3"/>
  <c r="Q621" i="3" l="1"/>
  <c r="R621" i="3" s="1"/>
  <c r="S621" i="3"/>
  <c r="N623" i="3"/>
  <c r="P622" i="3"/>
  <c r="Q622" i="3" l="1"/>
  <c r="R622" i="3" s="1"/>
  <c r="S622" i="3"/>
  <c r="P623" i="3"/>
  <c r="N624" i="3"/>
  <c r="P624" i="3" l="1"/>
  <c r="N625" i="3"/>
  <c r="Q623" i="3"/>
  <c r="R623" i="3"/>
  <c r="S623" i="3"/>
  <c r="N626" i="3" l="1"/>
  <c r="P625" i="3"/>
  <c r="Q624" i="3"/>
  <c r="R624" i="3" s="1"/>
  <c r="S624" i="3"/>
  <c r="Q625" i="3" l="1"/>
  <c r="R625" i="3" s="1"/>
  <c r="S625" i="3"/>
  <c r="P626" i="3"/>
  <c r="N627" i="3"/>
  <c r="N628" i="3" l="1"/>
  <c r="P627" i="3"/>
  <c r="Q626" i="3"/>
  <c r="R626" i="3"/>
  <c r="S626" i="3"/>
  <c r="Q627" i="3" l="1"/>
  <c r="R627" i="3"/>
  <c r="S627" i="3"/>
  <c r="N629" i="3"/>
  <c r="P628" i="3"/>
  <c r="Q628" i="3" l="1"/>
  <c r="R628" i="3" s="1"/>
  <c r="S628" i="3"/>
  <c r="N630" i="3"/>
  <c r="P629" i="3"/>
  <c r="Q629" i="3" l="1"/>
  <c r="R629" i="3" s="1"/>
  <c r="S629" i="3"/>
  <c r="P630" i="3"/>
  <c r="N631" i="3"/>
  <c r="N632" i="3" l="1"/>
  <c r="P631" i="3"/>
  <c r="Q630" i="3"/>
  <c r="R630" i="3" s="1"/>
  <c r="S630" i="3"/>
  <c r="Q631" i="3" l="1"/>
  <c r="R631" i="3" s="1"/>
  <c r="S631" i="3"/>
  <c r="N633" i="3"/>
  <c r="P632" i="3"/>
  <c r="Q632" i="3" l="1"/>
  <c r="R632" i="3" s="1"/>
  <c r="S632" i="3"/>
  <c r="N634" i="3"/>
  <c r="P633" i="3"/>
  <c r="Q633" i="3" l="1"/>
  <c r="R633" i="3" s="1"/>
  <c r="S633" i="3"/>
  <c r="N635" i="3"/>
  <c r="P634" i="3"/>
  <c r="Q634" i="3" l="1"/>
  <c r="R634" i="3" s="1"/>
  <c r="S634" i="3"/>
  <c r="N636" i="3"/>
  <c r="P635" i="3"/>
  <c r="Q635" i="3" l="1"/>
  <c r="S635" i="3"/>
  <c r="R635" i="3"/>
  <c r="P636" i="3"/>
  <c r="N637" i="3"/>
  <c r="N638" i="3" l="1"/>
  <c r="P637" i="3"/>
  <c r="Q636" i="3"/>
  <c r="R636" i="3"/>
  <c r="S636" i="3"/>
  <c r="Q637" i="3" l="1"/>
  <c r="R637" i="3" s="1"/>
  <c r="S637" i="3"/>
  <c r="P638" i="3"/>
  <c r="N639" i="3"/>
  <c r="N640" i="3" l="1"/>
  <c r="P639" i="3"/>
  <c r="Q638" i="3"/>
  <c r="R638" i="3"/>
  <c r="S638" i="3"/>
  <c r="Q639" i="3" l="1"/>
  <c r="R639" i="3"/>
  <c r="S639" i="3"/>
  <c r="N641" i="3"/>
  <c r="P640" i="3"/>
  <c r="Q640" i="3" l="1"/>
  <c r="R640" i="3"/>
  <c r="S640" i="3"/>
  <c r="N642" i="3"/>
  <c r="P641" i="3"/>
  <c r="Q641" i="3" l="1"/>
  <c r="R641" i="3"/>
  <c r="S641" i="3"/>
  <c r="P642" i="3"/>
  <c r="N643" i="3"/>
  <c r="N644" i="3" l="1"/>
  <c r="P643" i="3"/>
  <c r="Q642" i="3"/>
  <c r="R642" i="3"/>
  <c r="S642" i="3"/>
  <c r="Q643" i="3" l="1"/>
  <c r="R643" i="3" s="1"/>
  <c r="S643" i="3"/>
  <c r="P644" i="3"/>
  <c r="N645" i="3"/>
  <c r="N646" i="3" l="1"/>
  <c r="P645" i="3"/>
  <c r="Q644" i="3"/>
  <c r="R644" i="3"/>
  <c r="S644" i="3"/>
  <c r="Q645" i="3" l="1"/>
  <c r="R645" i="3" s="1"/>
  <c r="S645" i="3"/>
  <c r="N647" i="3"/>
  <c r="P646" i="3"/>
  <c r="Q646" i="3" l="1"/>
  <c r="S646" i="3"/>
  <c r="R646" i="3"/>
  <c r="P647" i="3"/>
  <c r="N648" i="3"/>
  <c r="P648" i="3" l="1"/>
  <c r="N649" i="3"/>
  <c r="Q647" i="3"/>
  <c r="R647" i="3" s="1"/>
  <c r="S647" i="3" l="1"/>
  <c r="P649" i="3"/>
  <c r="N650" i="3"/>
  <c r="Q648" i="3"/>
  <c r="R648" i="3"/>
  <c r="S648" i="3"/>
  <c r="N651" i="3" l="1"/>
  <c r="P650" i="3"/>
  <c r="Q649" i="3"/>
  <c r="R649" i="3" s="1"/>
  <c r="S649" i="3"/>
  <c r="Q650" i="3" l="1"/>
  <c r="R650" i="3" s="1"/>
  <c r="S650" i="3"/>
  <c r="P651" i="3"/>
  <c r="N652" i="3"/>
  <c r="N653" i="3" l="1"/>
  <c r="P652" i="3"/>
  <c r="Q651" i="3"/>
  <c r="R651" i="3"/>
  <c r="S651" i="3"/>
  <c r="Q652" i="3" l="1"/>
  <c r="R652" i="3"/>
  <c r="S652" i="3"/>
  <c r="N654" i="3"/>
  <c r="P653" i="3"/>
  <c r="Q653" i="3" l="1"/>
  <c r="R653" i="3" s="1"/>
  <c r="S653" i="3"/>
  <c r="P654" i="3"/>
  <c r="N655" i="3"/>
  <c r="P655" i="3" l="1"/>
  <c r="N656" i="3"/>
  <c r="Q654" i="3"/>
  <c r="R654" i="3" s="1"/>
  <c r="S654" i="3"/>
  <c r="N657" i="3" l="1"/>
  <c r="P656" i="3"/>
  <c r="Q655" i="3"/>
  <c r="R655" i="3" s="1"/>
  <c r="S655" i="3"/>
  <c r="Q656" i="3" l="1"/>
  <c r="R656" i="3" s="1"/>
  <c r="S656" i="3"/>
  <c r="N658" i="3"/>
  <c r="P657" i="3"/>
  <c r="Q657" i="3" l="1"/>
  <c r="R657" i="3"/>
  <c r="S657" i="3"/>
  <c r="N659" i="3"/>
  <c r="P658" i="3"/>
  <c r="Q658" i="3" l="1"/>
  <c r="R658" i="3"/>
  <c r="S658" i="3"/>
  <c r="P659" i="3"/>
  <c r="N660" i="3"/>
  <c r="P660" i="3" l="1"/>
  <c r="N661" i="3"/>
  <c r="Q659" i="3"/>
  <c r="R659" i="3" s="1"/>
  <c r="S659" i="3"/>
  <c r="N662" i="3" l="1"/>
  <c r="P661" i="3"/>
  <c r="Q660" i="3"/>
  <c r="R660" i="3"/>
  <c r="S660" i="3"/>
  <c r="Q661" i="3" l="1"/>
  <c r="R661" i="3" s="1"/>
  <c r="S661" i="3"/>
  <c r="P662" i="3"/>
  <c r="N663" i="3"/>
  <c r="P663" i="3" l="1"/>
  <c r="N664" i="3"/>
  <c r="Q662" i="3"/>
  <c r="R662" i="3" s="1"/>
  <c r="S662" i="3"/>
  <c r="N665" i="3" l="1"/>
  <c r="P664" i="3"/>
  <c r="Q663" i="3"/>
  <c r="R663" i="3" s="1"/>
  <c r="S663" i="3"/>
  <c r="Q664" i="3" l="1"/>
  <c r="R664" i="3" s="1"/>
  <c r="S664" i="3"/>
  <c r="P665" i="3"/>
  <c r="N666" i="3"/>
  <c r="P666" i="3" l="1"/>
  <c r="N667" i="3"/>
  <c r="Q665" i="3"/>
  <c r="R665" i="3" s="1"/>
  <c r="S665" i="3" l="1"/>
  <c r="N668" i="3"/>
  <c r="P667" i="3"/>
  <c r="Q666" i="3"/>
  <c r="R666" i="3"/>
  <c r="S666" i="3"/>
  <c r="Q667" i="3" l="1"/>
  <c r="R667" i="3" s="1"/>
  <c r="S667" i="3"/>
  <c r="P668" i="3"/>
  <c r="N669" i="3"/>
  <c r="P669" i="3" l="1"/>
  <c r="N670" i="3"/>
  <c r="Q668" i="3"/>
  <c r="R668" i="3"/>
  <c r="S668" i="3"/>
  <c r="N671" i="3" l="1"/>
  <c r="P670" i="3"/>
  <c r="Q669" i="3"/>
  <c r="R669" i="3" s="1"/>
  <c r="S669" i="3" l="1"/>
  <c r="Q670" i="3"/>
  <c r="R670" i="3" s="1"/>
  <c r="S670" i="3"/>
  <c r="N672" i="3"/>
  <c r="P671" i="3"/>
  <c r="Q671" i="3" l="1"/>
  <c r="R671" i="3" s="1"/>
  <c r="S671" i="3"/>
  <c r="P672" i="3"/>
  <c r="N673" i="3"/>
  <c r="N674" i="3" l="1"/>
  <c r="P673" i="3"/>
  <c r="Q672" i="3"/>
  <c r="R672" i="3"/>
  <c r="S672" i="3"/>
  <c r="Q673" i="3" l="1"/>
  <c r="R673" i="3" s="1"/>
  <c r="S673" i="3"/>
  <c r="P674" i="3"/>
  <c r="N675" i="3"/>
  <c r="P675" i="3" l="1"/>
  <c r="N676" i="3"/>
  <c r="Q674" i="3"/>
  <c r="R674" i="3"/>
  <c r="S674" i="3"/>
  <c r="N677" i="3" l="1"/>
  <c r="P676" i="3"/>
  <c r="Q675" i="3"/>
  <c r="R675" i="3" s="1"/>
  <c r="S675" i="3"/>
  <c r="Q676" i="3" l="1"/>
  <c r="R676" i="3"/>
  <c r="S676" i="3"/>
  <c r="N678" i="3"/>
  <c r="P677" i="3"/>
  <c r="Q677" i="3" l="1"/>
  <c r="R677" i="3"/>
  <c r="S677" i="3"/>
  <c r="P678" i="3"/>
  <c r="N679" i="3"/>
  <c r="P679" i="3" l="1"/>
  <c r="N680" i="3"/>
  <c r="Q678" i="3"/>
  <c r="S678" i="3"/>
  <c r="R678" i="3"/>
  <c r="N681" i="3" l="1"/>
  <c r="P680" i="3"/>
  <c r="Q679" i="3"/>
  <c r="R679" i="3" s="1"/>
  <c r="S679" i="3" l="1"/>
  <c r="Q680" i="3"/>
  <c r="R680" i="3"/>
  <c r="S680" i="3"/>
  <c r="P681" i="3"/>
  <c r="N682" i="3"/>
  <c r="N683" i="3" l="1"/>
  <c r="P682" i="3"/>
  <c r="Q681" i="3"/>
  <c r="R681" i="3" s="1"/>
  <c r="S681" i="3"/>
  <c r="Q682" i="3" l="1"/>
  <c r="R682" i="3" s="1"/>
  <c r="S682" i="3"/>
  <c r="N684" i="3"/>
  <c r="P683" i="3"/>
  <c r="Q683" i="3" l="1"/>
  <c r="R683" i="3" s="1"/>
  <c r="S683" i="3"/>
  <c r="P684" i="3"/>
  <c r="N685" i="3"/>
  <c r="N686" i="3" l="1"/>
  <c r="P685" i="3"/>
  <c r="Q684" i="3"/>
  <c r="R684" i="3" s="1"/>
  <c r="S684" i="3"/>
  <c r="Q685" i="3" l="1"/>
  <c r="R685" i="3" s="1"/>
  <c r="S685" i="3"/>
  <c r="P686" i="3"/>
  <c r="N687" i="3"/>
  <c r="N688" i="3" l="1"/>
  <c r="P687" i="3"/>
  <c r="Q686" i="3"/>
  <c r="R686" i="3"/>
  <c r="S686" i="3"/>
  <c r="Q687" i="3" l="1"/>
  <c r="R687" i="3"/>
  <c r="S687" i="3"/>
  <c r="N689" i="3"/>
  <c r="P688" i="3"/>
  <c r="Q688" i="3" l="1"/>
  <c r="R688" i="3" s="1"/>
  <c r="S688" i="3"/>
  <c r="N690" i="3"/>
  <c r="P689" i="3"/>
  <c r="Q689" i="3" l="1"/>
  <c r="R689" i="3" s="1"/>
  <c r="S689" i="3"/>
  <c r="P690" i="3"/>
  <c r="N691" i="3"/>
  <c r="N692" i="3" l="1"/>
  <c r="P691" i="3"/>
  <c r="Q690" i="3"/>
  <c r="R690" i="3"/>
  <c r="S690" i="3"/>
  <c r="Q691" i="3" l="1"/>
  <c r="R691" i="3" s="1"/>
  <c r="S691" i="3"/>
  <c r="P692" i="3"/>
  <c r="N693" i="3"/>
  <c r="P693" i="3" l="1"/>
  <c r="N694" i="3"/>
  <c r="Q692" i="3"/>
  <c r="R692" i="3"/>
  <c r="S692" i="3"/>
  <c r="N695" i="3" l="1"/>
  <c r="P694" i="3"/>
  <c r="Q693" i="3"/>
  <c r="R693" i="3" s="1"/>
  <c r="S693" i="3"/>
  <c r="Q694" i="3" l="1"/>
  <c r="R694" i="3" s="1"/>
  <c r="S694" i="3"/>
  <c r="N696" i="3"/>
  <c r="P695" i="3"/>
  <c r="Q695" i="3" l="1"/>
  <c r="S695" i="3"/>
  <c r="R695" i="3"/>
  <c r="P696" i="3"/>
  <c r="N697" i="3"/>
  <c r="P697" i="3" l="1"/>
  <c r="N698" i="3"/>
  <c r="Q696" i="3"/>
  <c r="R696" i="3" s="1"/>
  <c r="S696" i="3" l="1"/>
  <c r="P698" i="3"/>
  <c r="N699" i="3"/>
  <c r="Q697" i="3"/>
  <c r="R697" i="3" s="1"/>
  <c r="S697" i="3"/>
  <c r="P699" i="3" l="1"/>
  <c r="N700" i="3"/>
  <c r="Q698" i="3"/>
  <c r="R698" i="3"/>
  <c r="S698" i="3"/>
  <c r="N701" i="3" l="1"/>
  <c r="P700" i="3"/>
  <c r="Q699" i="3"/>
  <c r="R699" i="3"/>
  <c r="S699" i="3"/>
  <c r="Q700" i="3" l="1"/>
  <c r="R700" i="3"/>
  <c r="S700" i="3"/>
  <c r="P701" i="3"/>
  <c r="N702" i="3"/>
  <c r="P702" i="3" l="1"/>
  <c r="N703" i="3"/>
  <c r="Q701" i="3"/>
  <c r="R701" i="3" s="1"/>
  <c r="S701" i="3"/>
  <c r="P703" i="3" l="1"/>
  <c r="N704" i="3"/>
  <c r="Q702" i="3"/>
  <c r="R702" i="3"/>
  <c r="S702" i="3"/>
  <c r="P704" i="3" l="1"/>
  <c r="N705" i="3"/>
  <c r="Q703" i="3"/>
  <c r="R703" i="3" s="1"/>
  <c r="S703" i="3"/>
  <c r="P705" i="3" l="1"/>
  <c r="N706" i="3"/>
  <c r="Q704" i="3"/>
  <c r="R704" i="3"/>
  <c r="S704" i="3"/>
  <c r="N707" i="3" l="1"/>
  <c r="P706" i="3"/>
  <c r="Q705" i="3"/>
  <c r="R705" i="3" s="1"/>
  <c r="S705" i="3"/>
  <c r="Q706" i="3" l="1"/>
  <c r="R706" i="3"/>
  <c r="S706" i="3"/>
  <c r="N708" i="3"/>
  <c r="P707" i="3"/>
  <c r="Q707" i="3" l="1"/>
  <c r="S707" i="3"/>
  <c r="R707" i="3"/>
  <c r="P708" i="3"/>
  <c r="N709" i="3"/>
  <c r="N710" i="3" l="1"/>
  <c r="P709" i="3"/>
  <c r="Q708" i="3"/>
  <c r="R708" i="3"/>
  <c r="S708" i="3"/>
  <c r="Q709" i="3" l="1"/>
  <c r="R709" i="3" s="1"/>
  <c r="S709" i="3"/>
  <c r="N711" i="3"/>
  <c r="P710" i="3"/>
  <c r="Q710" i="3" l="1"/>
  <c r="R710" i="3"/>
  <c r="S710" i="3"/>
  <c r="N712" i="3"/>
  <c r="P711" i="3"/>
  <c r="Q711" i="3" l="1"/>
  <c r="R711" i="3" s="1"/>
  <c r="S711" i="3"/>
  <c r="N713" i="3"/>
  <c r="P712" i="3"/>
  <c r="Q712" i="3" l="1"/>
  <c r="R712" i="3"/>
  <c r="S712" i="3"/>
  <c r="N714" i="3"/>
  <c r="P713" i="3"/>
  <c r="Q713" i="3" l="1"/>
  <c r="R713" i="3" s="1"/>
  <c r="S713" i="3"/>
  <c r="P714" i="3"/>
  <c r="N715" i="3"/>
  <c r="P715" i="3" l="1"/>
  <c r="N716" i="3"/>
  <c r="Q714" i="3"/>
  <c r="R714" i="3" s="1"/>
  <c r="S714" i="3"/>
  <c r="N717" i="3" l="1"/>
  <c r="P716" i="3"/>
  <c r="Q715" i="3"/>
  <c r="R715" i="3" s="1"/>
  <c r="S715" i="3"/>
  <c r="Q716" i="3" l="1"/>
  <c r="R716" i="3" s="1"/>
  <c r="S716" i="3"/>
  <c r="N718" i="3"/>
  <c r="P717" i="3"/>
  <c r="Q717" i="3" l="1"/>
  <c r="R717" i="3" s="1"/>
  <c r="S717" i="3"/>
  <c r="N719" i="3"/>
  <c r="P718" i="3"/>
  <c r="Q718" i="3" l="1"/>
  <c r="R718" i="3" s="1"/>
  <c r="S718" i="3"/>
  <c r="N720" i="3"/>
  <c r="P719" i="3"/>
  <c r="Q719" i="3" l="1"/>
  <c r="R719" i="3" s="1"/>
  <c r="S719" i="3"/>
  <c r="P720" i="3"/>
  <c r="N721" i="3"/>
  <c r="Q720" i="3" l="1"/>
  <c r="R720" i="3"/>
  <c r="S720" i="3"/>
  <c r="P721" i="3"/>
  <c r="N722" i="3"/>
  <c r="N723" i="3" l="1"/>
  <c r="P722" i="3"/>
  <c r="Q721" i="3"/>
  <c r="R721" i="3" s="1"/>
  <c r="S721" i="3" l="1"/>
  <c r="Q722" i="3"/>
  <c r="R722" i="3" s="1"/>
  <c r="S722" i="3"/>
  <c r="N724" i="3"/>
  <c r="P723" i="3"/>
  <c r="Q723" i="3" l="1"/>
  <c r="R723" i="3"/>
  <c r="S723" i="3"/>
  <c r="N725" i="3"/>
  <c r="P724" i="3"/>
  <c r="Q724" i="3" l="1"/>
  <c r="R724" i="3" s="1"/>
  <c r="S724" i="3"/>
  <c r="N726" i="3"/>
  <c r="P725" i="3"/>
  <c r="Q725" i="3" l="1"/>
  <c r="R725" i="3" s="1"/>
  <c r="S725" i="3"/>
  <c r="P726" i="3"/>
  <c r="N727" i="3"/>
  <c r="P727" i="3" l="1"/>
  <c r="N728" i="3"/>
  <c r="Q726" i="3"/>
  <c r="R726" i="3" s="1"/>
  <c r="S726" i="3"/>
  <c r="Q727" i="3" l="1"/>
  <c r="R727" i="3" s="1"/>
  <c r="S727" i="3"/>
  <c r="N729" i="3"/>
  <c r="P728" i="3"/>
  <c r="Q728" i="3" l="1"/>
  <c r="R728" i="3" s="1"/>
  <c r="S728" i="3"/>
  <c r="P729" i="3"/>
  <c r="N730" i="3"/>
  <c r="N731" i="3" l="1"/>
  <c r="P730" i="3"/>
  <c r="Q729" i="3"/>
  <c r="R729" i="3" s="1"/>
  <c r="S729" i="3" l="1"/>
  <c r="Q730" i="3"/>
  <c r="R730" i="3" s="1"/>
  <c r="N732" i="3"/>
  <c r="P731" i="3"/>
  <c r="Q731" i="3" l="1"/>
  <c r="R731" i="3" s="1"/>
  <c r="P732" i="3"/>
  <c r="N733" i="3"/>
  <c r="S730" i="3"/>
  <c r="Q732" i="3" l="1"/>
  <c r="R732" i="3"/>
  <c r="S732" i="3"/>
  <c r="S731" i="3"/>
  <c r="P733" i="3"/>
  <c r="N734" i="3"/>
  <c r="N735" i="3" l="1"/>
  <c r="P734" i="3"/>
  <c r="Q733" i="3"/>
  <c r="R733" i="3" s="1"/>
  <c r="S733" i="3"/>
  <c r="Q734" i="3" l="1"/>
  <c r="R734" i="3" s="1"/>
  <c r="S734" i="3"/>
  <c r="N736" i="3"/>
  <c r="P735" i="3"/>
  <c r="P736" i="3" l="1"/>
  <c r="N737" i="3"/>
  <c r="P737" i="3" s="1"/>
  <c r="Q735" i="3"/>
  <c r="R735" i="3"/>
  <c r="S735" i="3"/>
  <c r="Q736" i="3"/>
  <c r="R736" i="3" s="1"/>
  <c r="S736" i="3"/>
  <c r="Q737" i="3" l="1"/>
  <c r="R737" i="3" s="1"/>
  <c r="S737" i="3"/>
</calcChain>
</file>

<file path=xl/sharedStrings.xml><?xml version="1.0" encoding="utf-8"?>
<sst xmlns="http://schemas.openxmlformats.org/spreadsheetml/2006/main" count="3705" uniqueCount="2042">
  <si>
    <t>Date</t>
  </si>
  <si>
    <t>Close</t>
  </si>
  <si>
    <t>18 931,06</t>
  </si>
  <si>
    <t>19 046,92</t>
  </si>
  <si>
    <t>19 124,18</t>
  </si>
  <si>
    <t>18 992,40</t>
  </si>
  <si>
    <t>18 855,30</t>
  </si>
  <si>
    <t>18 834,22</t>
  </si>
  <si>
    <t>18 819,08</t>
  </si>
  <si>
    <t>18 825,54</t>
  </si>
  <si>
    <t>18 703,79</t>
  </si>
  <si>
    <t>18 832,18</t>
  </si>
  <si>
    <t>18 864,02</t>
  </si>
  <si>
    <t>18 479,44</t>
  </si>
  <si>
    <t>18 329,91</t>
  </si>
  <si>
    <t>18 063,39</t>
  </si>
  <si>
    <t>17 876,25</t>
  </si>
  <si>
    <t>17 843,70</t>
  </si>
  <si>
    <t>17 739,77</t>
  </si>
  <si>
    <t>17 800,62</t>
  </si>
  <si>
    <t>17 875,62</t>
  </si>
  <si>
    <t>17 743,11</t>
  </si>
  <si>
    <t>17 667,10</t>
  </si>
  <si>
    <t>17 717,78</t>
  </si>
  <si>
    <t>17 677,27</t>
  </si>
  <si>
    <t>17 539,62</t>
  </si>
  <si>
    <t>17 578,83</t>
  </si>
  <si>
    <t>17 788,33</t>
  </si>
  <si>
    <t>17 882,04</t>
  </si>
  <si>
    <t>17 814,15</t>
  </si>
  <si>
    <t>17 846,86</t>
  </si>
  <si>
    <t>17 987,82</t>
  </si>
  <si>
    <t>17 920,74</t>
  </si>
  <si>
    <t>18 055,63</t>
  </si>
  <si>
    <t>18 224,41</t>
  </si>
  <si>
    <t>18 400,27</t>
  </si>
  <si>
    <t>18 474,84</t>
  </si>
  <si>
    <t>18 298,70</t>
  </si>
  <si>
    <t>18 121,27</t>
  </si>
  <si>
    <t>18 052,57</t>
  </si>
  <si>
    <t>18 022,08</t>
  </si>
  <si>
    <t>18 049,47</t>
  </si>
  <si>
    <t>18 101,05</t>
  </si>
  <si>
    <t>18 322,01</t>
  </si>
  <si>
    <t>18 391,12</t>
  </si>
  <si>
    <t>18 353,29</t>
  </si>
  <si>
    <t>18 357,76</t>
  </si>
  <si>
    <t>18 782,58</t>
  </si>
  <si>
    <t>18 753,83</t>
  </si>
  <si>
    <t>17 952,37</t>
  </si>
  <si>
    <t>17 623,73</t>
  </si>
  <si>
    <t>18 142,55</t>
  </si>
  <si>
    <t>18 505,63</t>
  </si>
  <si>
    <t>18 629,14</t>
  </si>
  <si>
    <t>18 519,03</t>
  </si>
  <si>
    <t>18 562,93</t>
  </si>
  <si>
    <t>18 563,40</t>
  </si>
  <si>
    <t>18 583,39</t>
  </si>
  <si>
    <t>18 922,23</t>
  </si>
  <si>
    <t>18 874,97</t>
  </si>
  <si>
    <t>18 871,53</t>
  </si>
  <si>
    <t>18 369,69</t>
  </si>
  <si>
    <t>18 304,76</t>
  </si>
  <si>
    <t>18 113,11</t>
  </si>
  <si>
    <t>18 263,97</t>
  </si>
  <si>
    <t>18 448,30</t>
  </si>
  <si>
    <t>18 419,21</t>
  </si>
  <si>
    <t>18 745,70</t>
  </si>
  <si>
    <t>18 892,82</t>
  </si>
  <si>
    <t>18 776,54</t>
  </si>
  <si>
    <t>18 850,91</t>
  </si>
  <si>
    <t>18 950,94</t>
  </si>
  <si>
    <t>18 921,20</t>
  </si>
  <si>
    <t>18 939,74</t>
  </si>
  <si>
    <t>18 630,92</t>
  </si>
  <si>
    <t>18 696,59</t>
  </si>
  <si>
    <t>18 583,53</t>
  </si>
  <si>
    <t>18 699,53</t>
  </si>
  <si>
    <t>18 715,25</t>
  </si>
  <si>
    <t>18 819,61</t>
  </si>
  <si>
    <t>18 815,18</t>
  </si>
  <si>
    <t>19 138,85</t>
  </si>
  <si>
    <t>19 158,60</t>
  </si>
  <si>
    <t>19 160,13</t>
  </si>
  <si>
    <t>19 041,05</t>
  </si>
  <si>
    <t>19 238,41</t>
  </si>
  <si>
    <t>18 739,54</t>
  </si>
  <si>
    <t>18 743,91</t>
  </si>
  <si>
    <t>18 754,20</t>
  </si>
  <si>
    <t>18 347,19</t>
  </si>
  <si>
    <t>18 447,35</t>
  </si>
  <si>
    <t>18 063,02</t>
  </si>
  <si>
    <t>18 102,52</t>
  </si>
  <si>
    <t>17 391,20</t>
  </si>
  <si>
    <t>17 599,70</t>
  </si>
  <si>
    <t>17 514,80</t>
  </si>
  <si>
    <t>17 525,32</t>
  </si>
  <si>
    <t>17 554,23</t>
  </si>
  <si>
    <t>17 160,54</t>
  </si>
  <si>
    <t>17 330,27</t>
  </si>
  <si>
    <t>17 221,05</t>
  </si>
  <si>
    <t>17 443,33</t>
  </si>
  <si>
    <t>17 590,42</t>
  </si>
  <si>
    <t>17 236,40</t>
  </si>
  <si>
    <t>17 243,58</t>
  </si>
  <si>
    <t>17 511,90</t>
  </si>
  <si>
    <t>17 065,20</t>
  </si>
  <si>
    <t>16 942,50</t>
  </si>
  <si>
    <t>16 855,82</t>
  </si>
  <si>
    <t>17 157,76</t>
  </si>
  <si>
    <t>17 157,05</t>
  </si>
  <si>
    <t>16 902,46</t>
  </si>
  <si>
    <t>16 533,58</t>
  </si>
  <si>
    <t>17 097,54</t>
  </si>
  <si>
    <t>17 351,61</t>
  </si>
  <si>
    <t>16 655,58</t>
  </si>
  <si>
    <t>16 399,25</t>
  </si>
  <si>
    <t>17 377,00</t>
  </si>
  <si>
    <t>18 140,55</t>
  </si>
  <si>
    <t>18 369,94</t>
  </si>
  <si>
    <t>18 526,39</t>
  </si>
  <si>
    <t>18 582,49</t>
  </si>
  <si>
    <t>18 651,76</t>
  </si>
  <si>
    <t>18 701,04</t>
  </si>
  <si>
    <t>18 736,57</t>
  </si>
  <si>
    <t>18 687,90</t>
  </si>
  <si>
    <t>18 724,06</t>
  </si>
  <si>
    <t>18 827,60</t>
  </si>
  <si>
    <t>18 573,12</t>
  </si>
  <si>
    <t>18 645,43</t>
  </si>
  <si>
    <t>18 365,69</t>
  </si>
  <si>
    <t>18 303,36</t>
  </si>
  <si>
    <t>18 338,87</t>
  </si>
  <si>
    <t>18 306,80</t>
  </si>
  <si>
    <t>18 122,70</t>
  </si>
  <si>
    <t>18 450,76</t>
  </si>
  <si>
    <t>18 439,79</t>
  </si>
  <si>
    <t>18 524,06</t>
  </si>
  <si>
    <t>18 666,95</t>
  </si>
  <si>
    <t>18 955,53</t>
  </si>
  <si>
    <t>18 963,82</t>
  </si>
  <si>
    <t>18 616,29</t>
  </si>
  <si>
    <t>18 384,99</t>
  </si>
  <si>
    <t>18 643,56</t>
  </si>
  <si>
    <t>18 792,09</t>
  </si>
  <si>
    <t>18 650,08</t>
  </si>
  <si>
    <t>18 882,11</t>
  </si>
  <si>
    <t>19 008,06</t>
  </si>
  <si>
    <t>19 200,47</t>
  </si>
  <si>
    <t>19 270,33</t>
  </si>
  <si>
    <t>19 381,89</t>
  </si>
  <si>
    <t>19 516,71</t>
  </si>
  <si>
    <t>19 469,47</t>
  </si>
  <si>
    <t>19 388,28</t>
  </si>
  <si>
    <t>19 445,46</t>
  </si>
  <si>
    <t>19 554,97</t>
  </si>
  <si>
    <t>19 440,91</t>
  </si>
  <si>
    <t>19 208,36</t>
  </si>
  <si>
    <t>18 846,35</t>
  </si>
  <si>
    <t>18 654,74</t>
  </si>
  <si>
    <t>18 386,49</t>
  </si>
  <si>
    <t>18 476,19</t>
  </si>
  <si>
    <t>18 941,16</t>
  </si>
  <si>
    <t>18 917,37</t>
  </si>
  <si>
    <t>18 943,40</t>
  </si>
  <si>
    <t>18 941,74</t>
  </si>
  <si>
    <t>18 938,30</t>
  </si>
  <si>
    <t>18 815,95</t>
  </si>
  <si>
    <t>18 760,08</t>
  </si>
  <si>
    <t>18 583,78</t>
  </si>
  <si>
    <t>18 553,93</t>
  </si>
  <si>
    <t>18 566,51</t>
  </si>
  <si>
    <t>18 498,78</t>
  </si>
  <si>
    <t>18 520,07</t>
  </si>
  <si>
    <t>18 458,70</t>
  </si>
  <si>
    <t>18 473,47</t>
  </si>
  <si>
    <t>18 469,38</t>
  </si>
  <si>
    <t>18 386,27</t>
  </si>
  <si>
    <t>18 371,96</t>
  </si>
  <si>
    <t>18 350,34</t>
  </si>
  <si>
    <t>18 434,92</t>
  </si>
  <si>
    <t>18 603,59</t>
  </si>
  <si>
    <t>18 640,63</t>
  </si>
  <si>
    <t>18 535,59</t>
  </si>
  <si>
    <t>18 382,71</t>
  </si>
  <si>
    <t>18 337,56</t>
  </si>
  <si>
    <t>18 205,28</t>
  </si>
  <si>
    <t>18 112,94</t>
  </si>
  <si>
    <t>18 207,75</t>
  </si>
  <si>
    <t>18 496,11</t>
  </si>
  <si>
    <t>18 645,53</t>
  </si>
  <si>
    <t>18 754,43</t>
  </si>
  <si>
    <t>18 668,96</t>
  </si>
  <si>
    <t>18 624,84</t>
  </si>
  <si>
    <t>19 064,05</t>
  </si>
  <si>
    <t>19 268,40</t>
  </si>
  <si>
    <t>19 406,21</t>
  </si>
  <si>
    <t>19 561,84</t>
  </si>
  <si>
    <t>19 710,01</t>
  </si>
  <si>
    <t>19 636,52</t>
  </si>
  <si>
    <t>19 546,88</t>
  </si>
  <si>
    <t>19 501,70</t>
  </si>
  <si>
    <t>19 410,19</t>
  </si>
  <si>
    <t>19 374,33</t>
  </si>
  <si>
    <t>19 443,32</t>
  </si>
  <si>
    <t>19 384,53</t>
  </si>
  <si>
    <t>19 452,84</t>
  </si>
  <si>
    <t>19 339,45</t>
  </si>
  <si>
    <t>18 927,90</t>
  </si>
  <si>
    <t>18 457,86</t>
  </si>
  <si>
    <t>18 438,26</t>
  </si>
  <si>
    <t>18 199,30</t>
  </si>
  <si>
    <t>18 296,61</t>
  </si>
  <si>
    <t>18 666,19</t>
  </si>
  <si>
    <t>18 549,37</t>
  </si>
  <si>
    <t>18 599,49</t>
  </si>
  <si>
    <t>18 862,92</t>
  </si>
  <si>
    <t>18 983,55</t>
  </si>
  <si>
    <t>19 084,25</t>
  </si>
  <si>
    <t>18 820,18</t>
  </si>
  <si>
    <t>18 460,09</t>
  </si>
  <si>
    <t>18 371,20</t>
  </si>
  <si>
    <t>19 024,82</t>
  </si>
  <si>
    <t>18 980,22</t>
  </si>
  <si>
    <t>19 342,98</t>
  </si>
  <si>
    <t>19 430,04</t>
  </si>
  <si>
    <t>19 617,53</t>
  </si>
  <si>
    <t>19 770,15</t>
  </si>
  <si>
    <t>19 956,63</t>
  </si>
  <si>
    <t>19 944,13</t>
  </si>
  <si>
    <t>19 799,08</t>
  </si>
  <si>
    <t>19 586,47</t>
  </si>
  <si>
    <t>19 646,32</t>
  </si>
  <si>
    <t>19 609,77</t>
  </si>
  <si>
    <t>19 828,99</t>
  </si>
  <si>
    <t>19 873,73</t>
  </si>
  <si>
    <t>19 842,32</t>
  </si>
  <si>
    <t>19 521,30</t>
  </si>
  <si>
    <t>20 040,46</t>
  </si>
  <si>
    <t>20 088,15</t>
  </si>
  <si>
    <t>20 146,13</t>
  </si>
  <si>
    <t>20 118,53</t>
  </si>
  <si>
    <t>20 071,84</t>
  </si>
  <si>
    <t>Indice</t>
  </si>
  <si>
    <t>Plus haut</t>
  </si>
  <si>
    <t>Plus bas</t>
  </si>
  <si>
    <t>Variation quotidienne</t>
  </si>
  <si>
    <t>Variation annuelle</t>
  </si>
  <si>
    <t>MASI</t>
  </si>
  <si>
    <t>18 581,56</t>
  </si>
  <si>
    <t>18 713,67</t>
  </si>
  <si>
    <t>18 520,75</t>
  </si>
  <si>
    <t>18 652,72</t>
  </si>
  <si>
    <t>18 959,88</t>
  </si>
  <si>
    <t>19 118,00</t>
  </si>
  <si>
    <t>19 126,27</t>
  </si>
  <si>
    <t>19 131,95</t>
  </si>
  <si>
    <t>18 991,35</t>
  </si>
  <si>
    <t>18 821,49</t>
  </si>
  <si>
    <t>18 878,15</t>
  </si>
  <si>
    <t>18 798,94</t>
  </si>
  <si>
    <t>18 839,57</t>
  </si>
  <si>
    <t>18 753,11</t>
  </si>
  <si>
    <t>18 853,31</t>
  </si>
  <si>
    <t>18 758,20</t>
  </si>
  <si>
    <t>18 690,58</t>
  </si>
  <si>
    <t>18 856,34</t>
  </si>
  <si>
    <t>18 667,42</t>
  </si>
  <si>
    <t>18 952,86</t>
  </si>
  <si>
    <t>18 762,13</t>
  </si>
  <si>
    <t>18 465,56</t>
  </si>
  <si>
    <t>18 299,08</t>
  </si>
  <si>
    <t>18 330,03</t>
  </si>
  <si>
    <t>18 057,07</t>
  </si>
  <si>
    <t>18 084,38</t>
  </si>
  <si>
    <t>17 853,29</t>
  </si>
  <si>
    <t>17 916,26</t>
  </si>
  <si>
    <t>17 819,38</t>
  </si>
  <si>
    <t>17 844,37</t>
  </si>
  <si>
    <t>17 722,56</t>
  </si>
  <si>
    <t>17 825,43</t>
  </si>
  <si>
    <t>17 728,37</t>
  </si>
  <si>
    <t>17 933,06</t>
  </si>
  <si>
    <t>17 742,83</t>
  </si>
  <si>
    <t>17 894,31</t>
  </si>
  <si>
    <t>17 742,49</t>
  </si>
  <si>
    <t>17 803,19</t>
  </si>
  <si>
    <t>17 654,63</t>
  </si>
  <si>
    <t>17 776,05</t>
  </si>
  <si>
    <t>17 641,45</t>
  </si>
  <si>
    <t>17 718,38</t>
  </si>
  <si>
    <t>17 627,06</t>
  </si>
  <si>
    <t>17 741,28</t>
  </si>
  <si>
    <t>17 537,25</t>
  </si>
  <si>
    <t>17 723,69</t>
  </si>
  <si>
    <t>17 783,72</t>
  </si>
  <si>
    <t>17 578,60</t>
  </si>
  <si>
    <t>17 880,80</t>
  </si>
  <si>
    <t>17 771,81</t>
  </si>
  <si>
    <t>17 886,89</t>
  </si>
  <si>
    <t>17 754,91</t>
  </si>
  <si>
    <t>17 929,29</t>
  </si>
  <si>
    <t>17 747,50</t>
  </si>
  <si>
    <t>17 982,67</t>
  </si>
  <si>
    <t>17 794,24</t>
  </si>
  <si>
    <t>17 999,44</t>
  </si>
  <si>
    <t>17 905,60</t>
  </si>
  <si>
    <t>18 034,89</t>
  </si>
  <si>
    <t>17 903,91</t>
  </si>
  <si>
    <t>18 130,10</t>
  </si>
  <si>
    <t>17 961,44</t>
  </si>
  <si>
    <t>18 404,44</t>
  </si>
  <si>
    <t>18 192,64</t>
  </si>
  <si>
    <t>18 531,31</t>
  </si>
  <si>
    <t>18 298,96</t>
  </si>
  <si>
    <t>18 516,25</t>
  </si>
  <si>
    <t>18 291,03</t>
  </si>
  <si>
    <t>18 318,81</t>
  </si>
  <si>
    <t>18 086,19</t>
  </si>
  <si>
    <t>18 254,02</t>
  </si>
  <si>
    <t>18 075,15</t>
  </si>
  <si>
    <t>18 217,27</t>
  </si>
  <si>
    <t>18 222,33</t>
  </si>
  <si>
    <t>18 036,61</t>
  </si>
  <si>
    <t>18 078,76</t>
  </si>
  <si>
    <t>17 906,46</t>
  </si>
  <si>
    <t>18 137,20</t>
  </si>
  <si>
    <t>17 980,99</t>
  </si>
  <si>
    <t>18 140,17</t>
  </si>
  <si>
    <t>17 950,60</t>
  </si>
  <si>
    <t>18 350,21</t>
  </si>
  <si>
    <t>18 009,01</t>
  </si>
  <si>
    <t>18 216,95</t>
  </si>
  <si>
    <t>18 495,69</t>
  </si>
  <si>
    <t>18 310,06</t>
  </si>
  <si>
    <t>18 358,05</t>
  </si>
  <si>
    <t>18 193,91</t>
  </si>
  <si>
    <t>18 785,53</t>
  </si>
  <si>
    <t>18 813,07</t>
  </si>
  <si>
    <t>18 635,04</t>
  </si>
  <si>
    <t>18 099,77</t>
  </si>
  <si>
    <t>17 570,85</t>
  </si>
  <si>
    <t>18 150,05</t>
  </si>
  <si>
    <t>17 602,33</t>
  </si>
  <si>
    <t>18 495,73</t>
  </si>
  <si>
    <t>18 138,02</t>
  </si>
  <si>
    <t>18 704,51</t>
  </si>
  <si>
    <t>18 634,47</t>
  </si>
  <si>
    <t>18 252,47</t>
  </si>
  <si>
    <t>18 673,98</t>
  </si>
  <si>
    <t>18 505,74</t>
  </si>
  <si>
    <t>18 636,08</t>
  </si>
  <si>
    <t>18 501,62</t>
  </si>
  <si>
    <t>18 768,83</t>
  </si>
  <si>
    <t>18 521,35</t>
  </si>
  <si>
    <t>19 048,48</t>
  </si>
  <si>
    <t>18 581,90</t>
  </si>
  <si>
    <t>19 096,15</t>
  </si>
  <si>
    <t>18 856,38</t>
  </si>
  <si>
    <t>19 060,32</t>
  </si>
  <si>
    <t>18 867,72</t>
  </si>
  <si>
    <t>18 918,17</t>
  </si>
  <si>
    <t>18 475,91</t>
  </si>
  <si>
    <t>18 426,94</t>
  </si>
  <si>
    <t>18 112,23</t>
  </si>
  <si>
    <t>18 450,22</t>
  </si>
  <si>
    <t>18 112,91</t>
  </si>
  <si>
    <t>18 709,49</t>
  </si>
  <si>
    <t>18 506,67</t>
  </si>
  <si>
    <t>18 325,91</t>
  </si>
  <si>
    <t>18 765,80</t>
  </si>
  <si>
    <t>18 396,89</t>
  </si>
  <si>
    <t>19 125,48</t>
  </si>
  <si>
    <t>18 960,90</t>
  </si>
  <si>
    <t>18 917,79</t>
  </si>
  <si>
    <t>18 774,58</t>
  </si>
  <si>
    <t>18 957,18</t>
  </si>
  <si>
    <t>18 841,68</t>
  </si>
  <si>
    <t>18 969,07</t>
  </si>
  <si>
    <t>18 891,93</t>
  </si>
  <si>
    <t>19 083,33</t>
  </si>
  <si>
    <t>18 920,87</t>
  </si>
  <si>
    <t>19 007,57</t>
  </si>
  <si>
    <t>18 630,90</t>
  </si>
  <si>
    <t>18 738,44</t>
  </si>
  <si>
    <t>18 611,46</t>
  </si>
  <si>
    <t>18 799,27</t>
  </si>
  <si>
    <t>18 582,32</t>
  </si>
  <si>
    <t>18 698,93</t>
  </si>
  <si>
    <t>18 564,13</t>
  </si>
  <si>
    <t>18 883,39</t>
  </si>
  <si>
    <t>18 657,43</t>
  </si>
  <si>
    <t>18 913,30</t>
  </si>
  <si>
    <t>18 987,01</t>
  </si>
  <si>
    <t>18 803,51</t>
  </si>
  <si>
    <t>18 808,70</t>
  </si>
  <si>
    <t>19 252,97</t>
  </si>
  <si>
    <t>19 110,15</t>
  </si>
  <si>
    <t>19 159,75</t>
  </si>
  <si>
    <t>19 088,51</t>
  </si>
  <si>
    <t>19 229,80</t>
  </si>
  <si>
    <t>18 971,11</t>
  </si>
  <si>
    <t>18 885,82</t>
  </si>
  <si>
    <t>19 345,19</t>
  </si>
  <si>
    <t>18 693,83</t>
  </si>
  <si>
    <t>18 823,86</t>
  </si>
  <si>
    <t>18 680,56</t>
  </si>
  <si>
    <t>18 981,98</t>
  </si>
  <si>
    <t>18 716,96</t>
  </si>
  <si>
    <t>18 790,69</t>
  </si>
  <si>
    <t>18 456,79</t>
  </si>
  <si>
    <t>18 094,56</t>
  </si>
  <si>
    <t>18 447,73</t>
  </si>
  <si>
    <t>18 185,11</t>
  </si>
  <si>
    <t>18 016,83</t>
  </si>
  <si>
    <t>18 164,09</t>
  </si>
  <si>
    <t>17 707,03</t>
  </si>
  <si>
    <t>17 377,26</t>
  </si>
  <si>
    <t>17 740,86</t>
  </si>
  <si>
    <t>17 630,99</t>
  </si>
  <si>
    <t>17 476,90</t>
  </si>
  <si>
    <t>17 589,41</t>
  </si>
  <si>
    <t>17 424,69</t>
  </si>
  <si>
    <t>17 627,60</t>
  </si>
  <si>
    <t>17 347,88</t>
  </si>
  <si>
    <t>17 151,04</t>
  </si>
  <si>
    <t>17 462,98</t>
  </si>
  <si>
    <t>17 215,64</t>
  </si>
  <si>
    <t>17 566,91</t>
  </si>
  <si>
    <t>17 607,73</t>
  </si>
  <si>
    <t>17 443,18</t>
  </si>
  <si>
    <t>17 597,09</t>
  </si>
  <si>
    <t>17 232,25</t>
  </si>
  <si>
    <t>17 432,34</t>
  </si>
  <si>
    <t>17 199,72</t>
  </si>
  <si>
    <t>17 513,82</t>
  </si>
  <si>
    <t>17 170,80</t>
  </si>
  <si>
    <t>17 064,97</t>
  </si>
  <si>
    <t>17 097,76</t>
  </si>
  <si>
    <t>17 051,28</t>
  </si>
  <si>
    <t>16 847,81</t>
  </si>
  <si>
    <t>17 197,34</t>
  </si>
  <si>
    <t>17 298,31</t>
  </si>
  <si>
    <t>17 151,00</t>
  </si>
  <si>
    <t>17 273,56</t>
  </si>
  <si>
    <t>17 350,40</t>
  </si>
  <si>
    <t>17 101,83</t>
  </si>
  <si>
    <t>17 654,96</t>
  </si>
  <si>
    <t>17 093,96</t>
  </si>
  <si>
    <t>17 169,08</t>
  </si>
  <si>
    <t>16 382,81</t>
  </si>
  <si>
    <t>17 415,99</t>
  </si>
  <si>
    <t>16 399,22</t>
  </si>
  <si>
    <t>17 369,86</t>
  </si>
  <si>
    <t>18 472,13</t>
  </si>
  <si>
    <t>18 138,36</t>
  </si>
  <si>
    <t>18 553,17</t>
  </si>
  <si>
    <t>18 328,17</t>
  </si>
  <si>
    <t>18 672,08</t>
  </si>
  <si>
    <t>18 682,07</t>
  </si>
  <si>
    <t>18 731,31</t>
  </si>
  <si>
    <t>18 633,92</t>
  </si>
  <si>
    <t>18 744,14</t>
  </si>
  <si>
    <t>18 597,25</t>
  </si>
  <si>
    <t>18 639,79</t>
  </si>
  <si>
    <t>18 763,41</t>
  </si>
  <si>
    <t>18 630,01</t>
  </si>
  <si>
    <t>18 829,45</t>
  </si>
  <si>
    <t>18 675,88</t>
  </si>
  <si>
    <t>18 567,09</t>
  </si>
  <si>
    <t>18 682,13</t>
  </si>
  <si>
    <t>18 561,44</t>
  </si>
  <si>
    <t>18 645,97</t>
  </si>
  <si>
    <t>18 391,71</t>
  </si>
  <si>
    <t>18 275,77</t>
  </si>
  <si>
    <t>18 405,84</t>
  </si>
  <si>
    <t>18 266,59</t>
  </si>
  <si>
    <t>18 481,69</t>
  </si>
  <si>
    <t>18 292,11</t>
  </si>
  <si>
    <t>18 310,25</t>
  </si>
  <si>
    <t>17 924,37</t>
  </si>
  <si>
    <t>18 497,70</t>
  </si>
  <si>
    <t>18 595,57</t>
  </si>
  <si>
    <t>18 430,15</t>
  </si>
  <si>
    <t>18 648,05</t>
  </si>
  <si>
    <t>18 434,19</t>
  </si>
  <si>
    <t>18 730,57</t>
  </si>
  <si>
    <t>18 399,39</t>
  </si>
  <si>
    <t>18 957,77</t>
  </si>
  <si>
    <t>19 109,49</t>
  </si>
  <si>
    <t>18 943,00</t>
  </si>
  <si>
    <t>18 618,86</t>
  </si>
  <si>
    <t>18 379,59</t>
  </si>
  <si>
    <t>18 722,35</t>
  </si>
  <si>
    <t>18 360,24</t>
  </si>
  <si>
    <t>18 945,44</t>
  </si>
  <si>
    <t>18 627,81</t>
  </si>
  <si>
    <t>19 056,38</t>
  </si>
  <si>
    <t>18 976,06</t>
  </si>
  <si>
    <t>19 091,19</t>
  </si>
  <si>
    <t>18 816,38</t>
  </si>
  <si>
    <t>19 284,30</t>
  </si>
  <si>
    <t>18 982,96</t>
  </si>
  <si>
    <t>19 293,44</t>
  </si>
  <si>
    <t>19 136,28</t>
  </si>
  <si>
    <t>19 473,83</t>
  </si>
  <si>
    <t>19 198,46</t>
  </si>
  <si>
    <t>19 550,71</t>
  </si>
  <si>
    <t>19 376,29</t>
  </si>
  <si>
    <t>19 525,13</t>
  </si>
  <si>
    <t>19 394,74</t>
  </si>
  <si>
    <t>19 513,60</t>
  </si>
  <si>
    <t>19 318,92</t>
  </si>
  <si>
    <t>19 510,57</t>
  </si>
  <si>
    <t>19 304,63</t>
  </si>
  <si>
    <t>19 638,15</t>
  </si>
  <si>
    <t>19 422,15</t>
  </si>
  <si>
    <t>19 630,37</t>
  </si>
  <si>
    <t>19 440,68</t>
  </si>
  <si>
    <t>19 180,39</t>
  </si>
  <si>
    <t>18 774,74</t>
  </si>
  <si>
    <t>18 869,80</t>
  </si>
  <si>
    <t>18 651,55</t>
  </si>
  <si>
    <t>18 672,90</t>
  </si>
  <si>
    <t>18 813,23</t>
  </si>
  <si>
    <t>18 378,58</t>
  </si>
  <si>
    <t>19 144,14</t>
  </si>
  <si>
    <t>19 048,87</t>
  </si>
  <si>
    <t>18 864,61</t>
  </si>
  <si>
    <t>19 001,97</t>
  </si>
  <si>
    <t>18 881,84</t>
  </si>
  <si>
    <t>18 966,16</t>
  </si>
  <si>
    <t>18 795,24</t>
  </si>
  <si>
    <t>18 983,64</t>
  </si>
  <si>
    <t>18 886,00</t>
  </si>
  <si>
    <t>19 005,82</t>
  </si>
  <si>
    <t>18 869,60</t>
  </si>
  <si>
    <t>18 759,49</t>
  </si>
  <si>
    <t>18 767,61</t>
  </si>
  <si>
    <t>18 671,92</t>
  </si>
  <si>
    <t>18 543,49</t>
  </si>
  <si>
    <t>18 694,45</t>
  </si>
  <si>
    <t>18 515,19</t>
  </si>
  <si>
    <t>18 622,63</t>
  </si>
  <si>
    <t>18 545,73</t>
  </si>
  <si>
    <t>18 418,11</t>
  </si>
  <si>
    <t>18 529,44</t>
  </si>
  <si>
    <t>18 396,95</t>
  </si>
  <si>
    <t>18 527,50</t>
  </si>
  <si>
    <t>18 410,70</t>
  </si>
  <si>
    <t>18 563,04</t>
  </si>
  <si>
    <t>18 418,04</t>
  </si>
  <si>
    <t>18 480,01</t>
  </si>
  <si>
    <t>18 339,21</t>
  </si>
  <si>
    <t>18 495,42</t>
  </si>
  <si>
    <t>18 371,68</t>
  </si>
  <si>
    <t>18 415,29</t>
  </si>
  <si>
    <t>18 323,25</t>
  </si>
  <si>
    <t>18 437,57</t>
  </si>
  <si>
    <t>18 318,91</t>
  </si>
  <si>
    <t>18 662,77</t>
  </si>
  <si>
    <t>18 492,47</t>
  </si>
  <si>
    <t>18 648,85</t>
  </si>
  <si>
    <t>18 515,50</t>
  </si>
  <si>
    <t>18 538,80</t>
  </si>
  <si>
    <t>18 458,28</t>
  </si>
  <si>
    <t>18 340,14</t>
  </si>
  <si>
    <t>18 187,32</t>
  </si>
  <si>
    <t>18 217,85</t>
  </si>
  <si>
    <t>18 112,90</t>
  </si>
  <si>
    <t>18 245,10</t>
  </si>
  <si>
    <t>18 106,62</t>
  </si>
  <si>
    <t>18 515,44</t>
  </si>
  <si>
    <t>18 199,81</t>
  </si>
  <si>
    <t>18 935,71</t>
  </si>
  <si>
    <t>18 834,18</t>
  </si>
  <si>
    <t>18 614,20</t>
  </si>
  <si>
    <t>18 834,21</t>
  </si>
  <si>
    <t>18 864,75</t>
  </si>
  <si>
    <t>18 622,77</t>
  </si>
  <si>
    <t>19 079,85</t>
  </si>
  <si>
    <t>19 286,21</t>
  </si>
  <si>
    <t>19 058,20</t>
  </si>
  <si>
    <t>19 495,71</t>
  </si>
  <si>
    <t>19 254,84</t>
  </si>
  <si>
    <t>19 578,70</t>
  </si>
  <si>
    <t>19 728,01</t>
  </si>
  <si>
    <t>19 543,41</t>
  </si>
  <si>
    <t>20 060,07</t>
  </si>
  <si>
    <t>19 728,30</t>
  </si>
  <si>
    <t>19 518,22</t>
  </si>
  <si>
    <t>19 565,19</t>
  </si>
  <si>
    <t>19 462,49</t>
  </si>
  <si>
    <t>19 512,88</t>
  </si>
  <si>
    <t>19 410,14</t>
  </si>
  <si>
    <t>19 448,11</t>
  </si>
  <si>
    <t>19 367,19</t>
  </si>
  <si>
    <t>19 469,58</t>
  </si>
  <si>
    <t>19 373,75</t>
  </si>
  <si>
    <t>19 443,60</t>
  </si>
  <si>
    <t>19 290,02</t>
  </si>
  <si>
    <t>19 482,16</t>
  </si>
  <si>
    <t>19 297,96</t>
  </si>
  <si>
    <t>19 516,70</t>
  </si>
  <si>
    <t>18 929,01</t>
  </si>
  <si>
    <t>18 566,77</t>
  </si>
  <si>
    <t>18 432,25</t>
  </si>
  <si>
    <t>18 457,60</t>
  </si>
  <si>
    <t>18 184,11</t>
  </si>
  <si>
    <t>18 492,86</t>
  </si>
  <si>
    <t>18 064,53</t>
  </si>
  <si>
    <t>18 743,03</t>
  </si>
  <si>
    <t>18 268,23</t>
  </si>
  <si>
    <t>18 762,61</t>
  </si>
  <si>
    <t>18 687,97</t>
  </si>
  <si>
    <t>18 549,07</t>
  </si>
  <si>
    <t>18 967,58</t>
  </si>
  <si>
    <t>19 093,31</t>
  </si>
  <si>
    <t>18 841,85</t>
  </si>
  <si>
    <t>19 198,59</t>
  </si>
  <si>
    <t>19 230,22</t>
  </si>
  <si>
    <t>19 044,45</t>
  </si>
  <si>
    <t>18 454,76</t>
  </si>
  <si>
    <t>18 597,47</t>
  </si>
  <si>
    <t>17 765,29</t>
  </si>
  <si>
    <t>18 367,38</t>
  </si>
  <si>
    <t>19 056,95</t>
  </si>
  <si>
    <t>18 404,41</t>
  </si>
  <si>
    <t>19 393,68</t>
  </si>
  <si>
    <t>19 465,04</t>
  </si>
  <si>
    <t>19 265,37</t>
  </si>
  <si>
    <t>19 658,13</t>
  </si>
  <si>
    <t>19 416,64</t>
  </si>
  <si>
    <t>19 925,33</t>
  </si>
  <si>
    <t>19 572,56</t>
  </si>
  <si>
    <t>20 029,47</t>
  </si>
  <si>
    <t>19 765,19</t>
  </si>
  <si>
    <t>20 021,93</t>
  </si>
  <si>
    <t>19 914,05</t>
  </si>
  <si>
    <t>19 946,14</t>
  </si>
  <si>
    <t>19 722,04</t>
  </si>
  <si>
    <t>19 799,99</t>
  </si>
  <si>
    <t>19 585,94</t>
  </si>
  <si>
    <t>19 709,04</t>
  </si>
  <si>
    <t>19 585,38</t>
  </si>
  <si>
    <t>19 749,70</t>
  </si>
  <si>
    <t>19 596,76</t>
  </si>
  <si>
    <t>19 926,61</t>
  </si>
  <si>
    <t>19 954,00</t>
  </si>
  <si>
    <t>19 824,35</t>
  </si>
  <si>
    <t>19 978,58</t>
  </si>
  <si>
    <t>19 832,77</t>
  </si>
  <si>
    <t>19 903,16</t>
  </si>
  <si>
    <t>20 065,52</t>
  </si>
  <si>
    <t>19 521,16</t>
  </si>
  <si>
    <t>20 141,03</t>
  </si>
  <si>
    <t>20 008,53</t>
  </si>
  <si>
    <t>20 264,26</t>
  </si>
  <si>
    <t>20 085,27</t>
  </si>
  <si>
    <t>20 232,31</t>
  </si>
  <si>
    <t>20 096,88</t>
  </si>
  <si>
    <t>20 170,55</t>
  </si>
  <si>
    <t>19 993,50</t>
  </si>
  <si>
    <t>20 155,97</t>
  </si>
  <si>
    <t>19 978,55</t>
  </si>
  <si>
    <t>20 054,88</t>
  </si>
  <si>
    <t>20 223,06</t>
  </si>
  <si>
    <t>20 042,19</t>
  </si>
  <si>
    <t>20 138,22</t>
  </si>
  <si>
    <t>20 340,23</t>
  </si>
  <si>
    <t>20 133,01</t>
  </si>
  <si>
    <t>20 233,50</t>
  </si>
  <si>
    <t>20 237,01</t>
  </si>
  <si>
    <t>20 052,64</t>
  </si>
  <si>
    <t>20 065,36</t>
  </si>
  <si>
    <t>20 133,46</t>
  </si>
  <si>
    <t>19 971,95</t>
  </si>
  <si>
    <t>19 997,35</t>
  </si>
  <si>
    <t>20 035,16</t>
  </si>
  <si>
    <t>19 786,28</t>
  </si>
  <si>
    <t>19 982,27</t>
  </si>
  <si>
    <t>19 982,71</t>
  </si>
  <si>
    <t>19 619,56</t>
  </si>
  <si>
    <t>19 747,35</t>
  </si>
  <si>
    <t>19 619,47</t>
  </si>
  <si>
    <t>19 745,09</t>
  </si>
  <si>
    <t>19 846,77</t>
  </si>
  <si>
    <t>19 721,94</t>
  </si>
  <si>
    <t>19 845,09</t>
  </si>
  <si>
    <t>19 953,35</t>
  </si>
  <si>
    <t>19 792,00</t>
  </si>
  <si>
    <t>19 858,63</t>
  </si>
  <si>
    <t>19 967,91</t>
  </si>
  <si>
    <t>19 845,14</t>
  </si>
  <si>
    <t>19 883,67</t>
  </si>
  <si>
    <t>19 926,99</t>
  </si>
  <si>
    <t>19 828,76</t>
  </si>
  <si>
    <t>19 843,43</t>
  </si>
  <si>
    <t>19 967,74</t>
  </si>
  <si>
    <t>19 818,24</t>
  </si>
  <si>
    <t>19 818,76</t>
  </si>
  <si>
    <t>19 915,16</t>
  </si>
  <si>
    <t>19 779,01</t>
  </si>
  <si>
    <t>19 839,15</t>
  </si>
  <si>
    <t>19 680,71</t>
  </si>
  <si>
    <t>19 684,96</t>
  </si>
  <si>
    <t>19 689,89</t>
  </si>
  <si>
    <t>19 567,69</t>
  </si>
  <si>
    <t>19 575,76</t>
  </si>
  <si>
    <t>19 637,05</t>
  </si>
  <si>
    <t>19 538,69</t>
  </si>
  <si>
    <t>19 547,29</t>
  </si>
  <si>
    <t>19 590,82</t>
  </si>
  <si>
    <t>19 433,67</t>
  </si>
  <si>
    <t>19 570,63</t>
  </si>
  <si>
    <t>19 768,92</t>
  </si>
  <si>
    <t>19 500,57</t>
  </si>
  <si>
    <t>19 634,87</t>
  </si>
  <si>
    <t>19 674,84</t>
  </si>
  <si>
    <t>19 442,72</t>
  </si>
  <si>
    <t>19 446,17</t>
  </si>
  <si>
    <t>19 495,55</t>
  </si>
  <si>
    <t>19 313,45</t>
  </si>
  <si>
    <t>19 420,78</t>
  </si>
  <si>
    <t>19 283,62</t>
  </si>
  <si>
    <t>19 404,80</t>
  </si>
  <si>
    <t>19 259,25</t>
  </si>
  <si>
    <t>19 266,33</t>
  </si>
  <si>
    <t>19 276,49</t>
  </si>
  <si>
    <t>19 074,88</t>
  </si>
  <si>
    <t>19 085,27</t>
  </si>
  <si>
    <t>19 208,57</t>
  </si>
  <si>
    <t>19 055,38</t>
  </si>
  <si>
    <t>19 192,56</t>
  </si>
  <si>
    <t>19 208,20</t>
  </si>
  <si>
    <t>19 091,14</t>
  </si>
  <si>
    <t>19 176,04</t>
  </si>
  <si>
    <t>19 249,31</t>
  </si>
  <si>
    <t>19 096,86</t>
  </si>
  <si>
    <t>19 168,83</t>
  </si>
  <si>
    <t>19 179,38</t>
  </si>
  <si>
    <t>18 810,74</t>
  </si>
  <si>
    <t>18 922,52</t>
  </si>
  <si>
    <t>18 698,34</t>
  </si>
  <si>
    <t>18 818,05</t>
  </si>
  <si>
    <t>18 866,63</t>
  </si>
  <si>
    <t>18 734,59</t>
  </si>
  <si>
    <t>18 824,28</t>
  </si>
  <si>
    <t>18 901,77</t>
  </si>
  <si>
    <t>18 792,74</t>
  </si>
  <si>
    <t>18 920,24</t>
  </si>
  <si>
    <t>18 998,71</t>
  </si>
  <si>
    <t>18 828,61</t>
  </si>
  <si>
    <t>19 003,89</t>
  </si>
  <si>
    <t>18 834,61</t>
  </si>
  <si>
    <t>18 841,28</t>
  </si>
  <si>
    <t>18 894,26</t>
  </si>
  <si>
    <t>18 729,78</t>
  </si>
  <si>
    <t>18 827,19</t>
  </si>
  <si>
    <t>18 842,66</t>
  </si>
  <si>
    <t>18 745,88</t>
  </si>
  <si>
    <t>18 843,47</t>
  </si>
  <si>
    <t>18 846,60</t>
  </si>
  <si>
    <t>18 724,12</t>
  </si>
  <si>
    <t>18 808,50</t>
  </si>
  <si>
    <t>18 510,22</t>
  </si>
  <si>
    <t>18 648,61</t>
  </si>
  <si>
    <t>18 649,64</t>
  </si>
  <si>
    <t>18 499,20</t>
  </si>
  <si>
    <t>18 590,45</t>
  </si>
  <si>
    <t>18 617,25</t>
  </si>
  <si>
    <t>18 489,77</t>
  </si>
  <si>
    <t>18 517,45</t>
  </si>
  <si>
    <t>18 541,81</t>
  </si>
  <si>
    <t>18 379,82</t>
  </si>
  <si>
    <t>18 411,21</t>
  </si>
  <si>
    <t>18 253,69</t>
  </si>
  <si>
    <t>18 296,60</t>
  </si>
  <si>
    <t>18 473,95</t>
  </si>
  <si>
    <t>18 291,09</t>
  </si>
  <si>
    <t>18 474,97</t>
  </si>
  <si>
    <t>18 511,77</t>
  </si>
  <si>
    <t>18 382,18</t>
  </si>
  <si>
    <t>18 405,66</t>
  </si>
  <si>
    <t>18 407,38</t>
  </si>
  <si>
    <t>18 215,33</t>
  </si>
  <si>
    <t>18 224,19</t>
  </si>
  <si>
    <t>18 332,92</t>
  </si>
  <si>
    <t>17 743,39</t>
  </si>
  <si>
    <t>17 754,25</t>
  </si>
  <si>
    <t>17 957,33</t>
  </si>
  <si>
    <t>17 720,26</t>
  </si>
  <si>
    <t>17 995,65</t>
  </si>
  <si>
    <t>17 623,16</t>
  </si>
  <si>
    <t>17 626,43</t>
  </si>
  <si>
    <t>17 854,61</t>
  </si>
  <si>
    <t>17 461,19</t>
  </si>
  <si>
    <t>17 865,27</t>
  </si>
  <si>
    <t>18 082,19</t>
  </si>
  <si>
    <t>17 840,64</t>
  </si>
  <si>
    <t>18 078,62</t>
  </si>
  <si>
    <t>18 198,70</t>
  </si>
  <si>
    <t>18 071,45</t>
  </si>
  <si>
    <t>18 178,61</t>
  </si>
  <si>
    <t>18 424,16</t>
  </si>
  <si>
    <t>18 041,25</t>
  </si>
  <si>
    <t>18 417,52</t>
  </si>
  <si>
    <t>18 492,40</t>
  </si>
  <si>
    <t>18 019,19</t>
  </si>
  <si>
    <t>18 533,85</t>
  </si>
  <si>
    <t>18 656,01</t>
  </si>
  <si>
    <t>18 655,90</t>
  </si>
  <si>
    <t>18 733,99</t>
  </si>
  <si>
    <t>18 605,24</t>
  </si>
  <si>
    <t>18 643,33</t>
  </si>
  <si>
    <t>18 727,00</t>
  </si>
  <si>
    <t>18 552,51</t>
  </si>
  <si>
    <t>18 562,47</t>
  </si>
  <si>
    <t>18 784,09</t>
  </si>
  <si>
    <t>18 547,87</t>
  </si>
  <si>
    <t>18 690,36</t>
  </si>
  <si>
    <t>18 927,07</t>
  </si>
  <si>
    <t>18 648,49</t>
  </si>
  <si>
    <t>18 683,67</t>
  </si>
  <si>
    <t>18 325,68</t>
  </si>
  <si>
    <t>18 364,09</t>
  </si>
  <si>
    <t>18 193,20</t>
  </si>
  <si>
    <t>17 976,11</t>
  </si>
  <si>
    <t>18 007,44</t>
  </si>
  <si>
    <t>17 898,51</t>
  </si>
  <si>
    <t>17 920,91</t>
  </si>
  <si>
    <t>18 031,23</t>
  </si>
  <si>
    <t>17 911,05</t>
  </si>
  <si>
    <t>17 996,58</t>
  </si>
  <si>
    <t>18 119,86</t>
  </si>
  <si>
    <t>17 979,96</t>
  </si>
  <si>
    <t>18 050,20</t>
  </si>
  <si>
    <t>18 173,53</t>
  </si>
  <si>
    <t>17 979,11</t>
  </si>
  <si>
    <t>18 066,70</t>
  </si>
  <si>
    <t>18 152,62</t>
  </si>
  <si>
    <t>18 065,49</t>
  </si>
  <si>
    <t>18 112,39</t>
  </si>
  <si>
    <t>18 248,79</t>
  </si>
  <si>
    <t>18 108,49</t>
  </si>
  <si>
    <t>18 131,60</t>
  </si>
  <si>
    <t>18 207,93</t>
  </si>
  <si>
    <t>18 015,38</t>
  </si>
  <si>
    <t>18 025,57</t>
  </si>
  <si>
    <t>18 133,81</t>
  </si>
  <si>
    <t>17 984,30</t>
  </si>
  <si>
    <t>18 058,21</t>
  </si>
  <si>
    <t>18 085,17</t>
  </si>
  <si>
    <t>17 861,98</t>
  </si>
  <si>
    <t>17 871,76</t>
  </si>
  <si>
    <t>17 876,24</t>
  </si>
  <si>
    <t>17 772,15</t>
  </si>
  <si>
    <t>18 063,08</t>
  </si>
  <si>
    <t>17 996,73</t>
  </si>
  <si>
    <t>18 027,08</t>
  </si>
  <si>
    <t>17 950,66</t>
  </si>
  <si>
    <t>18 010,21</t>
  </si>
  <si>
    <t>18 117,48</t>
  </si>
  <si>
    <t>18 005,45</t>
  </si>
  <si>
    <t>18 066,76</t>
  </si>
  <si>
    <t>18 093,91</t>
  </si>
  <si>
    <t>18 019,39</t>
  </si>
  <si>
    <t>18 033,08</t>
  </si>
  <si>
    <t>18 086,00</t>
  </si>
  <si>
    <t>17 765,30</t>
  </si>
  <si>
    <t>17 788,87</t>
  </si>
  <si>
    <t>17 567,46</t>
  </si>
  <si>
    <t>17 595,84</t>
  </si>
  <si>
    <t>17 651,67</t>
  </si>
  <si>
    <t>17 569,70</t>
  </si>
  <si>
    <t>17 611,85</t>
  </si>
  <si>
    <t>17 647,68</t>
  </si>
  <si>
    <t>17 562,48</t>
  </si>
  <si>
    <t>17 566,60</t>
  </si>
  <si>
    <t>17 589,00</t>
  </si>
  <si>
    <t>17 436,23</t>
  </si>
  <si>
    <t>17 437,22</t>
  </si>
  <si>
    <t>17 511,22</t>
  </si>
  <si>
    <t>17 396,23</t>
  </si>
  <si>
    <t>17 508,82</t>
  </si>
  <si>
    <t>17 390,38</t>
  </si>
  <si>
    <t>17 478,80</t>
  </si>
  <si>
    <t>17 364,90</t>
  </si>
  <si>
    <t>17 371,81</t>
  </si>
  <si>
    <t>17 467,04</t>
  </si>
  <si>
    <t>17 362,94</t>
  </si>
  <si>
    <t>17 443,27</t>
  </si>
  <si>
    <t>17 450,47</t>
  </si>
  <si>
    <t>17 308,86</t>
  </si>
  <si>
    <t>17 319,69</t>
  </si>
  <si>
    <t>17 352,87</t>
  </si>
  <si>
    <t>17 297,67</t>
  </si>
  <si>
    <t>17 299,38</t>
  </si>
  <si>
    <t>17 330,13</t>
  </si>
  <si>
    <t>17 223,88</t>
  </si>
  <si>
    <t>17 315,96</t>
  </si>
  <si>
    <t>17 190,67</t>
  </si>
  <si>
    <t>17 205,43</t>
  </si>
  <si>
    <t>17 299,17</t>
  </si>
  <si>
    <t>17 203,44</t>
  </si>
  <si>
    <t>17 268,91</t>
  </si>
  <si>
    <t>17 313,08</t>
  </si>
  <si>
    <t>17 218,28</t>
  </si>
  <si>
    <t>17 243,69</t>
  </si>
  <si>
    <t>17 268,08</t>
  </si>
  <si>
    <t>17 169,62</t>
  </si>
  <si>
    <t>17 175,48</t>
  </si>
  <si>
    <t>17 302,79</t>
  </si>
  <si>
    <t>17 124,13</t>
  </si>
  <si>
    <t>17 216,28</t>
  </si>
  <si>
    <t>17 056,95</t>
  </si>
  <si>
    <t>17 064,89</t>
  </si>
  <si>
    <t>16 579,84</t>
  </si>
  <si>
    <t>16 070,49</t>
  </si>
  <si>
    <t>16 554,30</t>
  </si>
  <si>
    <t>16 064,89</t>
  </si>
  <si>
    <t>16 377,53</t>
  </si>
  <si>
    <t>17 004,06</t>
  </si>
  <si>
    <t>16 027,71</t>
  </si>
  <si>
    <t>16 482,74</t>
  </si>
  <si>
    <t>16 006,92</t>
  </si>
  <si>
    <t>16 479,06</t>
  </si>
  <si>
    <t>16 788,55</t>
  </si>
  <si>
    <t>16 259,42</t>
  </si>
  <si>
    <t>16 260,30</t>
  </si>
  <si>
    <t>17 233,40</t>
  </si>
  <si>
    <t>16 193,78</t>
  </si>
  <si>
    <t>17 232,49</t>
  </si>
  <si>
    <t>17 417,14</t>
  </si>
  <si>
    <t>17 194,79</t>
  </si>
  <si>
    <t>17 258,37</t>
  </si>
  <si>
    <t>17 683,77</t>
  </si>
  <si>
    <t>17 675,36</t>
  </si>
  <si>
    <t>17 938,77</t>
  </si>
  <si>
    <t>17 649,27</t>
  </si>
  <si>
    <t>17 756,02</t>
  </si>
  <si>
    <t>17 831,49</t>
  </si>
  <si>
    <t>17 581,34</t>
  </si>
  <si>
    <t>17 591,12</t>
  </si>
  <si>
    <t>17 631,49</t>
  </si>
  <si>
    <t>17 438,63</t>
  </si>
  <si>
    <t>17 567,95</t>
  </si>
  <si>
    <t>17 789,46</t>
  </si>
  <si>
    <t>17 677,83</t>
  </si>
  <si>
    <t>17 964,66</t>
  </si>
  <si>
    <t>17 858,90</t>
  </si>
  <si>
    <t>17 861,24</t>
  </si>
  <si>
    <t>17 589,38</t>
  </si>
  <si>
    <t>17 621,40</t>
  </si>
  <si>
    <t>17 346,00</t>
  </si>
  <si>
    <t>17 366,13</t>
  </si>
  <si>
    <t>17 381,03</t>
  </si>
  <si>
    <t>17 173,86</t>
  </si>
  <si>
    <t>17 193,01</t>
  </si>
  <si>
    <t>17 209,70</t>
  </si>
  <si>
    <t>16 839,13</t>
  </si>
  <si>
    <t>16 845,61</t>
  </si>
  <si>
    <t>16 675,09</t>
  </si>
  <si>
    <t>16 676,30</t>
  </si>
  <si>
    <t>16 704,84</t>
  </si>
  <si>
    <t>16 613,70</t>
  </si>
  <si>
    <t>16 614,91</t>
  </si>
  <si>
    <t>16 489,65</t>
  </si>
  <si>
    <t>16 490,00</t>
  </si>
  <si>
    <t>16 514,16</t>
  </si>
  <si>
    <t>16 285,64</t>
  </si>
  <si>
    <t>16 294,14</t>
  </si>
  <si>
    <t>16 562,53</t>
  </si>
  <si>
    <t>16 243,11</t>
  </si>
  <si>
    <t>16 476,44</t>
  </si>
  <si>
    <t>16 627,88</t>
  </si>
  <si>
    <t>16 474,33</t>
  </si>
  <si>
    <t>16 583,26</t>
  </si>
  <si>
    <t>16 692,66</t>
  </si>
  <si>
    <t>16 573,70</t>
  </si>
  <si>
    <t>16 609,78</t>
  </si>
  <si>
    <t>16 674,62</t>
  </si>
  <si>
    <t>16 551,73</t>
  </si>
  <si>
    <t>16 570,88</t>
  </si>
  <si>
    <t>16 705,18</t>
  </si>
  <si>
    <t>16 563,35</t>
  </si>
  <si>
    <t>16 623,95</t>
  </si>
  <si>
    <t>16 746,99</t>
  </si>
  <si>
    <t>16 622,14</t>
  </si>
  <si>
    <t>16 707,30</t>
  </si>
  <si>
    <t>16 860,11</t>
  </si>
  <si>
    <t>16 792,11</t>
  </si>
  <si>
    <t>16 887,21</t>
  </si>
  <si>
    <t>16 720,47</t>
  </si>
  <si>
    <t>16 723,79</t>
  </si>
  <si>
    <t>16 987,23</t>
  </si>
  <si>
    <t>16 695,04</t>
  </si>
  <si>
    <t>16 927,28</t>
  </si>
  <si>
    <t>17 213,10</t>
  </si>
  <si>
    <t>16 926,80</t>
  </si>
  <si>
    <t>17 086,65</t>
  </si>
  <si>
    <t>17 217,42</t>
  </si>
  <si>
    <t>16 933,58</t>
  </si>
  <si>
    <t>16 937,67</t>
  </si>
  <si>
    <t>17 044,34</t>
  </si>
  <si>
    <t>16 911,26</t>
  </si>
  <si>
    <t>16 913,19</t>
  </si>
  <si>
    <t>16 974,42</t>
  </si>
  <si>
    <t>16 842,74</t>
  </si>
  <si>
    <t>16 843,03</t>
  </si>
  <si>
    <t>17 120,60</t>
  </si>
  <si>
    <t>16 786,58</t>
  </si>
  <si>
    <t>16 952,65</t>
  </si>
  <si>
    <t>16 971,11</t>
  </si>
  <si>
    <t>16 861,19</t>
  </si>
  <si>
    <t>16 869,61</t>
  </si>
  <si>
    <t>16 706,70</t>
  </si>
  <si>
    <t>16 756,28</t>
  </si>
  <si>
    <t>16 642,43</t>
  </si>
  <si>
    <t>16 644,62</t>
  </si>
  <si>
    <t>16 645,12</t>
  </si>
  <si>
    <t>16 452,22</t>
  </si>
  <si>
    <t>16 452,23</t>
  </si>
  <si>
    <t>16 463,47</t>
  </si>
  <si>
    <t>16 394,29</t>
  </si>
  <si>
    <t>16 397,54</t>
  </si>
  <si>
    <t>16 513,39</t>
  </si>
  <si>
    <t>16 393,13</t>
  </si>
  <si>
    <t>16 457,29</t>
  </si>
  <si>
    <t>16 252,67</t>
  </si>
  <si>
    <t>16 272,94</t>
  </si>
  <si>
    <t>16 373,11</t>
  </si>
  <si>
    <t>16 260,15</t>
  </si>
  <si>
    <t>16 348,72</t>
  </si>
  <si>
    <t>16 352,51</t>
  </si>
  <si>
    <t>16 262,99</t>
  </si>
  <si>
    <t>16 325,77</t>
  </si>
  <si>
    <t>16 363,33</t>
  </si>
  <si>
    <t>16 266,52</t>
  </si>
  <si>
    <t>16 326,12</t>
  </si>
  <si>
    <t>16 213,04</t>
  </si>
  <si>
    <t>16 217,65</t>
  </si>
  <si>
    <t>16 345,11</t>
  </si>
  <si>
    <t>16 199,00</t>
  </si>
  <si>
    <t>16 246,33</t>
  </si>
  <si>
    <t>16 282,07</t>
  </si>
  <si>
    <t>16 197,72</t>
  </si>
  <si>
    <t>16 208,87</t>
  </si>
  <si>
    <t>16 310,79</t>
  </si>
  <si>
    <t>16 198,98</t>
  </si>
  <si>
    <t>16 248,20</t>
  </si>
  <si>
    <t>16 446,14</t>
  </si>
  <si>
    <t>16 242,48</t>
  </si>
  <si>
    <t>16 344,54</t>
  </si>
  <si>
    <t>16 406,92</t>
  </si>
  <si>
    <t>16 106,61</t>
  </si>
  <si>
    <t>16 109,25</t>
  </si>
  <si>
    <t>15 907,56</t>
  </si>
  <si>
    <t>15 912,73</t>
  </si>
  <si>
    <t>15 971,35</t>
  </si>
  <si>
    <t>15 881,75</t>
  </si>
  <si>
    <t>15 886,27</t>
  </si>
  <si>
    <t>15 951,73</t>
  </si>
  <si>
    <t>15 882,04</t>
  </si>
  <si>
    <t>15 944,07</t>
  </si>
  <si>
    <t>15 828,03</t>
  </si>
  <si>
    <t>15 876,74</t>
  </si>
  <si>
    <t>15 763,09</t>
  </si>
  <si>
    <t>15 775,63</t>
  </si>
  <si>
    <t>15 819,90</t>
  </si>
  <si>
    <t>15 706,53</t>
  </si>
  <si>
    <t>15 768,92</t>
  </si>
  <si>
    <t>16 030,23</t>
  </si>
  <si>
    <t>15 764,89</t>
  </si>
  <si>
    <t>15 969,02</t>
  </si>
  <si>
    <t>16 123,59</t>
  </si>
  <si>
    <t>16 021,76</t>
  </si>
  <si>
    <t>16 137,29</t>
  </si>
  <si>
    <t>16 080,93</t>
  </si>
  <si>
    <t>16 211,52</t>
  </si>
  <si>
    <t>16 073,55</t>
  </si>
  <si>
    <t>16 079,69</t>
  </si>
  <si>
    <t>16 087,63</t>
  </si>
  <si>
    <t>15 912,65</t>
  </si>
  <si>
    <t>15 966,87</t>
  </si>
  <si>
    <t>15 790,89</t>
  </si>
  <si>
    <t>15 875,76</t>
  </si>
  <si>
    <t>16 003,22</t>
  </si>
  <si>
    <t>15 823,94</t>
  </si>
  <si>
    <t>15 845,63</t>
  </si>
  <si>
    <t>16 070,66</t>
  </si>
  <si>
    <t>15 723,69</t>
  </si>
  <si>
    <t>15 815,13</t>
  </si>
  <si>
    <t>15 529,16</t>
  </si>
  <si>
    <t>15 563,22</t>
  </si>
  <si>
    <t>15 446,33</t>
  </si>
  <si>
    <t>15 559,07</t>
  </si>
  <si>
    <t>15 687,35</t>
  </si>
  <si>
    <t>15 516,30</t>
  </si>
  <si>
    <t>15 087,26</t>
  </si>
  <si>
    <t>15 125,77</t>
  </si>
  <si>
    <t>14 764,86</t>
  </si>
  <si>
    <t>14 773,19</t>
  </si>
  <si>
    <t>14 797,08</t>
  </si>
  <si>
    <t>14 719,15</t>
  </si>
  <si>
    <t>14 719,22</t>
  </si>
  <si>
    <t>14 752,99</t>
  </si>
  <si>
    <t>14 620,87</t>
  </si>
  <si>
    <t>14 648,53</t>
  </si>
  <si>
    <t>14 699,39</t>
  </si>
  <si>
    <t>14 595,38</t>
  </si>
  <si>
    <t>14 654,88</t>
  </si>
  <si>
    <t>14 698,38</t>
  </si>
  <si>
    <t>14 611,23</t>
  </si>
  <si>
    <t>14 686,28</t>
  </si>
  <si>
    <t>14 596,95</t>
  </si>
  <si>
    <t>14 634,58</t>
  </si>
  <si>
    <t>14 762,79</t>
  </si>
  <si>
    <t>14 621,77</t>
  </si>
  <si>
    <t>14 720,44</t>
  </si>
  <si>
    <t>14 776,54</t>
  </si>
  <si>
    <t>14 680,37</t>
  </si>
  <si>
    <t>14 721,45</t>
  </si>
  <si>
    <t>14 767,36</t>
  </si>
  <si>
    <t>14 666,65</t>
  </si>
  <si>
    <t>14 724,00</t>
  </si>
  <si>
    <t>14 851,09</t>
  </si>
  <si>
    <t>14 711,98</t>
  </si>
  <si>
    <t>14 769,95</t>
  </si>
  <si>
    <t>14 843,77</t>
  </si>
  <si>
    <t>14 775,40</t>
  </si>
  <si>
    <t>14 929,68</t>
  </si>
  <si>
    <t>14 703,07</t>
  </si>
  <si>
    <t>14 703,51</t>
  </si>
  <si>
    <t>14 794,00</t>
  </si>
  <si>
    <t>14 682,63</t>
  </si>
  <si>
    <t>14 704,81</t>
  </si>
  <si>
    <t>14 730,27</t>
  </si>
  <si>
    <t>14 651,35</t>
  </si>
  <si>
    <t>14 677,92</t>
  </si>
  <si>
    <t>14 768,01</t>
  </si>
  <si>
    <t>14 664,40</t>
  </si>
  <si>
    <t>14 698,63</t>
  </si>
  <si>
    <t>14 762,27</t>
  </si>
  <si>
    <t>14 657,57</t>
  </si>
  <si>
    <t>14 694,94</t>
  </si>
  <si>
    <t>14 819,03</t>
  </si>
  <si>
    <t>14 692,31</t>
  </si>
  <si>
    <t>14 798,42</t>
  </si>
  <si>
    <t>14 722,49</t>
  </si>
  <si>
    <t>14 762,43</t>
  </si>
  <si>
    <t>14 889,84</t>
  </si>
  <si>
    <t>14 744,53</t>
  </si>
  <si>
    <t>14 881,52</t>
  </si>
  <si>
    <t>14 883,79</t>
  </si>
  <si>
    <t>14 720,33</t>
  </si>
  <si>
    <t>14 749,59</t>
  </si>
  <si>
    <t>14 805,96</t>
  </si>
  <si>
    <t>14 706,89</t>
  </si>
  <si>
    <t>14 728,12</t>
  </si>
  <si>
    <t>14 756,72</t>
  </si>
  <si>
    <t>14 689,92</t>
  </si>
  <si>
    <t>14 718,91</t>
  </si>
  <si>
    <t>14 853,29</t>
  </si>
  <si>
    <t>14 710,72</t>
  </si>
  <si>
    <t>14 837,22</t>
  </si>
  <si>
    <t>14 946,22</t>
  </si>
  <si>
    <t>14 822,59</t>
  </si>
  <si>
    <t>14 888,31</t>
  </si>
  <si>
    <t>14 964,95</t>
  </si>
  <si>
    <t>14 860,24</t>
  </si>
  <si>
    <t>14 901,09</t>
  </si>
  <si>
    <t>14 904,04</t>
  </si>
  <si>
    <t>14 791,26</t>
  </si>
  <si>
    <t>14 811,74</t>
  </si>
  <si>
    <t>14 842,40</t>
  </si>
  <si>
    <t>14 718,68</t>
  </si>
  <si>
    <t>14 940,51</t>
  </si>
  <si>
    <t>14 687,03</t>
  </si>
  <si>
    <t>14 886,65</t>
  </si>
  <si>
    <t>14 897,19</t>
  </si>
  <si>
    <t>14 841,27</t>
  </si>
  <si>
    <t>14 868,14</t>
  </si>
  <si>
    <t>15 048,73</t>
  </si>
  <si>
    <t>14 986,56</t>
  </si>
  <si>
    <t>15 050,12</t>
  </si>
  <si>
    <t>14 958,70</t>
  </si>
  <si>
    <t>14 976,79</t>
  </si>
  <si>
    <t>15 015,68</t>
  </si>
  <si>
    <t>14 856,32</t>
  </si>
  <si>
    <t>14 862,45</t>
  </si>
  <si>
    <t>14 881,50</t>
  </si>
  <si>
    <t>14 731,03</t>
  </si>
  <si>
    <t>14 751,03</t>
  </si>
  <si>
    <t>14 769,65</t>
  </si>
  <si>
    <t>14 678,10</t>
  </si>
  <si>
    <t>14 742,72</t>
  </si>
  <si>
    <t>14 612,38</t>
  </si>
  <si>
    <t>14 650,02</t>
  </si>
  <si>
    <t>14 765,94</t>
  </si>
  <si>
    <t>14 634,02</t>
  </si>
  <si>
    <t>14 691,26</t>
  </si>
  <si>
    <t>14 714,95</t>
  </si>
  <si>
    <t>14 646,44</t>
  </si>
  <si>
    <t>14 663,22</t>
  </si>
  <si>
    <t>14 699,28</t>
  </si>
  <si>
    <t>14 483,64</t>
  </si>
  <si>
    <t>14 487,67</t>
  </si>
  <si>
    <t>14 503,68</t>
  </si>
  <si>
    <t>14 296,93</t>
  </si>
  <si>
    <t>14 335,69</t>
  </si>
  <si>
    <t>14 260,02</t>
  </si>
  <si>
    <t>14 300,12</t>
  </si>
  <si>
    <t>14 219,39</t>
  </si>
  <si>
    <t>14 269,96</t>
  </si>
  <si>
    <t>14 168,10</t>
  </si>
  <si>
    <t>14 214,06</t>
  </si>
  <si>
    <t>14 163,09</t>
  </si>
  <si>
    <t>14 182,32</t>
  </si>
  <si>
    <t>14 291,15</t>
  </si>
  <si>
    <t>14 175,02</t>
  </si>
  <si>
    <t>14 247,73</t>
  </si>
  <si>
    <t>14 270,89</t>
  </si>
  <si>
    <t>14 182,54</t>
  </si>
  <si>
    <t>14 211,68</t>
  </si>
  <si>
    <t>14 283,05</t>
  </si>
  <si>
    <t>14 179,42</t>
  </si>
  <si>
    <t>14 181,53</t>
  </si>
  <si>
    <t>14 195,21</t>
  </si>
  <si>
    <t>14 118,43</t>
  </si>
  <si>
    <t>14 138,37</t>
  </si>
  <si>
    <t>14 175,61</t>
  </si>
  <si>
    <t>14 105,92</t>
  </si>
  <si>
    <t>14 118,36</t>
  </si>
  <si>
    <t>14 126,57</t>
  </si>
  <si>
    <t>14 029,16</t>
  </si>
  <si>
    <t>14 085,27</t>
  </si>
  <si>
    <t>14 096,05</t>
  </si>
  <si>
    <t>14 021,09</t>
  </si>
  <si>
    <t>14 080,13</t>
  </si>
  <si>
    <t>14 143,88</t>
  </si>
  <si>
    <t>14 054,96</t>
  </si>
  <si>
    <t>14 080,57</t>
  </si>
  <si>
    <t>14 219,87</t>
  </si>
  <si>
    <t>14 054,98</t>
  </si>
  <si>
    <t>14 125,26</t>
  </si>
  <si>
    <t>13 833,55</t>
  </si>
  <si>
    <t>13 834,74</t>
  </si>
  <si>
    <t>13 941,55</t>
  </si>
  <si>
    <t>13 795,07</t>
  </si>
  <si>
    <t>13 939,72</t>
  </si>
  <si>
    <t>14 057,34</t>
  </si>
  <si>
    <t>13 935,90</t>
  </si>
  <si>
    <t>14 048,66</t>
  </si>
  <si>
    <t>14 170,38</t>
  </si>
  <si>
    <t>14 029,90</t>
  </si>
  <si>
    <t>14 101,61</t>
  </si>
  <si>
    <t>14 110,60</t>
  </si>
  <si>
    <t>14 046,78</t>
  </si>
  <si>
    <t>14 102,73</t>
  </si>
  <si>
    <t>14 202,03</t>
  </si>
  <si>
    <t>14 096,07</t>
  </si>
  <si>
    <t>14 148,99</t>
  </si>
  <si>
    <t>14 161,17</t>
  </si>
  <si>
    <t>14 019,63</t>
  </si>
  <si>
    <t>14 169,93</t>
  </si>
  <si>
    <t>14 156,87</t>
  </si>
  <si>
    <t>14 220,98</t>
  </si>
  <si>
    <t>14 139,54</t>
  </si>
  <si>
    <t>14 167,03</t>
  </si>
  <si>
    <t>14 239,63</t>
  </si>
  <si>
    <t>14 152,11</t>
  </si>
  <si>
    <t>14 154,97</t>
  </si>
  <si>
    <t>14 190,07</t>
  </si>
  <si>
    <t>14 024,58</t>
  </si>
  <si>
    <t>14 224,82</t>
  </si>
  <si>
    <t>13 959,66</t>
  </si>
  <si>
    <t>14 201,37</t>
  </si>
  <si>
    <t>14 441,90</t>
  </si>
  <si>
    <t>14 196,22</t>
  </si>
  <si>
    <t>14 372,84</t>
  </si>
  <si>
    <t>14 519,39</t>
  </si>
  <si>
    <t>14 449,05</t>
  </si>
  <si>
    <t>14 463,48</t>
  </si>
  <si>
    <t>14 359,99</t>
  </si>
  <si>
    <t>14 370,64</t>
  </si>
  <si>
    <t>14 391,79</t>
  </si>
  <si>
    <t>14 281,39</t>
  </si>
  <si>
    <t>14 282,71</t>
  </si>
  <si>
    <t>14 286,74</t>
  </si>
  <si>
    <t>14 193,30</t>
  </si>
  <si>
    <t>14 409,24</t>
  </si>
  <si>
    <t>14 183,46</t>
  </si>
  <si>
    <t>14 269,55</t>
  </si>
  <si>
    <t>14 290,89</t>
  </si>
  <si>
    <t>14 201,40</t>
  </si>
  <si>
    <t>14 246,86</t>
  </si>
  <si>
    <t>14 283,90</t>
  </si>
  <si>
    <t>14 184,33</t>
  </si>
  <si>
    <t>14 230,18</t>
  </si>
  <si>
    <t>14 087,58</t>
  </si>
  <si>
    <t>14 088,04</t>
  </si>
  <si>
    <t>14 092,34</t>
  </si>
  <si>
    <t>13 961,29</t>
  </si>
  <si>
    <t>13 998,92</t>
  </si>
  <si>
    <t>13 999,11</t>
  </si>
  <si>
    <t>13 867,15</t>
  </si>
  <si>
    <t>13 884,63</t>
  </si>
  <si>
    <t>13 988,56</t>
  </si>
  <si>
    <t>13 884,55</t>
  </si>
  <si>
    <t>13 926,19</t>
  </si>
  <si>
    <t>13 964,25</t>
  </si>
  <si>
    <t>13 876,96</t>
  </si>
  <si>
    <t>13 950,06</t>
  </si>
  <si>
    <t>14 048,85</t>
  </si>
  <si>
    <t>13 981,68</t>
  </si>
  <si>
    <t>13 990,58</t>
  </si>
  <si>
    <t>13 904,21</t>
  </si>
  <si>
    <t>13 911,35</t>
  </si>
  <si>
    <t>13 962,08</t>
  </si>
  <si>
    <t>13 902,56</t>
  </si>
  <si>
    <t>13 906,42</t>
  </si>
  <si>
    <t>13 940,58</t>
  </si>
  <si>
    <t>13 847,78</t>
  </si>
  <si>
    <t>13 907,86</t>
  </si>
  <si>
    <t>13 845,94</t>
  </si>
  <si>
    <t>13 895,68</t>
  </si>
  <si>
    <t>13 997,00</t>
  </si>
  <si>
    <t>13 889,20</t>
  </si>
  <si>
    <t>13 968,21</t>
  </si>
  <si>
    <t>13 978,60</t>
  </si>
  <si>
    <t>13 876,06</t>
  </si>
  <si>
    <t>13 933,46</t>
  </si>
  <si>
    <t>14 020,19</t>
  </si>
  <si>
    <t>13 927,46</t>
  </si>
  <si>
    <t>13 935,08</t>
  </si>
  <si>
    <t>14 018,08</t>
  </si>
  <si>
    <t>13 902,57</t>
  </si>
  <si>
    <t>13 908,54</t>
  </si>
  <si>
    <t>13 963,00</t>
  </si>
  <si>
    <t>13 874,26</t>
  </si>
  <si>
    <t>13 878,40</t>
  </si>
  <si>
    <t>13 983,70</t>
  </si>
  <si>
    <t>13 878,36</t>
  </si>
  <si>
    <t>13 930,79</t>
  </si>
  <si>
    <t>13 978,29</t>
  </si>
  <si>
    <t>13 923,34</t>
  </si>
  <si>
    <t>13 954,07</t>
  </si>
  <si>
    <t>13 984,12</t>
  </si>
  <si>
    <t>13 893,90</t>
  </si>
  <si>
    <t>13 928,12</t>
  </si>
  <si>
    <t>13 974,98</t>
  </si>
  <si>
    <t>13 897,90</t>
  </si>
  <si>
    <t>13 914,33</t>
  </si>
  <si>
    <t>13 921,31</t>
  </si>
  <si>
    <t>13 809,95</t>
  </si>
  <si>
    <t>13 895,42</t>
  </si>
  <si>
    <t>13 912,07</t>
  </si>
  <si>
    <t>13 803,94</t>
  </si>
  <si>
    <t>13 873,16</t>
  </si>
  <si>
    <t>13 877,62</t>
  </si>
  <si>
    <t>13 788,28</t>
  </si>
  <si>
    <t>13 820,07</t>
  </si>
  <si>
    <t>13 847,11</t>
  </si>
  <si>
    <t>13 774,80</t>
  </si>
  <si>
    <t>13 782,50</t>
  </si>
  <si>
    <t>13 848,17</t>
  </si>
  <si>
    <t>13 764,93</t>
  </si>
  <si>
    <t>13 792,96</t>
  </si>
  <si>
    <t>13 804,43</t>
  </si>
  <si>
    <t>13 745,22</t>
  </si>
  <si>
    <t>13 798,10</t>
  </si>
  <si>
    <t>13 798,11</t>
  </si>
  <si>
    <t>13 743,07</t>
  </si>
  <si>
    <t>13 781,04</t>
  </si>
  <si>
    <t>13 845,92</t>
  </si>
  <si>
    <t>13 771,30</t>
  </si>
  <si>
    <t>13 805,26</t>
  </si>
  <si>
    <t>13 813,14</t>
  </si>
  <si>
    <t>13 569,75</t>
  </si>
  <si>
    <t>13 602,42</t>
  </si>
  <si>
    <t>14 001,39</t>
  </si>
  <si>
    <t>13 527,31</t>
  </si>
  <si>
    <t>14 001,09</t>
  </si>
  <si>
    <t>14 032,60</t>
  </si>
  <si>
    <t>13 917,43</t>
  </si>
  <si>
    <t>13 977,97</t>
  </si>
  <si>
    <t>14 012,19</t>
  </si>
  <si>
    <t>13 914,08</t>
  </si>
  <si>
    <t>13 984,33</t>
  </si>
  <si>
    <t>14 129,82</t>
  </si>
  <si>
    <t>13 902,88</t>
  </si>
  <si>
    <t>13 905,07</t>
  </si>
  <si>
    <t>13 910,80</t>
  </si>
  <si>
    <t>13 773,16</t>
  </si>
  <si>
    <t>13 804,64</t>
  </si>
  <si>
    <t>13 660,65</t>
  </si>
  <si>
    <t>13 709,23</t>
  </si>
  <si>
    <t>13 561,82</t>
  </si>
  <si>
    <t>13 641,18</t>
  </si>
  <si>
    <t>13 705,54</t>
  </si>
  <si>
    <t>13 586,82</t>
  </si>
  <si>
    <t>13 602,92</t>
  </si>
  <si>
    <t>13 648,17</t>
  </si>
  <si>
    <t>13 580,23</t>
  </si>
  <si>
    <t>13 609,34</t>
  </si>
  <si>
    <t>13 652,15</t>
  </si>
  <si>
    <t>13 592,95</t>
  </si>
  <si>
    <t>13 623,01</t>
  </si>
  <si>
    <t>13 666,34</t>
  </si>
  <si>
    <t>13 553,43</t>
  </si>
  <si>
    <t>13 595,96</t>
  </si>
  <si>
    <t>13 624,07</t>
  </si>
  <si>
    <t>13 539,95</t>
  </si>
  <si>
    <t>13 585,39</t>
  </si>
  <si>
    <t>13 585,43</t>
  </si>
  <si>
    <t>13 427,60</t>
  </si>
  <si>
    <t>13 456,34</t>
  </si>
  <si>
    <t>13 483,35</t>
  </si>
  <si>
    <t>13 422,03</t>
  </si>
  <si>
    <t>13 433,94</t>
  </si>
  <si>
    <t>13 521,25</t>
  </si>
  <si>
    <t>13 428,75</t>
  </si>
  <si>
    <t>13 516,89</t>
  </si>
  <si>
    <t>13 368,02</t>
  </si>
  <si>
    <t>13 433,97</t>
  </si>
  <si>
    <t>13 296,10</t>
  </si>
  <si>
    <t>13 360,07</t>
  </si>
  <si>
    <t>13 393,69</t>
  </si>
  <si>
    <t>13 264,71</t>
  </si>
  <si>
    <t>13 348,65</t>
  </si>
  <si>
    <t>13 363,05</t>
  </si>
  <si>
    <t>13 273,40</t>
  </si>
  <si>
    <t>13 357,79</t>
  </si>
  <si>
    <t>13 367,73</t>
  </si>
  <si>
    <t>13 300,80</t>
  </si>
  <si>
    <t>13 368,64</t>
  </si>
  <si>
    <t>13 245,39</t>
  </si>
  <si>
    <t>13 295,62</t>
  </si>
  <si>
    <t>13 319,49</t>
  </si>
  <si>
    <t>13 170,42</t>
  </si>
  <si>
    <t>13 208,62</t>
  </si>
  <si>
    <t>13 252,49</t>
  </si>
  <si>
    <t>13 118,39</t>
  </si>
  <si>
    <t>13 245,01</t>
  </si>
  <si>
    <t>13 280,98</t>
  </si>
  <si>
    <t>13 196,97</t>
  </si>
  <si>
    <t>13 303,38</t>
  </si>
  <si>
    <t>13 341,43</t>
  </si>
  <si>
    <t>13 284,58</t>
  </si>
  <si>
    <t>13 301,37</t>
  </si>
  <si>
    <t>13 347,41</t>
  </si>
  <si>
    <t>13 289,10</t>
  </si>
  <si>
    <t>13 318,19</t>
  </si>
  <si>
    <t>13 352,67</t>
  </si>
  <si>
    <t>13 285,85</t>
  </si>
  <si>
    <t>13 356,07</t>
  </si>
  <si>
    <t>13 447,20</t>
  </si>
  <si>
    <t>13 344,76</t>
  </si>
  <si>
    <t>13 409,92</t>
  </si>
  <si>
    <t>13 444,52</t>
  </si>
  <si>
    <t>13 122,14</t>
  </si>
  <si>
    <t>13 125,47</t>
  </si>
  <si>
    <t>13 173,58</t>
  </si>
  <si>
    <t>13 123,99</t>
  </si>
  <si>
    <t>13 140,91</t>
  </si>
  <si>
    <t>13 188,71</t>
  </si>
  <si>
    <t>13 136,65</t>
  </si>
  <si>
    <t>13 138,13</t>
  </si>
  <si>
    <t>13 195,92</t>
  </si>
  <si>
    <t>13 135,12</t>
  </si>
  <si>
    <t>13 188,96</t>
  </si>
  <si>
    <t>13 255,67</t>
  </si>
  <si>
    <t>13 156,66</t>
  </si>
  <si>
    <t>13 162,23</t>
  </si>
  <si>
    <t>13 213,08</t>
  </si>
  <si>
    <t>13 159,02</t>
  </si>
  <si>
    <t>13 188,79</t>
  </si>
  <si>
    <t>13 211,97</t>
  </si>
  <si>
    <t>13 158,00</t>
  </si>
  <si>
    <t>13 162,89</t>
  </si>
  <si>
    <t>13 209,32</t>
  </si>
  <si>
    <t>13 154,49</t>
  </si>
  <si>
    <t>13 186,16</t>
  </si>
  <si>
    <t>13 209,85</t>
  </si>
  <si>
    <t>13 142,58</t>
  </si>
  <si>
    <t>13 159,07</t>
  </si>
  <si>
    <t>13 231,91</t>
  </si>
  <si>
    <t>13 155,83</t>
  </si>
  <si>
    <t>13 197,04</t>
  </si>
  <si>
    <t>13 277,84</t>
  </si>
  <si>
    <t>13 190,79</t>
  </si>
  <si>
    <t>13 243,90</t>
  </si>
  <si>
    <t>13 245,17</t>
  </si>
  <si>
    <t>13 011,49</t>
  </si>
  <si>
    <t>13 053,28</t>
  </si>
  <si>
    <t>13 247,64</t>
  </si>
  <si>
    <t>13 238,72</t>
  </si>
  <si>
    <t>13 345,50</t>
  </si>
  <si>
    <t>13 236,05</t>
  </si>
  <si>
    <t>13 314,09</t>
  </si>
  <si>
    <t>13 368,51</t>
  </si>
  <si>
    <t>13 310,40</t>
  </si>
  <si>
    <t>13 338,81</t>
  </si>
  <si>
    <t>13 291,30</t>
  </si>
  <si>
    <t>13 313,64</t>
  </si>
  <si>
    <t>13 383,51</t>
  </si>
  <si>
    <t>13 347,62</t>
  </si>
  <si>
    <t>13 411,53</t>
  </si>
  <si>
    <t>13 330,24</t>
  </si>
  <si>
    <t>13 374,25</t>
  </si>
  <si>
    <t>13 418,73</t>
  </si>
  <si>
    <t>13 323,96</t>
  </si>
  <si>
    <t>13 326,59</t>
  </si>
  <si>
    <t>13 386,26</t>
  </si>
  <si>
    <t>13 318,47</t>
  </si>
  <si>
    <t>13 370,70</t>
  </si>
  <si>
    <t>13 382,64</t>
  </si>
  <si>
    <t>13 314,22</t>
  </si>
  <si>
    <t>13 375,53</t>
  </si>
  <si>
    <t>13 478,67</t>
  </si>
  <si>
    <t>13 373,88</t>
  </si>
  <si>
    <t>13 392,04</t>
  </si>
  <si>
    <t>13 463,31</t>
  </si>
  <si>
    <t>13 380,02</t>
  </si>
  <si>
    <t>13 426,85</t>
  </si>
  <si>
    <t>13 495,27</t>
  </si>
  <si>
    <t>13 406,36</t>
  </si>
  <si>
    <t>13 444,34</t>
  </si>
  <si>
    <t>13 495,18</t>
  </si>
  <si>
    <t>13 405,53</t>
  </si>
  <si>
    <t>13 426,13</t>
  </si>
  <si>
    <t>13 427,56</t>
  </si>
  <si>
    <t>13 389,76</t>
  </si>
  <si>
    <t>13 411,39</t>
  </si>
  <si>
    <t>13 455,44</t>
  </si>
  <si>
    <t>13 399,26</t>
  </si>
  <si>
    <t>13 421,40</t>
  </si>
  <si>
    <t>13 521,37</t>
  </si>
  <si>
    <t>13 501,46</t>
  </si>
  <si>
    <t>13 572,97</t>
  </si>
  <si>
    <t>13 490,42</t>
  </si>
  <si>
    <t>13 541,33</t>
  </si>
  <si>
    <t>13 589,67</t>
  </si>
  <si>
    <t>13 526,28</t>
  </si>
  <si>
    <t>13 527,01</t>
  </si>
  <si>
    <t>13 555,54</t>
  </si>
  <si>
    <t>13 476,07</t>
  </si>
  <si>
    <t>13 478,23</t>
  </si>
  <si>
    <t>13 490,24</t>
  </si>
  <si>
    <t>13 396,93</t>
  </si>
  <si>
    <t>13 418,67</t>
  </si>
  <si>
    <t>13 429,43</t>
  </si>
  <si>
    <t>13 375,47</t>
  </si>
  <si>
    <t>13 382,47</t>
  </si>
  <si>
    <t>13 322,88</t>
  </si>
  <si>
    <t>13 362,48</t>
  </si>
  <si>
    <t>13 415,74</t>
  </si>
  <si>
    <t>13 279,15</t>
  </si>
  <si>
    <t>13 403,47</t>
  </si>
  <si>
    <t>13 432,00</t>
  </si>
  <si>
    <t>13 322,85</t>
  </si>
  <si>
    <t>13 387,01</t>
  </si>
  <si>
    <t>13 296,93</t>
  </si>
  <si>
    <t>13 319,36</t>
  </si>
  <si>
    <t>13 373,90</t>
  </si>
  <si>
    <t>13 306,52</t>
  </si>
  <si>
    <t>13 422,67</t>
  </si>
  <si>
    <t>13 337,33</t>
  </si>
  <si>
    <t>13 354,97</t>
  </si>
  <si>
    <t>13 361,90</t>
  </si>
  <si>
    <t>13 279,77</t>
  </si>
  <si>
    <t>13 346,81</t>
  </si>
  <si>
    <t>13 347,19</t>
  </si>
  <si>
    <t>13 280,70</t>
  </si>
  <si>
    <t>13 281,24</t>
  </si>
  <si>
    <t>13 312,37</t>
  </si>
  <si>
    <t>13 244,13</t>
  </si>
  <si>
    <t>13 246,66</t>
  </si>
  <si>
    <t>13 302,28</t>
  </si>
  <si>
    <t>13 147,47</t>
  </si>
  <si>
    <t>13 479,65</t>
  </si>
  <si>
    <t>13 453,35</t>
  </si>
  <si>
    <t>13 508,68</t>
  </si>
  <si>
    <t>13 439,14</t>
  </si>
  <si>
    <t>13 455,65</t>
  </si>
  <si>
    <t>13 371,77</t>
  </si>
  <si>
    <t>13 384,83</t>
  </si>
  <si>
    <t>13 433,28</t>
  </si>
  <si>
    <t>13 245,64</t>
  </si>
  <si>
    <t>13 362,33</t>
  </si>
  <si>
    <t>13 434,44</t>
  </si>
  <si>
    <t>13 336,27</t>
  </si>
  <si>
    <t>13 372,72</t>
  </si>
  <si>
    <t>13 400,28</t>
  </si>
  <si>
    <t>13 304,39</t>
  </si>
  <si>
    <t>13 341,29</t>
  </si>
  <si>
    <t>13 355,73</t>
  </si>
  <si>
    <t>13 212,77</t>
  </si>
  <si>
    <t>13 219,95</t>
  </si>
  <si>
    <t>13 220,08</t>
  </si>
  <si>
    <t>13 104,01</t>
  </si>
  <si>
    <t>13 118,75</t>
  </si>
  <si>
    <t>13 131,86</t>
  </si>
  <si>
    <t>13 059,82</t>
  </si>
  <si>
    <t>13 106,43</t>
  </si>
  <si>
    <t>13 017,12</t>
  </si>
  <si>
    <t>13 095,43</t>
  </si>
  <si>
    <t>13 116,23</t>
  </si>
  <si>
    <t>13 050,29</t>
  </si>
  <si>
    <t>13 053,17</t>
  </si>
  <si>
    <t>13 053,83</t>
  </si>
  <si>
    <t>12 996,01</t>
  </si>
  <si>
    <t>13 007,12</t>
  </si>
  <si>
    <t>13 058,01</t>
  </si>
  <si>
    <t>12 998,94</t>
  </si>
  <si>
    <t>13 009,23</t>
  </si>
  <si>
    <t>13 030,62</t>
  </si>
  <si>
    <t>12 958,12</t>
  </si>
  <si>
    <t>12 986,94</t>
  </si>
  <si>
    <t>13 053,74</t>
  </si>
  <si>
    <t>12 969,80</t>
  </si>
  <si>
    <t>12 981,98</t>
  </si>
  <si>
    <t>12 984,29</t>
  </si>
  <si>
    <t>12 926,67</t>
  </si>
  <si>
    <t>12 938,50</t>
  </si>
  <si>
    <t>12 993,85</t>
  </si>
  <si>
    <t>12 925,95</t>
  </si>
  <si>
    <t>12 963,23</t>
  </si>
  <si>
    <t>12 987,34</t>
  </si>
  <si>
    <t>12 950,29</t>
  </si>
  <si>
    <t>12 979,11</t>
  </si>
  <si>
    <t>13 000,83</t>
  </si>
  <si>
    <t>12 946,71</t>
  </si>
  <si>
    <t>12 977,56</t>
  </si>
  <si>
    <t>13 005,38</t>
  </si>
  <si>
    <t>12 953,80</t>
  </si>
  <si>
    <t>12 961,87</t>
  </si>
  <si>
    <t>13 054,15</t>
  </si>
  <si>
    <t>13 034,58</t>
  </si>
  <si>
    <t>13 085,63</t>
  </si>
  <si>
    <t>12 978,94</t>
  </si>
  <si>
    <t>13 139,28</t>
  </si>
  <si>
    <t>13 032,46</t>
  </si>
  <si>
    <t>13 063,68</t>
  </si>
  <si>
    <t>12 963,76</t>
  </si>
  <si>
    <t>12 968,77</t>
  </si>
  <si>
    <t>12 886,74</t>
  </si>
  <si>
    <t>12 891,82</t>
  </si>
  <si>
    <t>12 840,91</t>
  </si>
  <si>
    <t>12 846,52</t>
  </si>
  <si>
    <t>12 885,96</t>
  </si>
  <si>
    <t>12 836,00</t>
  </si>
  <si>
    <t>12 852,10</t>
  </si>
  <si>
    <t>12 910,84</t>
  </si>
  <si>
    <t>12 837,13</t>
  </si>
  <si>
    <t>12 907,46</t>
  </si>
  <si>
    <t>12 945,48</t>
  </si>
  <si>
    <t>12 856,28</t>
  </si>
  <si>
    <t>12 875,49</t>
  </si>
  <si>
    <t>12 963,46</t>
  </si>
  <si>
    <t>12 874,39</t>
  </si>
  <si>
    <t>12 935,98</t>
  </si>
  <si>
    <t>13 004,40</t>
  </si>
  <si>
    <t>12 913,67</t>
  </si>
  <si>
    <t>13 002,44</t>
  </si>
  <si>
    <t>13 043,53</t>
  </si>
  <si>
    <t>12 919,14</t>
  </si>
  <si>
    <t>13 001,70</t>
  </si>
  <si>
    <t>13 040,77</t>
  </si>
  <si>
    <t>12 974,19</t>
  </si>
  <si>
    <t>13 010,62</t>
  </si>
  <si>
    <t>13 083,11</t>
  </si>
  <si>
    <t>13 031,16</t>
  </si>
  <si>
    <t>13 146,42</t>
  </si>
  <si>
    <t>13 134,04</t>
  </si>
  <si>
    <t>13 147,96</t>
  </si>
  <si>
    <t>13 048,93</t>
  </si>
  <si>
    <t>13 098,80</t>
  </si>
  <si>
    <t>13 125,18</t>
  </si>
  <si>
    <t>13 083,28</t>
  </si>
  <si>
    <t>13 117,08</t>
  </si>
  <si>
    <t>13 119,93</t>
  </si>
  <si>
    <t>13 004,21</t>
  </si>
  <si>
    <t>13 083,17</t>
  </si>
  <si>
    <t>13 088,90</t>
  </si>
  <si>
    <t>12 986,47</t>
  </si>
  <si>
    <t>12 986,77</t>
  </si>
  <si>
    <t>13 003,39</t>
  </si>
  <si>
    <t>12 960,43</t>
  </si>
  <si>
    <t>12 961,44</t>
  </si>
  <si>
    <t>12 997,29</t>
  </si>
  <si>
    <t>12 880,34</t>
  </si>
  <si>
    <t>12 885,93</t>
  </si>
  <si>
    <t>12 936,88</t>
  </si>
  <si>
    <t>12 831,34</t>
  </si>
  <si>
    <t>12 920,11</t>
  </si>
  <si>
    <t>13 005,52</t>
  </si>
  <si>
    <t>12 871,28</t>
  </si>
  <si>
    <t>12 878,36</t>
  </si>
  <si>
    <t>12 688,20</t>
  </si>
  <si>
    <t>12 727,64</t>
  </si>
  <si>
    <t>12 759,78</t>
  </si>
  <si>
    <t>12 704,00</t>
  </si>
  <si>
    <t>12 753,91</t>
  </si>
  <si>
    <t>12 761,11</t>
  </si>
  <si>
    <t>12 698,28</t>
  </si>
  <si>
    <t>12 744,70</t>
  </si>
  <si>
    <t>12 681,85</t>
  </si>
  <si>
    <t>12 688,22</t>
  </si>
  <si>
    <t>12 716,78</t>
  </si>
  <si>
    <t>12 659,81</t>
  </si>
  <si>
    <t>12 660,87</t>
  </si>
  <si>
    <t>12 602,21</t>
  </si>
  <si>
    <t>12 625,89</t>
  </si>
  <si>
    <t>12 640,08</t>
  </si>
  <si>
    <t>12 544,84</t>
  </si>
  <si>
    <t>12 549,84</t>
  </si>
  <si>
    <t>12 613,63</t>
  </si>
  <si>
    <t>12 498,36</t>
  </si>
  <si>
    <t>12 529,24</t>
  </si>
  <si>
    <t>12 435,28</t>
  </si>
  <si>
    <t>12 442,57</t>
  </si>
  <si>
    <t>12 521,92</t>
  </si>
  <si>
    <t>12 420,38</t>
  </si>
  <si>
    <t>12 493,40</t>
  </si>
  <si>
    <t>12 535,45</t>
  </si>
  <si>
    <t>12 455,05</t>
  </si>
  <si>
    <t>12 483,92</t>
  </si>
  <si>
    <t>12 513,32</t>
  </si>
  <si>
    <t>12 445,57</t>
  </si>
  <si>
    <t>12 465,28</t>
  </si>
  <si>
    <t>12 498,05</t>
  </si>
  <si>
    <t>12 438,85</t>
  </si>
  <si>
    <t>12 445,47</t>
  </si>
  <si>
    <t>12 568,81</t>
  </si>
  <si>
    <t>12 404,31</t>
  </si>
  <si>
    <t>12 458,14</t>
  </si>
  <si>
    <t>12 711,33</t>
  </si>
  <si>
    <t>12 448,97</t>
  </si>
  <si>
    <t>12 630,78</t>
  </si>
  <si>
    <t>12 715,90</t>
  </si>
  <si>
    <t>12 619,20</t>
  </si>
  <si>
    <t>12 684,76</t>
  </si>
  <si>
    <t>12 714,28</t>
  </si>
  <si>
    <t>12 673,14</t>
  </si>
  <si>
    <t>12 706,90</t>
  </si>
  <si>
    <t>12 770,70</t>
  </si>
  <si>
    <t>12 702,89</t>
  </si>
  <si>
    <t>12 747,30</t>
  </si>
  <si>
    <t>12 783,75</t>
  </si>
  <si>
    <t>12 707,14</t>
  </si>
  <si>
    <t>12 720,69</t>
  </si>
  <si>
    <t>12 771,90</t>
  </si>
  <si>
    <t>12 683,25</t>
  </si>
  <si>
    <t>12 685,03</t>
  </si>
  <si>
    <t>12 698,75</t>
  </si>
  <si>
    <t>12 623,51</t>
  </si>
  <si>
    <t>12 646,67</t>
  </si>
  <si>
    <t>12 647,88</t>
  </si>
  <si>
    <t>12 577,97</t>
  </si>
  <si>
    <t>12 594,94</t>
  </si>
  <si>
    <t>12 603,95</t>
  </si>
  <si>
    <t>12 508,23</t>
  </si>
  <si>
    <t>12 548,37</t>
  </si>
  <si>
    <t>12 554,70</t>
  </si>
  <si>
    <t>12 445,62</t>
  </si>
  <si>
    <t>12 452,98</t>
  </si>
  <si>
    <t>12 531,46</t>
  </si>
  <si>
    <t>12 501,67</t>
  </si>
  <si>
    <t>12 513,59</t>
  </si>
  <si>
    <t>12 474,10</t>
  </si>
  <si>
    <t>12 480,21</t>
  </si>
  <si>
    <t>12 480,22</t>
  </si>
  <si>
    <t>12 405,57</t>
  </si>
  <si>
    <t>12 437,39</t>
  </si>
  <si>
    <t>12 437,88</t>
  </si>
  <si>
    <t>12 339,16</t>
  </si>
  <si>
    <t>12 382,02</t>
  </si>
  <si>
    <t>12 400,10</t>
  </si>
  <si>
    <t>12 345,93</t>
  </si>
  <si>
    <t>12 368,94</t>
  </si>
  <si>
    <t>12 380,75</t>
  </si>
  <si>
    <t>12 260,17</t>
  </si>
  <si>
    <t>12 280,03</t>
  </si>
  <si>
    <t>12 280,60</t>
  </si>
  <si>
    <t>12 218,52</t>
  </si>
  <si>
    <t>12 230,48</t>
  </si>
  <si>
    <t>12 230,55</t>
  </si>
  <si>
    <t>12 129,30</t>
  </si>
  <si>
    <t>12 141,70</t>
  </si>
  <si>
    <t>12 179,30</t>
  </si>
  <si>
    <t>12 092,63</t>
  </si>
  <si>
    <t>12 092,88</t>
  </si>
  <si>
    <t>12 136,22</t>
  </si>
  <si>
    <t>12 045,95</t>
  </si>
  <si>
    <t>12 046,61</t>
  </si>
  <si>
    <t>12 130,10</t>
  </si>
  <si>
    <t>12 103,96</t>
  </si>
  <si>
    <t>12 126,88</t>
  </si>
  <si>
    <t>12 073,85</t>
  </si>
  <si>
    <t>12 085,31</t>
  </si>
  <si>
    <t>12 181,26</t>
  </si>
  <si>
    <t>12 147,19</t>
  </si>
  <si>
    <t>12 220,48</t>
  </si>
  <si>
    <t>12 182,10</t>
  </si>
  <si>
    <t>12 245,08</t>
  </si>
  <si>
    <t>12 181,58</t>
  </si>
  <si>
    <t>12 182,82</t>
  </si>
  <si>
    <t>12 265,63</t>
  </si>
  <si>
    <t>12 246,01</t>
  </si>
  <si>
    <t>12 273,00</t>
  </si>
  <si>
    <t>12 204,50</t>
  </si>
  <si>
    <t>12 211,46</t>
  </si>
  <si>
    <t>12 215,90</t>
  </si>
  <si>
    <t>12 135,59</t>
  </si>
  <si>
    <t>12 171,59</t>
  </si>
  <si>
    <t>12 176,88</t>
  </si>
  <si>
    <t>12 119,78</t>
  </si>
  <si>
    <t>12 126,34</t>
  </si>
  <si>
    <t>12 173,22</t>
  </si>
  <si>
    <t>12 122,69</t>
  </si>
  <si>
    <t>12 134,19</t>
  </si>
  <si>
    <t>12 149,06</t>
  </si>
  <si>
    <t>12 074,14</t>
  </si>
  <si>
    <t>12 115,02</t>
  </si>
  <si>
    <t>12 155,25</t>
  </si>
  <si>
    <t>11 989,70</t>
  </si>
  <si>
    <t>11 995,29</t>
  </si>
  <si>
    <t>12 018,46</t>
  </si>
  <si>
    <t>11 936,38</t>
  </si>
  <si>
    <t>11 952,37</t>
  </si>
  <si>
    <t>11 863,48</t>
  </si>
  <si>
    <t>11 885,32</t>
  </si>
  <si>
    <t>11 824,97</t>
  </si>
  <si>
    <t>11 827,02</t>
  </si>
  <si>
    <t>11 757,60</t>
  </si>
  <si>
    <t>11 792,95</t>
  </si>
  <si>
    <t>11 718,07</t>
  </si>
  <si>
    <t>11 759,51</t>
  </si>
  <si>
    <t>11 785,10</t>
  </si>
  <si>
    <t>11 709,49</t>
  </si>
  <si>
    <t>11 728,06</t>
  </si>
  <si>
    <t>11 769,43</t>
  </si>
  <si>
    <t>11 702,27</t>
  </si>
  <si>
    <t>11 748,19</t>
  </si>
  <si>
    <t>11 818,46</t>
  </si>
  <si>
    <t>11 731,93</t>
  </si>
  <si>
    <t>11 781,56</t>
  </si>
  <si>
    <t>11 825,18</t>
  </si>
  <si>
    <t>11 754,07</t>
  </si>
  <si>
    <t>11 784,33</t>
  </si>
  <si>
    <t>11 828,51</t>
  </si>
  <si>
    <t>11 759,89</t>
  </si>
  <si>
    <t>11 775,17</t>
  </si>
  <si>
    <t>11 857,90</t>
  </si>
  <si>
    <t>11 757,50</t>
  </si>
  <si>
    <t>11 843,79</t>
  </si>
  <si>
    <t>11 958,13</t>
  </si>
  <si>
    <t>11 843,67</t>
  </si>
  <si>
    <t>11 957,67</t>
  </si>
  <si>
    <t>12 026,72</t>
  </si>
  <si>
    <t>11 954,73</t>
  </si>
  <si>
    <t>11 976,17</t>
  </si>
  <si>
    <t>12 008,81</t>
  </si>
  <si>
    <t>11 957,51</t>
  </si>
  <si>
    <t>11 999,71</t>
  </si>
  <si>
    <t>12 025,97</t>
  </si>
  <si>
    <t>11 974,80</t>
  </si>
  <si>
    <t>11 976,24</t>
  </si>
  <si>
    <t>12 000,67</t>
  </si>
  <si>
    <t>11 944,19</t>
  </si>
  <si>
    <t>11 979,47</t>
  </si>
  <si>
    <t>11 981,46</t>
  </si>
  <si>
    <t>11 916,97</t>
  </si>
  <si>
    <t>11 947,56</t>
  </si>
  <si>
    <t>11 978,41</t>
  </si>
  <si>
    <t>11 917,37</t>
  </si>
  <si>
    <t>11 969,91</t>
  </si>
  <si>
    <t>11 875,21</t>
  </si>
  <si>
    <t>11 895,49</t>
  </si>
  <si>
    <t>11 973,74</t>
  </si>
  <si>
    <t>11 874,55</t>
  </si>
  <si>
    <t>11 982,92</t>
  </si>
  <si>
    <t>11 900,52</t>
  </si>
  <si>
    <t>11 971,71</t>
  </si>
  <si>
    <t>11 973,39</t>
  </si>
  <si>
    <t>11 911,23</t>
  </si>
  <si>
    <t>11 948,60</t>
  </si>
  <si>
    <t>11 950,37</t>
  </si>
  <si>
    <t>11 884,44</t>
  </si>
  <si>
    <t>11 946,92</t>
  </si>
  <si>
    <t>11 966,77</t>
  </si>
  <si>
    <t>11 910,76</t>
  </si>
  <si>
    <t>11 961,14</t>
  </si>
  <si>
    <t>12 017,74</t>
  </si>
  <si>
    <t>11 953,14</t>
  </si>
  <si>
    <t>11 988,80</t>
  </si>
  <si>
    <t>12 008,94</t>
  </si>
  <si>
    <t>11 957,56</t>
  </si>
  <si>
    <t>11 977,33</t>
  </si>
  <si>
    <t>12 012,86</t>
  </si>
  <si>
    <t>11 943,99</t>
  </si>
  <si>
    <t>12 007,23</t>
  </si>
  <si>
    <t>12 029,74</t>
  </si>
  <si>
    <t>11 927,45</t>
  </si>
  <si>
    <t>12 032,26</t>
  </si>
  <si>
    <t>11 918,43</t>
  </si>
  <si>
    <t>12 021,64</t>
  </si>
  <si>
    <t>12 030,02</t>
  </si>
  <si>
    <t>11 906,39</t>
  </si>
  <si>
    <t>11 924,90</t>
  </si>
  <si>
    <t>12 023,34</t>
  </si>
  <si>
    <t>11 898,30</t>
  </si>
  <si>
    <t>11 987,77</t>
  </si>
  <si>
    <t>12 035,24</t>
  </si>
  <si>
    <t>11 987,59</t>
  </si>
  <si>
    <t>12 172,09</t>
  </si>
  <si>
    <t>12 034,98</t>
  </si>
  <si>
    <t>12 141,63</t>
  </si>
  <si>
    <t>12 215,25</t>
  </si>
  <si>
    <t>12 137,51</t>
  </si>
  <si>
    <t>12 211,87</t>
  </si>
  <si>
    <t>12 243,54</t>
  </si>
  <si>
    <t>12 197,47</t>
  </si>
  <si>
    <t>12 243,53</t>
  </si>
  <si>
    <t>12 145,01</t>
  </si>
  <si>
    <t>12 236,22</t>
  </si>
  <si>
    <t>12 267,97</t>
  </si>
  <si>
    <t>12 185,42</t>
  </si>
  <si>
    <t>12 262,69</t>
  </si>
  <si>
    <t>12 295,88</t>
  </si>
  <si>
    <t>12 234,37</t>
  </si>
  <si>
    <t>12 249,95</t>
  </si>
  <si>
    <t>12 283,52</t>
  </si>
  <si>
    <t>12 131,16</t>
  </si>
  <si>
    <t>12 136,49</t>
  </si>
  <si>
    <t>12 235,01</t>
  </si>
  <si>
    <t>12 136,31</t>
  </si>
  <si>
    <t>12 192,99</t>
  </si>
  <si>
    <t>12 247,48</t>
  </si>
  <si>
    <t>12 165,81</t>
  </si>
  <si>
    <t>12 237,11</t>
  </si>
  <si>
    <t>12 272,39</t>
  </si>
  <si>
    <t>12 210,53</t>
  </si>
  <si>
    <t>12 269,23</t>
  </si>
  <si>
    <t>12 278,56</t>
  </si>
  <si>
    <t>12 199,56</t>
  </si>
  <si>
    <t>12 167,95</t>
  </si>
  <si>
    <t>12 225,36</t>
  </si>
  <si>
    <t>12 252,99</t>
  </si>
  <si>
    <t>12 183,17</t>
  </si>
  <si>
    <t>12 229,44</t>
  </si>
  <si>
    <t>12 305,77</t>
  </si>
  <si>
    <t>12 194,59</t>
  </si>
  <si>
    <t>12 294,36</t>
  </si>
  <si>
    <t>12 552,70</t>
  </si>
  <si>
    <t>12 252,30</t>
  </si>
  <si>
    <t>11 660,21</t>
  </si>
  <si>
    <t>11 721,58</t>
  </si>
  <si>
    <t>11 621,20</t>
  </si>
  <si>
    <t>11 715,45</t>
  </si>
  <si>
    <t>11 854,75</t>
  </si>
  <si>
    <t>11 705,17</t>
  </si>
  <si>
    <t>11 789,09</t>
  </si>
  <si>
    <t>11 886,54</t>
  </si>
  <si>
    <t>11 785,95</t>
  </si>
  <si>
    <t>11 865,32</t>
  </si>
  <si>
    <t>11 875,39</t>
  </si>
  <si>
    <t>11 772,93</t>
  </si>
  <si>
    <t>11 853,84</t>
  </si>
  <si>
    <t>11 867,21</t>
  </si>
  <si>
    <t>11 788,69</t>
  </si>
  <si>
    <t>11 816,41</t>
  </si>
  <si>
    <t>11 717,12</t>
  </si>
  <si>
    <t>11 778,13</t>
  </si>
  <si>
    <t>11 800,73</t>
  </si>
  <si>
    <t>11 740,98</t>
  </si>
  <si>
    <t>11 769,52</t>
  </si>
  <si>
    <t>11 859,31</t>
  </si>
  <si>
    <t>11 763,17</t>
  </si>
  <si>
    <t>11 772,24</t>
  </si>
  <si>
    <t>11 857,04</t>
  </si>
  <si>
    <t>11 771,40</t>
  </si>
  <si>
    <t>11 799,28</t>
  </si>
  <si>
    <t>11 855,29</t>
  </si>
  <si>
    <t>11 754,60</t>
  </si>
  <si>
    <t>11 807,52</t>
  </si>
  <si>
    <t>11 818,34</t>
  </si>
  <si>
    <t>11 752,77</t>
  </si>
  <si>
    <t>11 769,31</t>
  </si>
  <si>
    <t>11 824,68</t>
  </si>
  <si>
    <t>11 752,62</t>
  </si>
  <si>
    <t>11 775,53</t>
  </si>
  <si>
    <t>11 786,80</t>
  </si>
  <si>
    <t>11 722,34</t>
  </si>
  <si>
    <t>11 734,78</t>
  </si>
  <si>
    <t>11 797,31</t>
  </si>
  <si>
    <t>11 704,49</t>
  </si>
  <si>
    <t>11 736,88</t>
  </si>
  <si>
    <t>11 822,68</t>
  </si>
  <si>
    <t>11 725,83</t>
  </si>
  <si>
    <t>11 789,73</t>
  </si>
  <si>
    <t>11 694,36</t>
  </si>
  <si>
    <t>11 712,37</t>
  </si>
  <si>
    <t>11 792,74</t>
  </si>
  <si>
    <t>11 707,52</t>
  </si>
  <si>
    <t>11 752,38</t>
  </si>
  <si>
    <t>11 765,22</t>
  </si>
  <si>
    <t>11 737,41</t>
  </si>
  <si>
    <t>11 745,08</t>
  </si>
  <si>
    <t>11 877,87</t>
  </si>
  <si>
    <t>11 745,05</t>
  </si>
  <si>
    <t>11 852,24</t>
  </si>
  <si>
    <t>11 911,61</t>
  </si>
  <si>
    <t>11 871,36</t>
  </si>
  <si>
    <t>11 916,00</t>
  </si>
  <si>
    <t>11 849,16</t>
  </si>
  <si>
    <t>Var_J</t>
  </si>
  <si>
    <t>SMA20</t>
  </si>
  <si>
    <t>SMA50</t>
  </si>
  <si>
    <t>SMA200</t>
  </si>
  <si>
    <t>Rend_Log</t>
  </si>
  <si>
    <t>Vol20</t>
  </si>
  <si>
    <t>PlusHaut20</t>
  </si>
  <si>
    <t>PlusBas20</t>
  </si>
  <si>
    <t>Drawdown</t>
  </si>
  <si>
    <t>Momentum20</t>
  </si>
  <si>
    <t>RSI</t>
  </si>
  <si>
    <t>EMA12</t>
  </si>
  <si>
    <t>EMA26</t>
  </si>
  <si>
    <t>MACD</t>
  </si>
  <si>
    <t>Signal</t>
  </si>
  <si>
    <t>Histogramme</t>
  </si>
  <si>
    <t>Score</t>
  </si>
  <si>
    <t>Gain</t>
  </si>
  <si>
    <t>Perte</t>
  </si>
  <si>
    <t>AvgGain14</t>
  </si>
  <si>
    <t>AvgLoss14</t>
  </si>
  <si>
    <t>RS (GM/PM)</t>
  </si>
  <si>
    <t>Le marché monte 0,57 fois plus qu'il ne baisse.</t>
  </si>
  <si>
    <t>Le marché monte 0,82 fois plus qu'il ne baisse.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</si>
</sst>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1" applyNumberFormat="1" applyFont="1"/>
    <xf numFmtId="10" fontId="0" fillId="0" borderId="0" xfId="1" applyNumberFormat="1" applyFon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43" fontId="2" fillId="2" borderId="0" xfId="2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3" fontId="0" fillId="0" borderId="0" xfId="2" applyFont="1" applyAlignment="1">
      <alignment horizontal="center" vertical="center" wrapText="1"/>
    </xf>
    <xf numFmtId="10" fontId="1" fillId="0" borderId="0" xfId="1" applyNumberFormat="1" applyAlignment="1">
      <alignment horizontal="center" vertical="center" wrapText="1"/>
    </xf>
    <xf numFmtId="43" fontId="1" fillId="0" borderId="0" xfId="2"/>
    <xf numFmtId="10" fontId="1" fillId="3" borderId="0" xfId="1" applyNumberFormat="1" applyFill="1" applyAlignment="1">
      <alignment horizontal="center" vertical="center" wrapText="1"/>
    </xf>
    <xf numFmtId="43" fontId="1" fillId="0" borderId="0" xfId="2" applyAlignment="1">
      <alignment horizontal="center" vertical="center" wrapText="1"/>
    </xf>
    <xf numFmtId="43" fontId="1" fillId="3" borderId="0" xfId="2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9" fontId="1" fillId="0" borderId="0" xfId="1" applyAlignment="1">
      <alignment horizontal="center" vertical="center" wrapText="1"/>
    </xf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0B60-511E-4438-9F01-EA48A6C77935}">
  <dimension ref="A1:C741"/>
  <sheetViews>
    <sheetView workbookViewId="0">
      <selection activeCell="F22" sqref="F22"/>
    </sheetView>
  </sheetViews>
  <sheetFormatPr baseColWidth="10" defaultRowHeight="15" x14ac:dyDescent="0.25"/>
  <cols>
    <col min="1" max="2" width="11.42578125" style="4"/>
    <col min="3" max="3" width="12" bestFit="1" customWidth="1"/>
  </cols>
  <sheetData>
    <row r="1" spans="1:3" x14ac:dyDescent="0.25">
      <c r="A1" s="4" t="s">
        <v>0</v>
      </c>
      <c r="B1" s="4" t="s">
        <v>1</v>
      </c>
    </row>
    <row r="6" spans="1:3" x14ac:dyDescent="0.25">
      <c r="A6" s="1">
        <v>46268</v>
      </c>
      <c r="B6">
        <v>18710.310000000001</v>
      </c>
    </row>
    <row r="7" spans="1:3" x14ac:dyDescent="0.25">
      <c r="A7" s="1">
        <v>46267</v>
      </c>
      <c r="B7" s="4">
        <v>18517.79</v>
      </c>
    </row>
    <row r="8" spans="1:3" x14ac:dyDescent="0.25">
      <c r="A8" s="1">
        <v>46266</v>
      </c>
      <c r="B8" s="4" t="s">
        <v>249</v>
      </c>
    </row>
    <row r="9" spans="1:3" x14ac:dyDescent="0.25">
      <c r="A9" s="1">
        <v>46265</v>
      </c>
      <c r="B9" s="4" t="s">
        <v>252</v>
      </c>
    </row>
    <row r="10" spans="1:3" x14ac:dyDescent="0.25">
      <c r="A10" s="1">
        <v>46262</v>
      </c>
      <c r="B10" s="4" t="s">
        <v>2</v>
      </c>
      <c r="C10" s="2"/>
    </row>
    <row r="11" spans="1:3" x14ac:dyDescent="0.25">
      <c r="A11" s="1">
        <v>46261</v>
      </c>
      <c r="B11" s="4" t="s">
        <v>3</v>
      </c>
      <c r="C11" s="2"/>
    </row>
    <row r="12" spans="1:3" x14ac:dyDescent="0.25">
      <c r="A12" s="1">
        <v>46258</v>
      </c>
      <c r="B12" s="4" t="s">
        <v>4</v>
      </c>
      <c r="C12" s="2"/>
    </row>
    <row r="13" spans="1:3" x14ac:dyDescent="0.25">
      <c r="A13" s="1">
        <v>46253</v>
      </c>
      <c r="B13" s="4" t="s">
        <v>5</v>
      </c>
      <c r="C13" s="2"/>
    </row>
    <row r="14" spans="1:3" x14ac:dyDescent="0.25">
      <c r="A14" s="1">
        <v>46252</v>
      </c>
      <c r="B14" s="4" t="s">
        <v>6</v>
      </c>
    </row>
    <row r="15" spans="1:3" x14ac:dyDescent="0.25">
      <c r="A15" s="1">
        <v>46251</v>
      </c>
      <c r="B15" s="4" t="s">
        <v>7</v>
      </c>
    </row>
    <row r="16" spans="1:3" x14ac:dyDescent="0.25">
      <c r="A16" s="1">
        <v>46247</v>
      </c>
      <c r="B16" s="4" t="s">
        <v>8</v>
      </c>
    </row>
    <row r="17" spans="1:2" x14ac:dyDescent="0.25">
      <c r="A17" s="1">
        <v>46246</v>
      </c>
      <c r="B17" s="4" t="s">
        <v>9</v>
      </c>
    </row>
    <row r="18" spans="1:2" x14ac:dyDescent="0.25">
      <c r="A18" s="1">
        <v>46245</v>
      </c>
      <c r="B18" s="4" t="s">
        <v>10</v>
      </c>
    </row>
    <row r="19" spans="1:2" x14ac:dyDescent="0.25">
      <c r="A19" s="1">
        <v>46244</v>
      </c>
      <c r="B19" s="4" t="s">
        <v>11</v>
      </c>
    </row>
    <row r="20" spans="1:2" x14ac:dyDescent="0.25">
      <c r="A20" s="1">
        <v>46241</v>
      </c>
      <c r="B20" s="4" t="s">
        <v>12</v>
      </c>
    </row>
    <row r="21" spans="1:2" x14ac:dyDescent="0.25">
      <c r="A21" s="1">
        <v>46240</v>
      </c>
      <c r="B21" s="4" t="s">
        <v>13</v>
      </c>
    </row>
    <row r="22" spans="1:2" x14ac:dyDescent="0.25">
      <c r="A22" s="1">
        <v>46239</v>
      </c>
      <c r="B22" s="4" t="s">
        <v>14</v>
      </c>
    </row>
    <row r="23" spans="1:2" x14ac:dyDescent="0.25">
      <c r="A23" s="1">
        <v>46238</v>
      </c>
      <c r="B23" s="4" t="s">
        <v>15</v>
      </c>
    </row>
    <row r="24" spans="1:2" x14ac:dyDescent="0.25">
      <c r="A24" s="1">
        <v>46237</v>
      </c>
      <c r="B24" s="4" t="s">
        <v>16</v>
      </c>
    </row>
    <row r="25" spans="1:2" x14ac:dyDescent="0.25">
      <c r="A25" s="1">
        <v>46234</v>
      </c>
      <c r="B25" s="4" t="s">
        <v>17</v>
      </c>
    </row>
    <row r="26" spans="1:2" x14ac:dyDescent="0.25">
      <c r="A26" s="1">
        <v>46232</v>
      </c>
      <c r="B26" s="4" t="s">
        <v>18</v>
      </c>
    </row>
    <row r="27" spans="1:2" x14ac:dyDescent="0.25">
      <c r="A27" s="1">
        <v>46231</v>
      </c>
      <c r="B27" s="4" t="s">
        <v>19</v>
      </c>
    </row>
    <row r="28" spans="1:2" x14ac:dyDescent="0.25">
      <c r="A28" s="1">
        <v>46230</v>
      </c>
      <c r="B28" s="4" t="s">
        <v>20</v>
      </c>
    </row>
    <row r="29" spans="1:2" x14ac:dyDescent="0.25">
      <c r="A29" s="1">
        <v>46227</v>
      </c>
      <c r="B29" s="4" t="s">
        <v>21</v>
      </c>
    </row>
    <row r="30" spans="1:2" x14ac:dyDescent="0.25">
      <c r="A30" s="1">
        <v>46226</v>
      </c>
      <c r="B30" s="4" t="s">
        <v>22</v>
      </c>
    </row>
    <row r="31" spans="1:2" x14ac:dyDescent="0.25">
      <c r="A31" s="1">
        <v>46225</v>
      </c>
      <c r="B31" s="4" t="s">
        <v>23</v>
      </c>
    </row>
    <row r="32" spans="1:2" x14ac:dyDescent="0.25">
      <c r="A32" s="1">
        <v>46224</v>
      </c>
      <c r="B32" s="4" t="s">
        <v>24</v>
      </c>
    </row>
    <row r="33" spans="1:3" x14ac:dyDescent="0.25">
      <c r="A33" s="1">
        <v>46223</v>
      </c>
      <c r="B33" s="4" t="s">
        <v>25</v>
      </c>
    </row>
    <row r="34" spans="1:3" x14ac:dyDescent="0.25">
      <c r="A34" s="1">
        <v>46220</v>
      </c>
      <c r="B34" s="4" t="s">
        <v>26</v>
      </c>
    </row>
    <row r="35" spans="1:3" x14ac:dyDescent="0.25">
      <c r="A35" s="1">
        <v>46219</v>
      </c>
      <c r="B35" s="4" t="s">
        <v>27</v>
      </c>
    </row>
    <row r="36" spans="1:3" x14ac:dyDescent="0.25">
      <c r="A36" s="1">
        <v>46218</v>
      </c>
      <c r="B36" s="4" t="s">
        <v>28</v>
      </c>
    </row>
    <row r="37" spans="1:3" x14ac:dyDescent="0.25">
      <c r="A37" s="1">
        <v>46217</v>
      </c>
      <c r="B37" s="4" t="s">
        <v>29</v>
      </c>
    </row>
    <row r="38" spans="1:3" x14ac:dyDescent="0.25">
      <c r="A38" s="1">
        <v>46216</v>
      </c>
      <c r="B38" s="4" t="s">
        <v>30</v>
      </c>
    </row>
    <row r="39" spans="1:3" x14ac:dyDescent="0.25">
      <c r="A39" s="1">
        <v>46213</v>
      </c>
      <c r="B39" s="4" t="s">
        <v>31</v>
      </c>
    </row>
    <row r="40" spans="1:3" x14ac:dyDescent="0.25">
      <c r="A40" s="1">
        <v>46212</v>
      </c>
      <c r="B40" s="4" t="s">
        <v>32</v>
      </c>
    </row>
    <row r="41" spans="1:3" x14ac:dyDescent="0.25">
      <c r="A41" s="1">
        <v>46211</v>
      </c>
      <c r="B41" s="4" t="s">
        <v>33</v>
      </c>
    </row>
    <row r="42" spans="1:3" x14ac:dyDescent="0.25">
      <c r="A42" s="1">
        <v>46210</v>
      </c>
      <c r="B42" s="4" t="s">
        <v>34</v>
      </c>
      <c r="C42" s="3"/>
    </row>
    <row r="43" spans="1:3" x14ac:dyDescent="0.25">
      <c r="A43" s="1">
        <v>46209</v>
      </c>
      <c r="B43" s="4" t="s">
        <v>35</v>
      </c>
    </row>
    <row r="44" spans="1:3" x14ac:dyDescent="0.25">
      <c r="A44" s="1">
        <v>46206</v>
      </c>
      <c r="B44" s="4" t="s">
        <v>36</v>
      </c>
    </row>
    <row r="45" spans="1:3" x14ac:dyDescent="0.25">
      <c r="A45" s="1">
        <v>46205</v>
      </c>
      <c r="B45" s="4" t="s">
        <v>37</v>
      </c>
    </row>
    <row r="46" spans="1:3" x14ac:dyDescent="0.25">
      <c r="A46" s="1">
        <v>46204</v>
      </c>
      <c r="B46" s="4" t="s">
        <v>38</v>
      </c>
    </row>
    <row r="47" spans="1:3" x14ac:dyDescent="0.25">
      <c r="A47" s="1">
        <v>46203</v>
      </c>
      <c r="B47" s="4" t="s">
        <v>321</v>
      </c>
    </row>
    <row r="48" spans="1:3" x14ac:dyDescent="0.25">
      <c r="A48" s="1">
        <v>46202</v>
      </c>
      <c r="B48" s="4" t="s">
        <v>39</v>
      </c>
    </row>
    <row r="49" spans="1:2" x14ac:dyDescent="0.25">
      <c r="A49" s="1">
        <v>46199</v>
      </c>
      <c r="B49" s="4" t="s">
        <v>40</v>
      </c>
    </row>
    <row r="50" spans="1:2" x14ac:dyDescent="0.25">
      <c r="A50" s="1">
        <v>46198</v>
      </c>
      <c r="B50" s="4" t="s">
        <v>41</v>
      </c>
    </row>
    <row r="51" spans="1:2" x14ac:dyDescent="0.25">
      <c r="A51" s="1">
        <v>46197</v>
      </c>
      <c r="B51" s="4" t="s">
        <v>42</v>
      </c>
    </row>
    <row r="52" spans="1:2" x14ac:dyDescent="0.25">
      <c r="A52" s="1">
        <v>46196</v>
      </c>
      <c r="B52" s="4" t="s">
        <v>43</v>
      </c>
    </row>
    <row r="53" spans="1:2" x14ac:dyDescent="0.25">
      <c r="A53" s="1">
        <v>46195</v>
      </c>
      <c r="B53" s="4" t="s">
        <v>44</v>
      </c>
    </row>
    <row r="54" spans="1:2" x14ac:dyDescent="0.25">
      <c r="A54" s="1">
        <v>46192</v>
      </c>
      <c r="B54" s="4" t="s">
        <v>45</v>
      </c>
    </row>
    <row r="55" spans="1:2" x14ac:dyDescent="0.25">
      <c r="A55" s="1">
        <v>46191</v>
      </c>
      <c r="B55" s="4" t="s">
        <v>46</v>
      </c>
    </row>
    <row r="56" spans="1:2" x14ac:dyDescent="0.25">
      <c r="A56" s="1">
        <v>46189</v>
      </c>
      <c r="B56" s="4" t="s">
        <v>47</v>
      </c>
    </row>
    <row r="57" spans="1:2" x14ac:dyDescent="0.25">
      <c r="A57" s="1">
        <v>46188</v>
      </c>
      <c r="B57" s="4" t="s">
        <v>48</v>
      </c>
    </row>
    <row r="58" spans="1:2" x14ac:dyDescent="0.25">
      <c r="A58" s="1">
        <v>46185</v>
      </c>
      <c r="B58" s="4" t="s">
        <v>49</v>
      </c>
    </row>
    <row r="59" spans="1:2" x14ac:dyDescent="0.25">
      <c r="A59" s="1">
        <v>46184</v>
      </c>
      <c r="B59" s="4" t="s">
        <v>50</v>
      </c>
    </row>
    <row r="60" spans="1:2" x14ac:dyDescent="0.25">
      <c r="A60" s="1">
        <v>46183</v>
      </c>
      <c r="B60" s="4" t="s">
        <v>51</v>
      </c>
    </row>
    <row r="61" spans="1:2" x14ac:dyDescent="0.25">
      <c r="A61" s="1">
        <v>46182</v>
      </c>
      <c r="B61" s="4" t="s">
        <v>52</v>
      </c>
    </row>
    <row r="62" spans="1:2" x14ac:dyDescent="0.25">
      <c r="A62" s="1">
        <v>46181</v>
      </c>
      <c r="B62" s="4" t="s">
        <v>53</v>
      </c>
    </row>
    <row r="63" spans="1:2" x14ac:dyDescent="0.25">
      <c r="A63" s="1">
        <v>46178</v>
      </c>
      <c r="B63" s="4" t="s">
        <v>54</v>
      </c>
    </row>
    <row r="64" spans="1:2" x14ac:dyDescent="0.25">
      <c r="A64" s="1">
        <v>46177</v>
      </c>
      <c r="B64" s="4" t="s">
        <v>55</v>
      </c>
    </row>
    <row r="65" spans="1:2" x14ac:dyDescent="0.25">
      <c r="A65" s="1">
        <v>46176</v>
      </c>
      <c r="B65" s="4" t="s">
        <v>56</v>
      </c>
    </row>
    <row r="66" spans="1:2" x14ac:dyDescent="0.25">
      <c r="A66" s="1">
        <v>46175</v>
      </c>
      <c r="B66" s="4" t="s">
        <v>57</v>
      </c>
    </row>
    <row r="67" spans="1:2" x14ac:dyDescent="0.25">
      <c r="A67" s="1">
        <v>46174</v>
      </c>
      <c r="B67" s="4" t="s">
        <v>58</v>
      </c>
    </row>
    <row r="68" spans="1:2" x14ac:dyDescent="0.25">
      <c r="A68" s="1">
        <v>46168</v>
      </c>
      <c r="B68" s="4" t="s">
        <v>59</v>
      </c>
    </row>
    <row r="69" spans="1:2" x14ac:dyDescent="0.25">
      <c r="A69" s="1">
        <v>46167</v>
      </c>
      <c r="B69" s="4" t="s">
        <v>60</v>
      </c>
    </row>
    <row r="70" spans="1:2" x14ac:dyDescent="0.25">
      <c r="A70" s="1">
        <v>46164</v>
      </c>
      <c r="B70" s="4" t="s">
        <v>61</v>
      </c>
    </row>
    <row r="71" spans="1:2" x14ac:dyDescent="0.25">
      <c r="A71" s="1">
        <v>46163</v>
      </c>
      <c r="B71" s="4" t="s">
        <v>62</v>
      </c>
    </row>
    <row r="72" spans="1:2" x14ac:dyDescent="0.25">
      <c r="A72" s="1">
        <v>46162</v>
      </c>
      <c r="B72" s="4" t="s">
        <v>63</v>
      </c>
    </row>
    <row r="73" spans="1:2" x14ac:dyDescent="0.25">
      <c r="A73" s="1">
        <v>46161</v>
      </c>
      <c r="B73" s="4" t="s">
        <v>64</v>
      </c>
    </row>
    <row r="74" spans="1:2" x14ac:dyDescent="0.25">
      <c r="A74" s="1">
        <v>46160</v>
      </c>
      <c r="B74" s="4" t="s">
        <v>65</v>
      </c>
    </row>
    <row r="75" spans="1:2" x14ac:dyDescent="0.25">
      <c r="A75" s="1">
        <v>46157</v>
      </c>
      <c r="B75" s="4" t="s">
        <v>66</v>
      </c>
    </row>
    <row r="76" spans="1:2" x14ac:dyDescent="0.25">
      <c r="A76" s="1">
        <v>46156</v>
      </c>
      <c r="B76" s="4" t="s">
        <v>67</v>
      </c>
    </row>
    <row r="77" spans="1:2" x14ac:dyDescent="0.25">
      <c r="A77" s="1">
        <v>46155</v>
      </c>
      <c r="B77" s="4" t="s">
        <v>68</v>
      </c>
    </row>
    <row r="78" spans="1:2" x14ac:dyDescent="0.25">
      <c r="A78" s="1">
        <v>46154</v>
      </c>
      <c r="B78" s="4" t="s">
        <v>69</v>
      </c>
    </row>
    <row r="79" spans="1:2" x14ac:dyDescent="0.25">
      <c r="A79" s="1">
        <v>46153</v>
      </c>
      <c r="B79" s="4" t="s">
        <v>70</v>
      </c>
    </row>
    <row r="80" spans="1:2" x14ac:dyDescent="0.25">
      <c r="A80" s="1">
        <v>46150</v>
      </c>
      <c r="B80" s="4" t="s">
        <v>71</v>
      </c>
    </row>
    <row r="81" spans="1:2" x14ac:dyDescent="0.25">
      <c r="A81" s="1">
        <v>46149</v>
      </c>
      <c r="B81" s="4" t="s">
        <v>72</v>
      </c>
    </row>
    <row r="82" spans="1:2" x14ac:dyDescent="0.25">
      <c r="A82" s="1">
        <v>46148</v>
      </c>
      <c r="B82" s="4" t="s">
        <v>73</v>
      </c>
    </row>
    <row r="83" spans="1:2" x14ac:dyDescent="0.25">
      <c r="A83" s="1">
        <v>46147</v>
      </c>
      <c r="B83" s="4" t="s">
        <v>74</v>
      </c>
    </row>
    <row r="84" spans="1:2" x14ac:dyDescent="0.25">
      <c r="A84" s="1">
        <v>46146</v>
      </c>
      <c r="B84" s="4" t="s">
        <v>75</v>
      </c>
    </row>
    <row r="85" spans="1:2" x14ac:dyDescent="0.25">
      <c r="A85" s="1">
        <v>46142</v>
      </c>
      <c r="B85" s="4" t="s">
        <v>76</v>
      </c>
    </row>
    <row r="86" spans="1:2" x14ac:dyDescent="0.25">
      <c r="A86" s="1">
        <v>46141</v>
      </c>
      <c r="B86" s="4" t="s">
        <v>77</v>
      </c>
    </row>
    <row r="87" spans="1:2" x14ac:dyDescent="0.25">
      <c r="A87" s="1">
        <v>46140</v>
      </c>
      <c r="B87" s="4" t="s">
        <v>78</v>
      </c>
    </row>
    <row r="88" spans="1:2" x14ac:dyDescent="0.25">
      <c r="A88" s="1">
        <v>46139</v>
      </c>
      <c r="B88" s="4" t="s">
        <v>79</v>
      </c>
    </row>
    <row r="89" spans="1:2" x14ac:dyDescent="0.25">
      <c r="A89" s="1">
        <v>46136</v>
      </c>
      <c r="B89" s="4" t="s">
        <v>80</v>
      </c>
    </row>
    <row r="90" spans="1:2" x14ac:dyDescent="0.25">
      <c r="A90" s="1">
        <v>46135</v>
      </c>
      <c r="B90" s="4" t="s">
        <v>81</v>
      </c>
    </row>
    <row r="91" spans="1:2" x14ac:dyDescent="0.25">
      <c r="A91" s="1">
        <v>46134</v>
      </c>
      <c r="B91" s="4" t="s">
        <v>82</v>
      </c>
    </row>
    <row r="92" spans="1:2" x14ac:dyDescent="0.25">
      <c r="A92" s="1">
        <v>46133</v>
      </c>
      <c r="B92" s="4" t="s">
        <v>83</v>
      </c>
    </row>
    <row r="93" spans="1:2" x14ac:dyDescent="0.25">
      <c r="A93" s="1">
        <v>46132</v>
      </c>
      <c r="B93" s="4" t="s">
        <v>84</v>
      </c>
    </row>
    <row r="94" spans="1:2" x14ac:dyDescent="0.25">
      <c r="A94" s="1">
        <v>46129</v>
      </c>
      <c r="B94" s="4" t="s">
        <v>85</v>
      </c>
    </row>
    <row r="95" spans="1:2" x14ac:dyDescent="0.25">
      <c r="A95" s="1">
        <v>46128</v>
      </c>
      <c r="B95" s="4" t="s">
        <v>86</v>
      </c>
    </row>
    <row r="96" spans="1:2" x14ac:dyDescent="0.25">
      <c r="A96" s="1">
        <v>46127</v>
      </c>
      <c r="B96" s="4" t="s">
        <v>87</v>
      </c>
    </row>
    <row r="97" spans="1:2" x14ac:dyDescent="0.25">
      <c r="A97" s="1">
        <v>46126</v>
      </c>
      <c r="B97" s="4" t="s">
        <v>88</v>
      </c>
    </row>
    <row r="98" spans="1:2" x14ac:dyDescent="0.25">
      <c r="A98" s="1">
        <v>46125</v>
      </c>
      <c r="B98" s="4" t="s">
        <v>89</v>
      </c>
    </row>
    <row r="99" spans="1:2" x14ac:dyDescent="0.25">
      <c r="A99" s="1">
        <v>46122</v>
      </c>
      <c r="B99" s="4" t="s">
        <v>90</v>
      </c>
    </row>
    <row r="100" spans="1:2" x14ac:dyDescent="0.25">
      <c r="A100" s="1">
        <v>46121</v>
      </c>
      <c r="B100" s="4" t="s">
        <v>91</v>
      </c>
    </row>
    <row r="101" spans="1:2" x14ac:dyDescent="0.25">
      <c r="A101" s="1">
        <v>46120</v>
      </c>
      <c r="B101" s="4" t="s">
        <v>92</v>
      </c>
    </row>
    <row r="102" spans="1:2" x14ac:dyDescent="0.25">
      <c r="A102" s="1">
        <v>46119</v>
      </c>
      <c r="B102" s="4" t="s">
        <v>93</v>
      </c>
    </row>
    <row r="103" spans="1:2" x14ac:dyDescent="0.25">
      <c r="A103" s="1">
        <v>46118</v>
      </c>
      <c r="B103" s="4" t="s">
        <v>94</v>
      </c>
    </row>
    <row r="104" spans="1:2" x14ac:dyDescent="0.25">
      <c r="A104" s="1">
        <v>46115</v>
      </c>
      <c r="B104" s="4" t="s">
        <v>95</v>
      </c>
    </row>
    <row r="105" spans="1:2" x14ac:dyDescent="0.25">
      <c r="A105" s="1">
        <v>46114</v>
      </c>
      <c r="B105" s="4" t="s">
        <v>96</v>
      </c>
    </row>
    <row r="106" spans="1:2" x14ac:dyDescent="0.25">
      <c r="A106" s="1">
        <v>46113</v>
      </c>
      <c r="B106" s="4" t="s">
        <v>97</v>
      </c>
    </row>
    <row r="107" spans="1:2" x14ac:dyDescent="0.25">
      <c r="A107" s="1">
        <v>46112</v>
      </c>
      <c r="B107" s="4" t="s">
        <v>98</v>
      </c>
    </row>
    <row r="108" spans="1:2" x14ac:dyDescent="0.25">
      <c r="A108" s="1">
        <v>46111</v>
      </c>
      <c r="B108" s="4" t="s">
        <v>99</v>
      </c>
    </row>
    <row r="109" spans="1:2" x14ac:dyDescent="0.25">
      <c r="A109" s="1">
        <v>46108</v>
      </c>
      <c r="B109" s="4" t="s">
        <v>100</v>
      </c>
    </row>
    <row r="110" spans="1:2" x14ac:dyDescent="0.25">
      <c r="A110" s="1">
        <v>46107</v>
      </c>
      <c r="B110" s="4" t="s">
        <v>101</v>
      </c>
    </row>
    <row r="111" spans="1:2" x14ac:dyDescent="0.25">
      <c r="A111" s="1">
        <v>46106</v>
      </c>
      <c r="B111" s="4" t="s">
        <v>102</v>
      </c>
    </row>
    <row r="112" spans="1:2" x14ac:dyDescent="0.25">
      <c r="A112" s="1">
        <v>46105</v>
      </c>
      <c r="B112" s="4" t="s">
        <v>103</v>
      </c>
    </row>
    <row r="113" spans="1:2" x14ac:dyDescent="0.25">
      <c r="A113" s="1">
        <v>46100</v>
      </c>
      <c r="B113" s="4" t="s">
        <v>104</v>
      </c>
    </row>
    <row r="114" spans="1:2" x14ac:dyDescent="0.25">
      <c r="A114" s="1">
        <v>46099</v>
      </c>
      <c r="B114" s="4" t="s">
        <v>105</v>
      </c>
    </row>
    <row r="115" spans="1:2" x14ac:dyDescent="0.25">
      <c r="A115" s="1">
        <v>46098</v>
      </c>
      <c r="B115" s="4" t="s">
        <v>106</v>
      </c>
    </row>
    <row r="116" spans="1:2" x14ac:dyDescent="0.25">
      <c r="A116" s="1">
        <v>46097</v>
      </c>
      <c r="B116" s="4" t="s">
        <v>107</v>
      </c>
    </row>
    <row r="117" spans="1:2" x14ac:dyDescent="0.25">
      <c r="A117" s="1">
        <v>46094</v>
      </c>
      <c r="B117" s="4" t="s">
        <v>108</v>
      </c>
    </row>
    <row r="118" spans="1:2" x14ac:dyDescent="0.25">
      <c r="A118" s="1">
        <v>46093</v>
      </c>
      <c r="B118" s="4" t="s">
        <v>109</v>
      </c>
    </row>
    <row r="119" spans="1:2" x14ac:dyDescent="0.25">
      <c r="A119" s="1">
        <v>46092</v>
      </c>
      <c r="B119" s="4" t="s">
        <v>110</v>
      </c>
    </row>
    <row r="120" spans="1:2" x14ac:dyDescent="0.25">
      <c r="A120" s="1">
        <v>46091</v>
      </c>
      <c r="B120" s="4" t="s">
        <v>111</v>
      </c>
    </row>
    <row r="121" spans="1:2" x14ac:dyDescent="0.25">
      <c r="A121" s="1">
        <v>46090</v>
      </c>
      <c r="B121" s="4" t="s">
        <v>112</v>
      </c>
    </row>
    <row r="122" spans="1:2" x14ac:dyDescent="0.25">
      <c r="A122" s="1">
        <v>46087</v>
      </c>
      <c r="B122" s="4" t="s">
        <v>113</v>
      </c>
    </row>
    <row r="123" spans="1:2" x14ac:dyDescent="0.25">
      <c r="A123" s="1">
        <v>46086</v>
      </c>
      <c r="B123" s="4" t="s">
        <v>114</v>
      </c>
    </row>
    <row r="124" spans="1:2" x14ac:dyDescent="0.25">
      <c r="A124" s="1">
        <v>46085</v>
      </c>
      <c r="B124" s="4" t="s">
        <v>115</v>
      </c>
    </row>
    <row r="125" spans="1:2" x14ac:dyDescent="0.25">
      <c r="A125" s="1">
        <v>46084</v>
      </c>
      <c r="B125" s="4" t="s">
        <v>116</v>
      </c>
    </row>
    <row r="126" spans="1:2" x14ac:dyDescent="0.25">
      <c r="A126" s="1">
        <v>46083</v>
      </c>
      <c r="B126" s="4" t="s">
        <v>117</v>
      </c>
    </row>
    <row r="127" spans="1:2" x14ac:dyDescent="0.25">
      <c r="A127" s="1">
        <v>46080</v>
      </c>
      <c r="B127" s="4" t="s">
        <v>118</v>
      </c>
    </row>
    <row r="128" spans="1:2" x14ac:dyDescent="0.25">
      <c r="A128" s="1">
        <v>46079</v>
      </c>
      <c r="B128" s="4" t="s">
        <v>119</v>
      </c>
    </row>
    <row r="129" spans="1:2" x14ac:dyDescent="0.25">
      <c r="A129" s="1">
        <v>46078</v>
      </c>
      <c r="B129" s="4" t="s">
        <v>120</v>
      </c>
    </row>
    <row r="130" spans="1:2" x14ac:dyDescent="0.25">
      <c r="A130" s="1">
        <v>46077</v>
      </c>
      <c r="B130" s="4" t="s">
        <v>121</v>
      </c>
    </row>
    <row r="131" spans="1:2" x14ac:dyDescent="0.25">
      <c r="A131" s="1">
        <v>46076</v>
      </c>
      <c r="B131" s="4" t="s">
        <v>122</v>
      </c>
    </row>
    <row r="132" spans="1:2" x14ac:dyDescent="0.25">
      <c r="A132" s="1">
        <v>46073</v>
      </c>
      <c r="B132" s="4" t="s">
        <v>123</v>
      </c>
    </row>
    <row r="133" spans="1:2" x14ac:dyDescent="0.25">
      <c r="A133" s="1">
        <v>46072</v>
      </c>
      <c r="B133" s="4" t="s">
        <v>124</v>
      </c>
    </row>
    <row r="134" spans="1:2" x14ac:dyDescent="0.25">
      <c r="A134" s="1">
        <v>46071</v>
      </c>
      <c r="B134" s="4" t="s">
        <v>125</v>
      </c>
    </row>
    <row r="135" spans="1:2" x14ac:dyDescent="0.25">
      <c r="A135" s="1">
        <v>46070</v>
      </c>
      <c r="B135" s="4" t="s">
        <v>126</v>
      </c>
    </row>
    <row r="136" spans="1:2" x14ac:dyDescent="0.25">
      <c r="A136" s="1">
        <v>46069</v>
      </c>
      <c r="B136" s="4" t="s">
        <v>127</v>
      </c>
    </row>
    <row r="137" spans="1:2" x14ac:dyDescent="0.25">
      <c r="A137" s="1">
        <v>46066</v>
      </c>
      <c r="B137" s="4" t="s">
        <v>128</v>
      </c>
    </row>
    <row r="138" spans="1:2" x14ac:dyDescent="0.25">
      <c r="A138" s="1">
        <v>46065</v>
      </c>
      <c r="B138" s="4" t="s">
        <v>129</v>
      </c>
    </row>
    <row r="139" spans="1:2" x14ac:dyDescent="0.25">
      <c r="A139" s="1">
        <v>46064</v>
      </c>
      <c r="B139" s="4" t="s">
        <v>130</v>
      </c>
    </row>
    <row r="140" spans="1:2" x14ac:dyDescent="0.25">
      <c r="A140" s="1">
        <v>46063</v>
      </c>
      <c r="B140" s="4" t="s">
        <v>131</v>
      </c>
    </row>
    <row r="141" spans="1:2" x14ac:dyDescent="0.25">
      <c r="A141" s="1">
        <v>46062</v>
      </c>
      <c r="B141" s="4" t="s">
        <v>132</v>
      </c>
    </row>
    <row r="142" spans="1:2" x14ac:dyDescent="0.25">
      <c r="A142" s="1">
        <v>46059</v>
      </c>
      <c r="B142" s="4" t="s">
        <v>133</v>
      </c>
    </row>
    <row r="143" spans="1:2" x14ac:dyDescent="0.25">
      <c r="A143" s="1">
        <v>46058</v>
      </c>
      <c r="B143" s="4" t="s">
        <v>134</v>
      </c>
    </row>
    <row r="144" spans="1:2" x14ac:dyDescent="0.25">
      <c r="A144" s="1">
        <v>46057</v>
      </c>
      <c r="B144" s="4" t="s">
        <v>135</v>
      </c>
    </row>
    <row r="145" spans="1:2" x14ac:dyDescent="0.25">
      <c r="A145" s="1">
        <v>46056</v>
      </c>
      <c r="B145" s="4" t="s">
        <v>136</v>
      </c>
    </row>
    <row r="146" spans="1:2" x14ac:dyDescent="0.25">
      <c r="A146" s="1">
        <v>46055</v>
      </c>
      <c r="B146" s="4" t="s">
        <v>137</v>
      </c>
    </row>
    <row r="147" spans="1:2" x14ac:dyDescent="0.25">
      <c r="A147" s="1">
        <v>46052</v>
      </c>
      <c r="B147" s="4" t="s">
        <v>138</v>
      </c>
    </row>
    <row r="148" spans="1:2" x14ac:dyDescent="0.25">
      <c r="A148" s="1">
        <v>46051</v>
      </c>
      <c r="B148" s="4" t="s">
        <v>139</v>
      </c>
    </row>
    <row r="149" spans="1:2" x14ac:dyDescent="0.25">
      <c r="A149" s="1">
        <v>46050</v>
      </c>
      <c r="B149" s="4" t="s">
        <v>140</v>
      </c>
    </row>
    <row r="150" spans="1:2" x14ac:dyDescent="0.25">
      <c r="A150" s="1">
        <v>46049</v>
      </c>
      <c r="B150" s="4" t="s">
        <v>141</v>
      </c>
    </row>
    <row r="151" spans="1:2" x14ac:dyDescent="0.25">
      <c r="A151" s="1">
        <v>46048</v>
      </c>
      <c r="B151" s="4" t="s">
        <v>142</v>
      </c>
    </row>
    <row r="152" spans="1:2" x14ac:dyDescent="0.25">
      <c r="A152" s="1">
        <v>46045</v>
      </c>
      <c r="B152" s="4" t="s">
        <v>143</v>
      </c>
    </row>
    <row r="153" spans="1:2" x14ac:dyDescent="0.25">
      <c r="A153" s="1">
        <v>46044</v>
      </c>
      <c r="B153" s="4" t="s">
        <v>144</v>
      </c>
    </row>
    <row r="154" spans="1:2" x14ac:dyDescent="0.25">
      <c r="A154" s="1">
        <v>46043</v>
      </c>
      <c r="B154" s="4" t="s">
        <v>145</v>
      </c>
    </row>
    <row r="155" spans="1:2" x14ac:dyDescent="0.25">
      <c r="A155" s="1">
        <v>46042</v>
      </c>
      <c r="B155" s="4" t="s">
        <v>146</v>
      </c>
    </row>
    <row r="156" spans="1:2" x14ac:dyDescent="0.25">
      <c r="A156" s="1">
        <v>46041</v>
      </c>
      <c r="B156" s="4" t="s">
        <v>147</v>
      </c>
    </row>
    <row r="157" spans="1:2" x14ac:dyDescent="0.25">
      <c r="A157" s="1">
        <v>46038</v>
      </c>
      <c r="B157" s="4" t="s">
        <v>148</v>
      </c>
    </row>
    <row r="158" spans="1:2" x14ac:dyDescent="0.25">
      <c r="A158" s="1">
        <v>46037</v>
      </c>
      <c r="B158" s="4" t="s">
        <v>149</v>
      </c>
    </row>
    <row r="159" spans="1:2" x14ac:dyDescent="0.25">
      <c r="A159" s="1">
        <v>46035</v>
      </c>
      <c r="B159" s="4" t="s">
        <v>150</v>
      </c>
    </row>
    <row r="160" spans="1:2" x14ac:dyDescent="0.25">
      <c r="A160" s="1">
        <v>46034</v>
      </c>
      <c r="B160" s="4" t="s">
        <v>151</v>
      </c>
    </row>
    <row r="161" spans="1:2" x14ac:dyDescent="0.25">
      <c r="A161" s="1">
        <v>46031</v>
      </c>
      <c r="B161" s="4" t="s">
        <v>152</v>
      </c>
    </row>
    <row r="162" spans="1:2" x14ac:dyDescent="0.25">
      <c r="A162" s="1">
        <v>46030</v>
      </c>
      <c r="B162" s="4" t="s">
        <v>153</v>
      </c>
    </row>
    <row r="163" spans="1:2" x14ac:dyDescent="0.25">
      <c r="A163" s="1">
        <v>46029</v>
      </c>
      <c r="B163" s="4" t="s">
        <v>154</v>
      </c>
    </row>
    <row r="164" spans="1:2" x14ac:dyDescent="0.25">
      <c r="A164" s="1">
        <v>46028</v>
      </c>
      <c r="B164" s="4" t="s">
        <v>155</v>
      </c>
    </row>
    <row r="165" spans="1:2" x14ac:dyDescent="0.25">
      <c r="A165" s="1">
        <v>46027</v>
      </c>
      <c r="B165" s="4" t="s">
        <v>156</v>
      </c>
    </row>
    <row r="166" spans="1:2" x14ac:dyDescent="0.25">
      <c r="A166" s="1">
        <v>46024</v>
      </c>
      <c r="B166" s="4" t="s">
        <v>157</v>
      </c>
    </row>
    <row r="167" spans="1:2" x14ac:dyDescent="0.25">
      <c r="A167" s="1">
        <v>46022</v>
      </c>
      <c r="B167" s="4" t="s">
        <v>158</v>
      </c>
    </row>
    <row r="168" spans="1:2" x14ac:dyDescent="0.25">
      <c r="A168" s="1">
        <v>46021</v>
      </c>
      <c r="B168" s="4" t="s">
        <v>159</v>
      </c>
    </row>
    <row r="169" spans="1:2" x14ac:dyDescent="0.25">
      <c r="A169" s="1">
        <v>46020</v>
      </c>
      <c r="B169" s="4" t="s">
        <v>160</v>
      </c>
    </row>
    <row r="170" spans="1:2" x14ac:dyDescent="0.25">
      <c r="A170" s="1">
        <v>46017</v>
      </c>
      <c r="B170" s="4" t="s">
        <v>161</v>
      </c>
    </row>
    <row r="171" spans="1:2" x14ac:dyDescent="0.25">
      <c r="A171" s="1">
        <v>46016</v>
      </c>
      <c r="B171" s="4" t="s">
        <v>162</v>
      </c>
    </row>
    <row r="172" spans="1:2" x14ac:dyDescent="0.25">
      <c r="A172" s="1">
        <v>46015</v>
      </c>
      <c r="B172" s="4" t="s">
        <v>163</v>
      </c>
    </row>
    <row r="173" spans="1:2" x14ac:dyDescent="0.25">
      <c r="A173" s="1">
        <v>46014</v>
      </c>
      <c r="B173" s="4" t="s">
        <v>164</v>
      </c>
    </row>
    <row r="174" spans="1:2" x14ac:dyDescent="0.25">
      <c r="A174" s="1">
        <v>46013</v>
      </c>
      <c r="B174" s="4" t="s">
        <v>165</v>
      </c>
    </row>
    <row r="175" spans="1:2" x14ac:dyDescent="0.25">
      <c r="A175" s="1">
        <v>46010</v>
      </c>
      <c r="B175" s="4" t="s">
        <v>166</v>
      </c>
    </row>
    <row r="176" spans="1:2" x14ac:dyDescent="0.25">
      <c r="A176" s="1">
        <v>46009</v>
      </c>
      <c r="B176" s="4" t="s">
        <v>167</v>
      </c>
    </row>
    <row r="177" spans="1:2" x14ac:dyDescent="0.25">
      <c r="A177" s="1">
        <v>46008</v>
      </c>
      <c r="B177" s="4" t="s">
        <v>168</v>
      </c>
    </row>
    <row r="178" spans="1:2" x14ac:dyDescent="0.25">
      <c r="A178" s="1">
        <v>46007</v>
      </c>
      <c r="B178" s="4" t="s">
        <v>169</v>
      </c>
    </row>
    <row r="179" spans="1:2" x14ac:dyDescent="0.25">
      <c r="A179" s="1">
        <v>46006</v>
      </c>
      <c r="B179" s="4" t="s">
        <v>170</v>
      </c>
    </row>
    <row r="180" spans="1:2" x14ac:dyDescent="0.25">
      <c r="A180" s="1">
        <v>46003</v>
      </c>
      <c r="B180" s="4" t="s">
        <v>171</v>
      </c>
    </row>
    <row r="181" spans="1:2" x14ac:dyDescent="0.25">
      <c r="A181" s="1">
        <v>46002</v>
      </c>
      <c r="B181" s="4" t="s">
        <v>172</v>
      </c>
    </row>
    <row r="182" spans="1:2" x14ac:dyDescent="0.25">
      <c r="A182" s="1">
        <v>46001</v>
      </c>
      <c r="B182" s="4" t="s">
        <v>173</v>
      </c>
    </row>
    <row r="183" spans="1:2" x14ac:dyDescent="0.25">
      <c r="A183" s="1">
        <v>46000</v>
      </c>
      <c r="B183" s="4" t="s">
        <v>174</v>
      </c>
    </row>
    <row r="184" spans="1:2" x14ac:dyDescent="0.25">
      <c r="A184" s="1">
        <v>45999</v>
      </c>
      <c r="B184" s="4" t="s">
        <v>175</v>
      </c>
    </row>
    <row r="185" spans="1:2" x14ac:dyDescent="0.25">
      <c r="A185" s="1">
        <v>45996</v>
      </c>
      <c r="B185" s="4" t="s">
        <v>176</v>
      </c>
    </row>
    <row r="186" spans="1:2" x14ac:dyDescent="0.25">
      <c r="A186" s="1">
        <v>45995</v>
      </c>
      <c r="B186" s="4" t="s">
        <v>177</v>
      </c>
    </row>
    <row r="187" spans="1:2" x14ac:dyDescent="0.25">
      <c r="A187" s="1">
        <v>45994</v>
      </c>
      <c r="B187" s="4" t="s">
        <v>178</v>
      </c>
    </row>
    <row r="188" spans="1:2" x14ac:dyDescent="0.25">
      <c r="A188" s="1">
        <v>45993</v>
      </c>
      <c r="B188" s="4" t="s">
        <v>179</v>
      </c>
    </row>
    <row r="189" spans="1:2" x14ac:dyDescent="0.25">
      <c r="A189" s="1">
        <v>45992</v>
      </c>
      <c r="B189" s="4" t="s">
        <v>180</v>
      </c>
    </row>
    <row r="190" spans="1:2" x14ac:dyDescent="0.25">
      <c r="A190" s="1">
        <v>45989</v>
      </c>
      <c r="B190" s="4" t="s">
        <v>181</v>
      </c>
    </row>
    <row r="191" spans="1:2" x14ac:dyDescent="0.25">
      <c r="A191" s="1">
        <v>45988</v>
      </c>
      <c r="B191" s="4" t="s">
        <v>182</v>
      </c>
    </row>
    <row r="192" spans="1:2" x14ac:dyDescent="0.25">
      <c r="A192" s="1">
        <v>45987</v>
      </c>
      <c r="B192" s="4" t="s">
        <v>183</v>
      </c>
    </row>
    <row r="193" spans="1:2" x14ac:dyDescent="0.25">
      <c r="A193" s="1">
        <v>45986</v>
      </c>
      <c r="B193" s="4" t="s">
        <v>184</v>
      </c>
    </row>
    <row r="194" spans="1:2" x14ac:dyDescent="0.25">
      <c r="A194" s="1">
        <v>45985</v>
      </c>
      <c r="B194" s="4" t="s">
        <v>185</v>
      </c>
    </row>
    <row r="195" spans="1:2" x14ac:dyDescent="0.25">
      <c r="A195" s="1">
        <v>45982</v>
      </c>
      <c r="B195" s="4" t="s">
        <v>186</v>
      </c>
    </row>
    <row r="196" spans="1:2" x14ac:dyDescent="0.25">
      <c r="A196" s="1">
        <v>45981</v>
      </c>
      <c r="B196" s="4" t="s">
        <v>187</v>
      </c>
    </row>
    <row r="197" spans="1:2" x14ac:dyDescent="0.25">
      <c r="A197" s="1">
        <v>45980</v>
      </c>
      <c r="B197" s="4" t="s">
        <v>188</v>
      </c>
    </row>
    <row r="198" spans="1:2" x14ac:dyDescent="0.25">
      <c r="A198" s="1">
        <v>45978</v>
      </c>
      <c r="B198" s="4" t="s">
        <v>189</v>
      </c>
    </row>
    <row r="199" spans="1:2" x14ac:dyDescent="0.25">
      <c r="A199" s="1">
        <v>45975</v>
      </c>
      <c r="B199" s="4" t="s">
        <v>190</v>
      </c>
    </row>
    <row r="200" spans="1:2" x14ac:dyDescent="0.25">
      <c r="A200" s="1">
        <v>45974</v>
      </c>
      <c r="B200" s="4" t="s">
        <v>191</v>
      </c>
    </row>
    <row r="201" spans="1:2" x14ac:dyDescent="0.25">
      <c r="A201" s="1">
        <v>45973</v>
      </c>
      <c r="B201" s="4" t="s">
        <v>192</v>
      </c>
    </row>
    <row r="202" spans="1:2" x14ac:dyDescent="0.25">
      <c r="A202" s="1">
        <v>45972</v>
      </c>
      <c r="B202" s="4" t="s">
        <v>193</v>
      </c>
    </row>
    <row r="203" spans="1:2" x14ac:dyDescent="0.25">
      <c r="A203" s="1">
        <v>45971</v>
      </c>
      <c r="B203" s="4" t="s">
        <v>194</v>
      </c>
    </row>
    <row r="204" spans="1:2" x14ac:dyDescent="0.25">
      <c r="A204" s="1">
        <v>45968</v>
      </c>
      <c r="B204" s="4" t="s">
        <v>195</v>
      </c>
    </row>
    <row r="205" spans="1:2" x14ac:dyDescent="0.25">
      <c r="A205" s="1">
        <v>45966</v>
      </c>
      <c r="B205" s="4" t="s">
        <v>196</v>
      </c>
    </row>
    <row r="206" spans="1:2" x14ac:dyDescent="0.25">
      <c r="A206" s="1">
        <v>45965</v>
      </c>
      <c r="B206" s="4" t="s">
        <v>197</v>
      </c>
    </row>
    <row r="207" spans="1:2" x14ac:dyDescent="0.25">
      <c r="A207" s="1">
        <v>45964</v>
      </c>
      <c r="B207" s="4" t="s">
        <v>198</v>
      </c>
    </row>
    <row r="208" spans="1:2" x14ac:dyDescent="0.25">
      <c r="A208" s="1">
        <v>45961</v>
      </c>
      <c r="B208" s="4" t="s">
        <v>199</v>
      </c>
    </row>
    <row r="209" spans="1:2" x14ac:dyDescent="0.25">
      <c r="A209" s="1">
        <v>45960</v>
      </c>
      <c r="B209" s="4" t="s">
        <v>200</v>
      </c>
    </row>
    <row r="210" spans="1:2" x14ac:dyDescent="0.25">
      <c r="A210" s="1">
        <v>45959</v>
      </c>
      <c r="B210" s="4" t="s">
        <v>201</v>
      </c>
    </row>
    <row r="211" spans="1:2" x14ac:dyDescent="0.25">
      <c r="A211" s="1">
        <v>45958</v>
      </c>
      <c r="B211" s="4" t="s">
        <v>202</v>
      </c>
    </row>
    <row r="212" spans="1:2" x14ac:dyDescent="0.25">
      <c r="A212" s="1">
        <v>45957</v>
      </c>
      <c r="B212" s="4" t="s">
        <v>203</v>
      </c>
    </row>
    <row r="213" spans="1:2" x14ac:dyDescent="0.25">
      <c r="A213" s="1">
        <v>45954</v>
      </c>
      <c r="B213" s="4" t="s">
        <v>204</v>
      </c>
    </row>
    <row r="214" spans="1:2" x14ac:dyDescent="0.25">
      <c r="A214" s="1">
        <v>45953</v>
      </c>
      <c r="B214" s="4" t="s">
        <v>205</v>
      </c>
    </row>
    <row r="215" spans="1:2" x14ac:dyDescent="0.25">
      <c r="A215" s="1">
        <v>45952</v>
      </c>
      <c r="B215" s="4" t="s">
        <v>206</v>
      </c>
    </row>
    <row r="216" spans="1:2" x14ac:dyDescent="0.25">
      <c r="A216" s="1">
        <v>45951</v>
      </c>
      <c r="B216" s="4" t="s">
        <v>207</v>
      </c>
    </row>
    <row r="217" spans="1:2" x14ac:dyDescent="0.25">
      <c r="A217" s="1">
        <v>45950</v>
      </c>
      <c r="B217" s="4" t="s">
        <v>208</v>
      </c>
    </row>
    <row r="218" spans="1:2" x14ac:dyDescent="0.25">
      <c r="A218" s="1">
        <v>45947</v>
      </c>
      <c r="B218" s="4" t="s">
        <v>209</v>
      </c>
    </row>
    <row r="219" spans="1:2" x14ac:dyDescent="0.25">
      <c r="A219" s="1">
        <v>45946</v>
      </c>
      <c r="B219" s="4" t="s">
        <v>210</v>
      </c>
    </row>
    <row r="220" spans="1:2" x14ac:dyDescent="0.25">
      <c r="A220" s="1">
        <v>45945</v>
      </c>
      <c r="B220" s="4" t="s">
        <v>211</v>
      </c>
    </row>
    <row r="221" spans="1:2" x14ac:dyDescent="0.25">
      <c r="A221" s="1">
        <v>45944</v>
      </c>
      <c r="B221" s="4" t="s">
        <v>212</v>
      </c>
    </row>
    <row r="222" spans="1:2" x14ac:dyDescent="0.25">
      <c r="A222" s="1">
        <v>45943</v>
      </c>
      <c r="B222" s="4" t="s">
        <v>213</v>
      </c>
    </row>
    <row r="223" spans="1:2" x14ac:dyDescent="0.25">
      <c r="A223" s="1">
        <v>45940</v>
      </c>
      <c r="B223" s="4" t="s">
        <v>214</v>
      </c>
    </row>
    <row r="224" spans="1:2" x14ac:dyDescent="0.25">
      <c r="A224" s="1">
        <v>45939</v>
      </c>
      <c r="B224" s="4" t="s">
        <v>215</v>
      </c>
    </row>
    <row r="225" spans="1:2" x14ac:dyDescent="0.25">
      <c r="A225" s="1">
        <v>45938</v>
      </c>
      <c r="B225" s="4" t="s">
        <v>216</v>
      </c>
    </row>
    <row r="226" spans="1:2" x14ac:dyDescent="0.25">
      <c r="A226" s="1">
        <v>45937</v>
      </c>
      <c r="B226" s="4" t="s">
        <v>217</v>
      </c>
    </row>
    <row r="227" spans="1:2" x14ac:dyDescent="0.25">
      <c r="A227" s="1">
        <v>45936</v>
      </c>
      <c r="B227" s="4" t="s">
        <v>218</v>
      </c>
    </row>
    <row r="228" spans="1:2" x14ac:dyDescent="0.25">
      <c r="A228" s="1">
        <v>45933</v>
      </c>
      <c r="B228" s="4" t="s">
        <v>219</v>
      </c>
    </row>
    <row r="229" spans="1:2" x14ac:dyDescent="0.25">
      <c r="A229" s="1">
        <v>45932</v>
      </c>
      <c r="B229" s="4" t="s">
        <v>220</v>
      </c>
    </row>
    <row r="230" spans="1:2" x14ac:dyDescent="0.25">
      <c r="A230" s="1">
        <v>45931</v>
      </c>
      <c r="B230" s="4" t="s">
        <v>221</v>
      </c>
    </row>
    <row r="231" spans="1:2" x14ac:dyDescent="0.25">
      <c r="A231" s="1">
        <v>45930</v>
      </c>
      <c r="B231" s="4" t="s">
        <v>222</v>
      </c>
    </row>
    <row r="232" spans="1:2" x14ac:dyDescent="0.25">
      <c r="A232" s="1">
        <v>45929</v>
      </c>
      <c r="B232" s="4" t="s">
        <v>223</v>
      </c>
    </row>
    <row r="233" spans="1:2" x14ac:dyDescent="0.25">
      <c r="A233" s="1">
        <v>45926</v>
      </c>
      <c r="B233" s="4" t="s">
        <v>224</v>
      </c>
    </row>
    <row r="234" spans="1:2" x14ac:dyDescent="0.25">
      <c r="A234" s="1">
        <v>45925</v>
      </c>
      <c r="B234" s="4" t="s">
        <v>225</v>
      </c>
    </row>
    <row r="235" spans="1:2" x14ac:dyDescent="0.25">
      <c r="A235" s="1">
        <v>45924</v>
      </c>
      <c r="B235" s="4" t="s">
        <v>226</v>
      </c>
    </row>
    <row r="236" spans="1:2" x14ac:dyDescent="0.25">
      <c r="A236" s="1">
        <v>45923</v>
      </c>
      <c r="B236" s="4" t="s">
        <v>227</v>
      </c>
    </row>
    <row r="237" spans="1:2" x14ac:dyDescent="0.25">
      <c r="A237" s="1">
        <v>45922</v>
      </c>
      <c r="B237" s="4" t="s">
        <v>228</v>
      </c>
    </row>
    <row r="238" spans="1:2" x14ac:dyDescent="0.25">
      <c r="A238" s="1">
        <v>45919</v>
      </c>
      <c r="B238" s="4" t="s">
        <v>229</v>
      </c>
    </row>
    <row r="239" spans="1:2" x14ac:dyDescent="0.25">
      <c r="A239" s="1">
        <v>45918</v>
      </c>
      <c r="B239" s="4" t="s">
        <v>230</v>
      </c>
    </row>
    <row r="240" spans="1:2" x14ac:dyDescent="0.25">
      <c r="A240" s="1">
        <v>45917</v>
      </c>
      <c r="B240" s="4" t="s">
        <v>231</v>
      </c>
    </row>
    <row r="241" spans="1:2" x14ac:dyDescent="0.25">
      <c r="A241" s="1">
        <v>45916</v>
      </c>
      <c r="B241" s="4" t="s">
        <v>232</v>
      </c>
    </row>
    <row r="242" spans="1:2" x14ac:dyDescent="0.25">
      <c r="A242" s="1">
        <v>45915</v>
      </c>
      <c r="B242" s="4" t="s">
        <v>233</v>
      </c>
    </row>
    <row r="243" spans="1:2" x14ac:dyDescent="0.25">
      <c r="A243" s="1">
        <v>45912</v>
      </c>
      <c r="B243" s="4" t="s">
        <v>234</v>
      </c>
    </row>
    <row r="244" spans="1:2" x14ac:dyDescent="0.25">
      <c r="A244" s="1">
        <v>45911</v>
      </c>
      <c r="B244" s="4" t="s">
        <v>235</v>
      </c>
    </row>
    <row r="245" spans="1:2" x14ac:dyDescent="0.25">
      <c r="A245" s="1">
        <v>45910</v>
      </c>
      <c r="B245" s="4" t="s">
        <v>236</v>
      </c>
    </row>
    <row r="246" spans="1:2" x14ac:dyDescent="0.25">
      <c r="A246" s="1">
        <v>45909</v>
      </c>
      <c r="B246" s="4" t="s">
        <v>237</v>
      </c>
    </row>
    <row r="247" spans="1:2" x14ac:dyDescent="0.25">
      <c r="A247" s="1">
        <v>45908</v>
      </c>
      <c r="B247" s="4" t="s">
        <v>238</v>
      </c>
    </row>
    <row r="248" spans="1:2" x14ac:dyDescent="0.25">
      <c r="A248" s="1">
        <v>45904</v>
      </c>
      <c r="B248" s="4" t="s">
        <v>239</v>
      </c>
    </row>
    <row r="249" spans="1:2" x14ac:dyDescent="0.25">
      <c r="A249" s="1">
        <v>45903</v>
      </c>
      <c r="B249" s="4" t="s">
        <v>240</v>
      </c>
    </row>
    <row r="250" spans="1:2" x14ac:dyDescent="0.25">
      <c r="A250" s="1">
        <v>45902</v>
      </c>
      <c r="B250" s="4" t="s">
        <v>241</v>
      </c>
    </row>
    <row r="251" spans="1:2" x14ac:dyDescent="0.25">
      <c r="A251" s="1">
        <v>45901</v>
      </c>
      <c r="B251" s="4" t="s">
        <v>242</v>
      </c>
    </row>
    <row r="252" spans="1:2" x14ac:dyDescent="0.25">
      <c r="A252" s="1">
        <v>45898</v>
      </c>
      <c r="B252" s="4" t="s">
        <v>665</v>
      </c>
    </row>
    <row r="253" spans="1:2" x14ac:dyDescent="0.25">
      <c r="A253" s="1">
        <v>45897</v>
      </c>
      <c r="B253" s="4" t="s">
        <v>668</v>
      </c>
    </row>
    <row r="254" spans="1:2" x14ac:dyDescent="0.25">
      <c r="A254" s="1">
        <v>45896</v>
      </c>
      <c r="B254" s="4" t="s">
        <v>671</v>
      </c>
    </row>
    <row r="255" spans="1:2" x14ac:dyDescent="0.25">
      <c r="A255" s="1">
        <v>45895</v>
      </c>
      <c r="B255" s="4" t="s">
        <v>674</v>
      </c>
    </row>
    <row r="256" spans="1:2" x14ac:dyDescent="0.25">
      <c r="A256" s="1">
        <v>45894</v>
      </c>
      <c r="B256" s="4" t="s">
        <v>677</v>
      </c>
    </row>
    <row r="257" spans="1:2" x14ac:dyDescent="0.25">
      <c r="A257" s="1">
        <v>45891</v>
      </c>
      <c r="B257" s="4" t="s">
        <v>680</v>
      </c>
    </row>
    <row r="258" spans="1:2" x14ac:dyDescent="0.25">
      <c r="A258" s="1">
        <v>45888</v>
      </c>
      <c r="B258" s="4" t="s">
        <v>682</v>
      </c>
    </row>
    <row r="259" spans="1:2" x14ac:dyDescent="0.25">
      <c r="A259" s="1">
        <v>45887</v>
      </c>
      <c r="B259" s="4" t="s">
        <v>685</v>
      </c>
    </row>
    <row r="260" spans="1:2" x14ac:dyDescent="0.25">
      <c r="A260" s="1">
        <v>45884</v>
      </c>
      <c r="B260" s="4" t="s">
        <v>688</v>
      </c>
    </row>
    <row r="261" spans="1:2" x14ac:dyDescent="0.25">
      <c r="A261" s="1">
        <v>45882</v>
      </c>
      <c r="B261" s="4" t="s">
        <v>691</v>
      </c>
    </row>
    <row r="262" spans="1:2" x14ac:dyDescent="0.25">
      <c r="A262" s="1">
        <v>45881</v>
      </c>
      <c r="B262" s="4" t="s">
        <v>694</v>
      </c>
    </row>
    <row r="263" spans="1:2" x14ac:dyDescent="0.25">
      <c r="A263" s="1">
        <v>45880</v>
      </c>
      <c r="B263" s="4" t="s">
        <v>697</v>
      </c>
    </row>
    <row r="264" spans="1:2" x14ac:dyDescent="0.25">
      <c r="A264" s="1">
        <v>45877</v>
      </c>
      <c r="B264" s="4" t="s">
        <v>700</v>
      </c>
    </row>
    <row r="265" spans="1:2" x14ac:dyDescent="0.25">
      <c r="A265" s="1">
        <v>45876</v>
      </c>
      <c r="B265" s="4" t="s">
        <v>702</v>
      </c>
    </row>
    <row r="266" spans="1:2" x14ac:dyDescent="0.25">
      <c r="A266" s="1">
        <v>45875</v>
      </c>
      <c r="B266" s="4" t="s">
        <v>705</v>
      </c>
    </row>
    <row r="267" spans="1:2" x14ac:dyDescent="0.25">
      <c r="A267" s="1">
        <v>45874</v>
      </c>
      <c r="B267" s="4" t="s">
        <v>708</v>
      </c>
    </row>
    <row r="268" spans="1:2" x14ac:dyDescent="0.25">
      <c r="A268" s="1">
        <v>45873</v>
      </c>
      <c r="B268" s="4" t="s">
        <v>711</v>
      </c>
    </row>
    <row r="269" spans="1:2" x14ac:dyDescent="0.25">
      <c r="A269" s="1">
        <v>45870</v>
      </c>
      <c r="B269" s="4" t="s">
        <v>714</v>
      </c>
    </row>
    <row r="270" spans="1:2" x14ac:dyDescent="0.25">
      <c r="A270" s="1">
        <v>45869</v>
      </c>
      <c r="B270" s="4" t="s">
        <v>717</v>
      </c>
    </row>
    <row r="271" spans="1:2" x14ac:dyDescent="0.25">
      <c r="A271" s="1">
        <v>45867</v>
      </c>
      <c r="B271" s="4" t="s">
        <v>720</v>
      </c>
    </row>
    <row r="272" spans="1:2" x14ac:dyDescent="0.25">
      <c r="A272" s="1">
        <v>45866</v>
      </c>
      <c r="B272" s="4" t="s">
        <v>722</v>
      </c>
    </row>
    <row r="273" spans="1:2" x14ac:dyDescent="0.25">
      <c r="A273" s="1">
        <v>45863</v>
      </c>
      <c r="B273" s="4" t="s">
        <v>725</v>
      </c>
    </row>
    <row r="274" spans="1:2" x14ac:dyDescent="0.25">
      <c r="A274" s="1">
        <v>45862</v>
      </c>
      <c r="B274" s="4" t="s">
        <v>727</v>
      </c>
    </row>
    <row r="275" spans="1:2" x14ac:dyDescent="0.25">
      <c r="A275" s="1">
        <v>45861</v>
      </c>
      <c r="B275" s="4" t="s">
        <v>730</v>
      </c>
    </row>
    <row r="276" spans="1:2" x14ac:dyDescent="0.25">
      <c r="A276" s="1">
        <v>45860</v>
      </c>
      <c r="B276" s="4" t="s">
        <v>733</v>
      </c>
    </row>
    <row r="277" spans="1:2" x14ac:dyDescent="0.25">
      <c r="A277" s="1">
        <v>45859</v>
      </c>
      <c r="B277" s="4" t="s">
        <v>736</v>
      </c>
    </row>
    <row r="278" spans="1:2" x14ac:dyDescent="0.25">
      <c r="A278" s="1">
        <v>45856</v>
      </c>
      <c r="B278" s="4" t="s">
        <v>739</v>
      </c>
    </row>
    <row r="279" spans="1:2" x14ac:dyDescent="0.25">
      <c r="A279" s="1">
        <v>45855</v>
      </c>
      <c r="B279" s="4" t="s">
        <v>742</v>
      </c>
    </row>
    <row r="280" spans="1:2" x14ac:dyDescent="0.25">
      <c r="A280" s="1">
        <v>45854</v>
      </c>
      <c r="B280" s="4" t="s">
        <v>744</v>
      </c>
    </row>
    <row r="281" spans="1:2" x14ac:dyDescent="0.25">
      <c r="A281" s="1">
        <v>45853</v>
      </c>
      <c r="B281" s="4" t="s">
        <v>747</v>
      </c>
    </row>
    <row r="282" spans="1:2" x14ac:dyDescent="0.25">
      <c r="A282" s="1">
        <v>45852</v>
      </c>
      <c r="B282" s="4" t="s">
        <v>750</v>
      </c>
    </row>
    <row r="283" spans="1:2" x14ac:dyDescent="0.25">
      <c r="A283" s="1">
        <v>45849</v>
      </c>
      <c r="B283" s="4" t="s">
        <v>751</v>
      </c>
    </row>
    <row r="284" spans="1:2" x14ac:dyDescent="0.25">
      <c r="A284" s="1">
        <v>45848</v>
      </c>
      <c r="B284" s="4" t="s">
        <v>755</v>
      </c>
    </row>
    <row r="285" spans="1:2" x14ac:dyDescent="0.25">
      <c r="A285" s="1">
        <v>45847</v>
      </c>
      <c r="B285" s="4" t="s">
        <v>758</v>
      </c>
    </row>
    <row r="286" spans="1:2" x14ac:dyDescent="0.25">
      <c r="A286" s="1">
        <v>45846</v>
      </c>
      <c r="B286" s="4" t="s">
        <v>761</v>
      </c>
    </row>
    <row r="287" spans="1:2" x14ac:dyDescent="0.25">
      <c r="A287" s="1">
        <v>45845</v>
      </c>
      <c r="B287" s="4" t="s">
        <v>764</v>
      </c>
    </row>
    <row r="288" spans="1:2" x14ac:dyDescent="0.25">
      <c r="A288" s="1">
        <v>45842</v>
      </c>
      <c r="B288" s="4" t="s">
        <v>766</v>
      </c>
    </row>
    <row r="289" spans="1:2" x14ac:dyDescent="0.25">
      <c r="A289" s="1">
        <v>45841</v>
      </c>
      <c r="B289" s="4" t="s">
        <v>769</v>
      </c>
    </row>
    <row r="290" spans="1:2" x14ac:dyDescent="0.25">
      <c r="A290" s="1">
        <v>45840</v>
      </c>
      <c r="B290" s="4" t="s">
        <v>772</v>
      </c>
    </row>
    <row r="291" spans="1:2" x14ac:dyDescent="0.25">
      <c r="A291" s="1">
        <v>45839</v>
      </c>
      <c r="B291" s="4" t="s">
        <v>775</v>
      </c>
    </row>
    <row r="292" spans="1:2" x14ac:dyDescent="0.25">
      <c r="A292" s="1">
        <v>45838</v>
      </c>
      <c r="B292" s="4" t="s">
        <v>777</v>
      </c>
    </row>
    <row r="293" spans="1:2" x14ac:dyDescent="0.25">
      <c r="A293" s="1">
        <v>45834</v>
      </c>
      <c r="B293" s="4" t="s">
        <v>780</v>
      </c>
    </row>
    <row r="294" spans="1:2" x14ac:dyDescent="0.25">
      <c r="A294" s="1">
        <v>45833</v>
      </c>
      <c r="B294" s="4" t="s">
        <v>783</v>
      </c>
    </row>
    <row r="295" spans="1:2" x14ac:dyDescent="0.25">
      <c r="A295" s="1">
        <v>45832</v>
      </c>
      <c r="B295" s="4" t="s">
        <v>786</v>
      </c>
    </row>
    <row r="296" spans="1:2" x14ac:dyDescent="0.25">
      <c r="A296" s="1">
        <v>45831</v>
      </c>
      <c r="B296" s="4" t="s">
        <v>789</v>
      </c>
    </row>
    <row r="297" spans="1:2" x14ac:dyDescent="0.25">
      <c r="A297" s="1">
        <v>45828</v>
      </c>
      <c r="B297" s="4" t="s">
        <v>790</v>
      </c>
    </row>
    <row r="298" spans="1:2" x14ac:dyDescent="0.25">
      <c r="A298" s="1">
        <v>45827</v>
      </c>
      <c r="B298" s="4" t="s">
        <v>794</v>
      </c>
    </row>
    <row r="299" spans="1:2" x14ac:dyDescent="0.25">
      <c r="A299" s="1">
        <v>45826</v>
      </c>
      <c r="B299" s="4" t="s">
        <v>797</v>
      </c>
    </row>
    <row r="300" spans="1:2" x14ac:dyDescent="0.25">
      <c r="A300" s="1">
        <v>45825</v>
      </c>
      <c r="B300" s="4" t="s">
        <v>800</v>
      </c>
    </row>
    <row r="301" spans="1:2" x14ac:dyDescent="0.25">
      <c r="A301" s="1">
        <v>45824</v>
      </c>
      <c r="B301" s="4" t="s">
        <v>803</v>
      </c>
    </row>
    <row r="302" spans="1:2" x14ac:dyDescent="0.25">
      <c r="A302" s="1">
        <v>45821</v>
      </c>
      <c r="B302" s="4" t="s">
        <v>806</v>
      </c>
    </row>
    <row r="303" spans="1:2" x14ac:dyDescent="0.25">
      <c r="A303" s="1">
        <v>45820</v>
      </c>
      <c r="B303" s="4" t="s">
        <v>809</v>
      </c>
    </row>
    <row r="304" spans="1:2" x14ac:dyDescent="0.25">
      <c r="A304" s="1">
        <v>45819</v>
      </c>
      <c r="B304" s="4" t="s">
        <v>811</v>
      </c>
    </row>
    <row r="305" spans="1:2" x14ac:dyDescent="0.25">
      <c r="A305" s="1">
        <v>45818</v>
      </c>
      <c r="B305" s="4" t="s">
        <v>814</v>
      </c>
    </row>
    <row r="306" spans="1:2" x14ac:dyDescent="0.25">
      <c r="A306" s="1">
        <v>45814</v>
      </c>
      <c r="B306" s="4" t="s">
        <v>817</v>
      </c>
    </row>
    <row r="307" spans="1:2" x14ac:dyDescent="0.25">
      <c r="A307" s="1">
        <v>45813</v>
      </c>
      <c r="B307" s="4" t="s">
        <v>820</v>
      </c>
    </row>
    <row r="308" spans="1:2" x14ac:dyDescent="0.25">
      <c r="A308" s="1">
        <v>45812</v>
      </c>
      <c r="B308" s="4" t="s">
        <v>822</v>
      </c>
    </row>
    <row r="309" spans="1:2" x14ac:dyDescent="0.25">
      <c r="A309" s="1">
        <v>45811</v>
      </c>
      <c r="B309" s="4" t="s">
        <v>824</v>
      </c>
    </row>
    <row r="310" spans="1:2" x14ac:dyDescent="0.25">
      <c r="A310" s="1">
        <v>45810</v>
      </c>
      <c r="B310" s="4" t="s">
        <v>826</v>
      </c>
    </row>
    <row r="311" spans="1:2" x14ac:dyDescent="0.25">
      <c r="A311" s="1">
        <v>45807</v>
      </c>
      <c r="B311" s="4" t="s">
        <v>827</v>
      </c>
    </row>
    <row r="312" spans="1:2" x14ac:dyDescent="0.25">
      <c r="A312" s="1">
        <v>45806</v>
      </c>
      <c r="B312" s="4" t="s">
        <v>830</v>
      </c>
    </row>
    <row r="313" spans="1:2" x14ac:dyDescent="0.25">
      <c r="A313" s="1">
        <v>45805</v>
      </c>
      <c r="B313" s="4" t="s">
        <v>833</v>
      </c>
    </row>
    <row r="314" spans="1:2" x14ac:dyDescent="0.25">
      <c r="A314" s="1">
        <v>45804</v>
      </c>
      <c r="B314" s="4" t="s">
        <v>836</v>
      </c>
    </row>
    <row r="315" spans="1:2" x14ac:dyDescent="0.25">
      <c r="A315" s="1">
        <v>45803</v>
      </c>
      <c r="B315" s="4" t="s">
        <v>839</v>
      </c>
    </row>
    <row r="316" spans="1:2" x14ac:dyDescent="0.25">
      <c r="A316" s="1">
        <v>45800</v>
      </c>
      <c r="B316" s="4" t="s">
        <v>842</v>
      </c>
    </row>
    <row r="317" spans="1:2" x14ac:dyDescent="0.25">
      <c r="A317" s="1">
        <v>45799</v>
      </c>
      <c r="B317" s="4" t="s">
        <v>845</v>
      </c>
    </row>
    <row r="318" spans="1:2" x14ac:dyDescent="0.25">
      <c r="A318" s="1">
        <v>45798</v>
      </c>
      <c r="B318" s="4" t="s">
        <v>848</v>
      </c>
    </row>
    <row r="319" spans="1:2" x14ac:dyDescent="0.25">
      <c r="A319" s="1">
        <v>45797</v>
      </c>
      <c r="B319" s="4" t="s">
        <v>851</v>
      </c>
    </row>
    <row r="320" spans="1:2" x14ac:dyDescent="0.25">
      <c r="A320" s="1">
        <v>45796</v>
      </c>
      <c r="B320" s="4" t="s">
        <v>854</v>
      </c>
    </row>
    <row r="321" spans="1:2" x14ac:dyDescent="0.25">
      <c r="A321" s="1">
        <v>45793</v>
      </c>
      <c r="B321" s="4" t="s">
        <v>856</v>
      </c>
    </row>
    <row r="322" spans="1:2" x14ac:dyDescent="0.25">
      <c r="A322" s="1">
        <v>45792</v>
      </c>
      <c r="B322" s="4" t="s">
        <v>858</v>
      </c>
    </row>
    <row r="323" spans="1:2" x14ac:dyDescent="0.25">
      <c r="A323" s="1">
        <v>45791</v>
      </c>
      <c r="B323" s="4" t="s">
        <v>861</v>
      </c>
    </row>
    <row r="324" spans="1:2" x14ac:dyDescent="0.25">
      <c r="A324" s="1">
        <v>45790</v>
      </c>
      <c r="B324" s="4" t="s">
        <v>864</v>
      </c>
    </row>
    <row r="325" spans="1:2" x14ac:dyDescent="0.25">
      <c r="A325" s="1">
        <v>45789</v>
      </c>
      <c r="B325" s="4" t="s">
        <v>867</v>
      </c>
    </row>
    <row r="326" spans="1:2" x14ac:dyDescent="0.25">
      <c r="A326" s="1">
        <v>45786</v>
      </c>
      <c r="B326" s="4" t="s">
        <v>869</v>
      </c>
    </row>
    <row r="327" spans="1:2" x14ac:dyDescent="0.25">
      <c r="A327" s="1">
        <v>45785</v>
      </c>
      <c r="B327" s="4" t="s">
        <v>872</v>
      </c>
    </row>
    <row r="328" spans="1:2" x14ac:dyDescent="0.25">
      <c r="A328" s="1">
        <v>45784</v>
      </c>
      <c r="B328" s="4" t="s">
        <v>875</v>
      </c>
    </row>
    <row r="329" spans="1:2" x14ac:dyDescent="0.25">
      <c r="A329" s="1">
        <v>45783</v>
      </c>
      <c r="B329" s="4" t="s">
        <v>878</v>
      </c>
    </row>
    <row r="330" spans="1:2" x14ac:dyDescent="0.25">
      <c r="A330" s="1">
        <v>45782</v>
      </c>
      <c r="B330" s="4" t="s">
        <v>881</v>
      </c>
    </row>
    <row r="331" spans="1:2" x14ac:dyDescent="0.25">
      <c r="A331" s="1">
        <v>45779</v>
      </c>
      <c r="B331" s="4" t="s">
        <v>884</v>
      </c>
    </row>
    <row r="332" spans="1:2" x14ac:dyDescent="0.25">
      <c r="A332" s="1">
        <v>45777</v>
      </c>
      <c r="B332" s="4" t="s">
        <v>885</v>
      </c>
    </row>
    <row r="333" spans="1:2" x14ac:dyDescent="0.25">
      <c r="A333" s="1">
        <v>45776</v>
      </c>
      <c r="B333" s="4" t="s">
        <v>888</v>
      </c>
    </row>
    <row r="334" spans="1:2" x14ac:dyDescent="0.25">
      <c r="A334" s="1">
        <v>45775</v>
      </c>
      <c r="B334" s="4" t="s">
        <v>891</v>
      </c>
    </row>
    <row r="335" spans="1:2" x14ac:dyDescent="0.25">
      <c r="A335" s="1">
        <v>45772</v>
      </c>
      <c r="B335" s="4" t="s">
        <v>894</v>
      </c>
    </row>
    <row r="336" spans="1:2" x14ac:dyDescent="0.25">
      <c r="A336" s="1">
        <v>45771</v>
      </c>
      <c r="B336" s="4" t="s">
        <v>897</v>
      </c>
    </row>
    <row r="337" spans="1:2" x14ac:dyDescent="0.25">
      <c r="A337" s="1">
        <v>45770</v>
      </c>
      <c r="B337" s="4" t="s">
        <v>899</v>
      </c>
    </row>
    <row r="338" spans="1:2" x14ac:dyDescent="0.25">
      <c r="A338" s="1">
        <v>45769</v>
      </c>
      <c r="B338" s="4" t="s">
        <v>902</v>
      </c>
    </row>
    <row r="339" spans="1:2" x14ac:dyDescent="0.25">
      <c r="A339" s="1">
        <v>45768</v>
      </c>
      <c r="B339" s="4" t="s">
        <v>905</v>
      </c>
    </row>
    <row r="340" spans="1:2" x14ac:dyDescent="0.25">
      <c r="A340" s="1">
        <v>45765</v>
      </c>
      <c r="B340" s="4" t="s">
        <v>908</v>
      </c>
    </row>
    <row r="341" spans="1:2" x14ac:dyDescent="0.25">
      <c r="A341" s="1">
        <v>45764</v>
      </c>
      <c r="B341" s="4" t="s">
        <v>911</v>
      </c>
    </row>
    <row r="342" spans="1:2" x14ac:dyDescent="0.25">
      <c r="A342" s="1">
        <v>45763</v>
      </c>
      <c r="B342" s="4" t="s">
        <v>913</v>
      </c>
    </row>
    <row r="343" spans="1:2" x14ac:dyDescent="0.25">
      <c r="A343" s="1">
        <v>45762</v>
      </c>
      <c r="B343" s="4" t="s">
        <v>915</v>
      </c>
    </row>
    <row r="344" spans="1:2" x14ac:dyDescent="0.25">
      <c r="A344" s="1">
        <v>45761</v>
      </c>
      <c r="B344" s="4" t="s">
        <v>917</v>
      </c>
    </row>
    <row r="345" spans="1:2" x14ac:dyDescent="0.25">
      <c r="A345" s="1">
        <v>45758</v>
      </c>
      <c r="B345" s="4" t="s">
        <v>918</v>
      </c>
    </row>
    <row r="346" spans="1:2" x14ac:dyDescent="0.25">
      <c r="A346" s="1">
        <v>45757</v>
      </c>
      <c r="B346" s="4" t="s">
        <v>921</v>
      </c>
    </row>
    <row r="347" spans="1:2" x14ac:dyDescent="0.25">
      <c r="A347" s="1">
        <v>45756</v>
      </c>
      <c r="B347" s="4" t="s">
        <v>923</v>
      </c>
    </row>
    <row r="348" spans="1:2" x14ac:dyDescent="0.25">
      <c r="A348" s="1">
        <v>45755</v>
      </c>
      <c r="B348" s="4" t="s">
        <v>926</v>
      </c>
    </row>
    <row r="349" spans="1:2" x14ac:dyDescent="0.25">
      <c r="A349" s="1">
        <v>45754</v>
      </c>
      <c r="B349" s="4" t="s">
        <v>929</v>
      </c>
    </row>
    <row r="350" spans="1:2" x14ac:dyDescent="0.25">
      <c r="A350" s="1">
        <v>45751</v>
      </c>
      <c r="B350" s="4" t="s">
        <v>932</v>
      </c>
    </row>
    <row r="351" spans="1:2" x14ac:dyDescent="0.25">
      <c r="A351" s="1">
        <v>45750</v>
      </c>
      <c r="B351" s="4" t="s">
        <v>935</v>
      </c>
    </row>
    <row r="352" spans="1:2" x14ac:dyDescent="0.25">
      <c r="A352" s="1">
        <v>45749</v>
      </c>
      <c r="B352" s="4" t="s">
        <v>937</v>
      </c>
    </row>
    <row r="353" spans="1:2" x14ac:dyDescent="0.25">
      <c r="A353" s="1">
        <v>45744</v>
      </c>
      <c r="B353" s="4" t="s">
        <v>940</v>
      </c>
    </row>
    <row r="354" spans="1:2" x14ac:dyDescent="0.25">
      <c r="A354" s="1">
        <v>45743</v>
      </c>
      <c r="B354" s="4" t="s">
        <v>943</v>
      </c>
    </row>
    <row r="355" spans="1:2" x14ac:dyDescent="0.25">
      <c r="A355" s="1">
        <v>45742</v>
      </c>
      <c r="B355" s="4" t="s">
        <v>946</v>
      </c>
    </row>
    <row r="356" spans="1:2" x14ac:dyDescent="0.25">
      <c r="A356" s="1">
        <v>45741</v>
      </c>
      <c r="B356" s="4" t="s">
        <v>948</v>
      </c>
    </row>
    <row r="357" spans="1:2" x14ac:dyDescent="0.25">
      <c r="A357" s="1">
        <v>45740</v>
      </c>
      <c r="B357" s="4" t="s">
        <v>950</v>
      </c>
    </row>
    <row r="358" spans="1:2" x14ac:dyDescent="0.25">
      <c r="A358" s="1">
        <v>45737</v>
      </c>
      <c r="B358" s="4" t="s">
        <v>953</v>
      </c>
    </row>
    <row r="359" spans="1:2" x14ac:dyDescent="0.25">
      <c r="A359" s="1">
        <v>45736</v>
      </c>
      <c r="B359" s="4" t="s">
        <v>955</v>
      </c>
    </row>
    <row r="360" spans="1:2" x14ac:dyDescent="0.25">
      <c r="A360" s="1">
        <v>45735</v>
      </c>
      <c r="B360" s="4" t="s">
        <v>958</v>
      </c>
    </row>
    <row r="361" spans="1:2" x14ac:dyDescent="0.25">
      <c r="A361" s="1">
        <v>45734</v>
      </c>
      <c r="B361" s="4" t="s">
        <v>960</v>
      </c>
    </row>
    <row r="362" spans="1:2" x14ac:dyDescent="0.25">
      <c r="A362" s="1">
        <v>45733</v>
      </c>
      <c r="B362" s="4" t="s">
        <v>963</v>
      </c>
    </row>
    <row r="363" spans="1:2" x14ac:dyDescent="0.25">
      <c r="A363" s="1">
        <v>45730</v>
      </c>
      <c r="B363" s="4" t="s">
        <v>965</v>
      </c>
    </row>
    <row r="364" spans="1:2" x14ac:dyDescent="0.25">
      <c r="A364" s="1">
        <v>45729</v>
      </c>
      <c r="B364" s="4" t="s">
        <v>968</v>
      </c>
    </row>
    <row r="365" spans="1:2" x14ac:dyDescent="0.25">
      <c r="A365" s="1">
        <v>45728</v>
      </c>
      <c r="B365" s="4" t="s">
        <v>971</v>
      </c>
    </row>
    <row r="366" spans="1:2" x14ac:dyDescent="0.25">
      <c r="A366" s="1">
        <v>45727</v>
      </c>
      <c r="B366" s="4" t="s">
        <v>974</v>
      </c>
    </row>
    <row r="367" spans="1:2" x14ac:dyDescent="0.25">
      <c r="A367" s="1">
        <v>45726</v>
      </c>
      <c r="B367" s="4" t="s">
        <v>977</v>
      </c>
    </row>
    <row r="368" spans="1:2" x14ac:dyDescent="0.25">
      <c r="A368" s="1">
        <v>45723</v>
      </c>
      <c r="B368" s="4" t="s">
        <v>980</v>
      </c>
    </row>
    <row r="369" spans="1:2" x14ac:dyDescent="0.25">
      <c r="A369" s="1">
        <v>45722</v>
      </c>
      <c r="B369" s="4" t="s">
        <v>983</v>
      </c>
    </row>
    <row r="370" spans="1:2" x14ac:dyDescent="0.25">
      <c r="A370" s="1">
        <v>45721</v>
      </c>
      <c r="B370" s="4" t="s">
        <v>986</v>
      </c>
    </row>
    <row r="371" spans="1:2" x14ac:dyDescent="0.25">
      <c r="A371" s="1">
        <v>45720</v>
      </c>
      <c r="B371" s="4" t="s">
        <v>989</v>
      </c>
    </row>
    <row r="372" spans="1:2" x14ac:dyDescent="0.25">
      <c r="A372" s="1">
        <v>45719</v>
      </c>
      <c r="B372" s="4" t="s">
        <v>991</v>
      </c>
    </row>
    <row r="373" spans="1:2" x14ac:dyDescent="0.25">
      <c r="A373" s="1">
        <v>45716</v>
      </c>
      <c r="B373" s="4" t="s">
        <v>994</v>
      </c>
    </row>
    <row r="374" spans="1:2" x14ac:dyDescent="0.25">
      <c r="A374" s="1">
        <v>45715</v>
      </c>
      <c r="B374" s="4" t="s">
        <v>997</v>
      </c>
    </row>
    <row r="375" spans="1:2" x14ac:dyDescent="0.25">
      <c r="A375" s="1">
        <v>45714</v>
      </c>
      <c r="B375" s="4" t="s">
        <v>1000</v>
      </c>
    </row>
    <row r="376" spans="1:2" x14ac:dyDescent="0.25">
      <c r="A376" s="1">
        <v>45713</v>
      </c>
      <c r="B376" s="4" t="s">
        <v>1003</v>
      </c>
    </row>
    <row r="377" spans="1:2" x14ac:dyDescent="0.25">
      <c r="A377" s="1">
        <v>45712</v>
      </c>
      <c r="B377" s="4" t="s">
        <v>1006</v>
      </c>
    </row>
    <row r="378" spans="1:2" x14ac:dyDescent="0.25">
      <c r="A378" s="1">
        <v>45709</v>
      </c>
      <c r="B378" s="4" t="s">
        <v>1009</v>
      </c>
    </row>
    <row r="379" spans="1:2" x14ac:dyDescent="0.25">
      <c r="A379" s="1">
        <v>45708</v>
      </c>
      <c r="B379" s="4" t="s">
        <v>1012</v>
      </c>
    </row>
    <row r="380" spans="1:2" x14ac:dyDescent="0.25">
      <c r="A380" s="1">
        <v>45707</v>
      </c>
      <c r="B380" s="4" t="s">
        <v>1015</v>
      </c>
    </row>
    <row r="381" spans="1:2" x14ac:dyDescent="0.25">
      <c r="A381" s="1">
        <v>45706</v>
      </c>
      <c r="B381" s="4" t="s">
        <v>1016</v>
      </c>
    </row>
    <row r="382" spans="1:2" x14ac:dyDescent="0.25">
      <c r="A382" s="1">
        <v>45705</v>
      </c>
      <c r="B382" s="4" t="s">
        <v>1019</v>
      </c>
    </row>
    <row r="383" spans="1:2" x14ac:dyDescent="0.25">
      <c r="A383" s="1">
        <v>45702</v>
      </c>
      <c r="B383" s="4" t="s">
        <v>1022</v>
      </c>
    </row>
    <row r="384" spans="1:2" x14ac:dyDescent="0.25">
      <c r="A384" s="1">
        <v>45701</v>
      </c>
      <c r="B384" s="4" t="s">
        <v>1025</v>
      </c>
    </row>
    <row r="385" spans="1:2" x14ac:dyDescent="0.25">
      <c r="A385" s="1">
        <v>45700</v>
      </c>
      <c r="B385" s="4" t="s">
        <v>1027</v>
      </c>
    </row>
    <row r="386" spans="1:2" x14ac:dyDescent="0.25">
      <c r="A386" s="1">
        <v>45699</v>
      </c>
      <c r="B386" s="4" t="s">
        <v>1030</v>
      </c>
    </row>
    <row r="387" spans="1:2" x14ac:dyDescent="0.25">
      <c r="A387" s="1">
        <v>45698</v>
      </c>
      <c r="B387" s="4" t="s">
        <v>1033</v>
      </c>
    </row>
    <row r="388" spans="1:2" x14ac:dyDescent="0.25">
      <c r="A388" s="1">
        <v>45695</v>
      </c>
      <c r="B388" s="4" t="s">
        <v>1036</v>
      </c>
    </row>
    <row r="389" spans="1:2" x14ac:dyDescent="0.25">
      <c r="A389" s="1">
        <v>45694</v>
      </c>
      <c r="B389" s="4" t="s">
        <v>1039</v>
      </c>
    </row>
    <row r="390" spans="1:2" x14ac:dyDescent="0.25">
      <c r="A390" s="1">
        <v>45693</v>
      </c>
      <c r="B390" s="4" t="s">
        <v>1041</v>
      </c>
    </row>
    <row r="391" spans="1:2" x14ac:dyDescent="0.25">
      <c r="A391" s="1">
        <v>45692</v>
      </c>
      <c r="B391" s="4" t="s">
        <v>1044</v>
      </c>
    </row>
    <row r="392" spans="1:2" x14ac:dyDescent="0.25">
      <c r="A392" s="1">
        <v>45691</v>
      </c>
      <c r="B392" s="4" t="s">
        <v>1047</v>
      </c>
    </row>
    <row r="393" spans="1:2" x14ac:dyDescent="0.25">
      <c r="A393" s="1">
        <v>45688</v>
      </c>
      <c r="B393" s="4" t="s">
        <v>1050</v>
      </c>
    </row>
    <row r="394" spans="1:2" x14ac:dyDescent="0.25">
      <c r="A394" s="1">
        <v>45687</v>
      </c>
      <c r="B394" s="4" t="s">
        <v>1053</v>
      </c>
    </row>
    <row r="395" spans="1:2" x14ac:dyDescent="0.25">
      <c r="A395" s="1">
        <v>45686</v>
      </c>
      <c r="B395" s="4" t="s">
        <v>1055</v>
      </c>
    </row>
    <row r="396" spans="1:2" x14ac:dyDescent="0.25">
      <c r="A396" s="1">
        <v>45685</v>
      </c>
      <c r="B396" s="4" t="s">
        <v>1058</v>
      </c>
    </row>
    <row r="397" spans="1:2" x14ac:dyDescent="0.25">
      <c r="A397" s="1">
        <v>45684</v>
      </c>
      <c r="B397" s="4" t="s">
        <v>1061</v>
      </c>
    </row>
    <row r="398" spans="1:2" x14ac:dyDescent="0.25">
      <c r="A398" s="1">
        <v>45681</v>
      </c>
      <c r="B398" s="4" t="s">
        <v>1063</v>
      </c>
    </row>
    <row r="399" spans="1:2" x14ac:dyDescent="0.25">
      <c r="A399" s="1">
        <v>45680</v>
      </c>
      <c r="B399" s="4" t="s">
        <v>1065</v>
      </c>
    </row>
    <row r="400" spans="1:2" x14ac:dyDescent="0.25">
      <c r="A400" s="1">
        <v>45679</v>
      </c>
      <c r="B400" s="4" t="s">
        <v>1068</v>
      </c>
    </row>
    <row r="401" spans="1:2" x14ac:dyDescent="0.25">
      <c r="A401" s="1">
        <v>45678</v>
      </c>
      <c r="B401" s="4" t="s">
        <v>1071</v>
      </c>
    </row>
    <row r="402" spans="1:2" x14ac:dyDescent="0.25">
      <c r="A402" s="1">
        <v>45677</v>
      </c>
      <c r="B402" s="4" t="s">
        <v>1074</v>
      </c>
    </row>
    <row r="403" spans="1:2" x14ac:dyDescent="0.25">
      <c r="A403" s="1">
        <v>45674</v>
      </c>
      <c r="B403" s="4" t="s">
        <v>1076</v>
      </c>
    </row>
    <row r="404" spans="1:2" x14ac:dyDescent="0.25">
      <c r="A404" s="1">
        <v>45673</v>
      </c>
      <c r="B404" s="4" t="s">
        <v>1078</v>
      </c>
    </row>
    <row r="405" spans="1:2" x14ac:dyDescent="0.25">
      <c r="A405" s="1">
        <v>45672</v>
      </c>
      <c r="B405" s="4" t="s">
        <v>1081</v>
      </c>
    </row>
    <row r="406" spans="1:2" x14ac:dyDescent="0.25">
      <c r="A406" s="1">
        <v>45670</v>
      </c>
      <c r="B406" s="4" t="s">
        <v>1083</v>
      </c>
    </row>
    <row r="407" spans="1:2" x14ac:dyDescent="0.25">
      <c r="A407" s="1">
        <v>45667</v>
      </c>
      <c r="B407" s="4" t="s">
        <v>1086</v>
      </c>
    </row>
    <row r="408" spans="1:2" x14ac:dyDescent="0.25">
      <c r="A408" s="1">
        <v>45666</v>
      </c>
      <c r="B408" s="4" t="s">
        <v>1089</v>
      </c>
    </row>
    <row r="409" spans="1:2" x14ac:dyDescent="0.25">
      <c r="A409" s="1">
        <v>45665</v>
      </c>
      <c r="B409" s="4" t="s">
        <v>1091</v>
      </c>
    </row>
    <row r="410" spans="1:2" x14ac:dyDescent="0.25">
      <c r="A410" s="1">
        <v>45664</v>
      </c>
      <c r="B410" s="4" t="s">
        <v>1093</v>
      </c>
    </row>
    <row r="411" spans="1:2" x14ac:dyDescent="0.25">
      <c r="A411" s="1">
        <v>45663</v>
      </c>
      <c r="B411" s="4" t="s">
        <v>1096</v>
      </c>
    </row>
    <row r="412" spans="1:2" x14ac:dyDescent="0.25">
      <c r="A412" s="1">
        <v>45660</v>
      </c>
      <c r="B412" s="4" t="s">
        <v>1098</v>
      </c>
    </row>
    <row r="413" spans="1:2" x14ac:dyDescent="0.25">
      <c r="A413" s="1">
        <v>45659</v>
      </c>
      <c r="B413" s="4" t="s">
        <v>1099</v>
      </c>
    </row>
    <row r="414" spans="1:2" x14ac:dyDescent="0.25">
      <c r="A414" s="1">
        <v>45657</v>
      </c>
      <c r="B414" s="4" t="s">
        <v>1102</v>
      </c>
    </row>
    <row r="415" spans="1:2" x14ac:dyDescent="0.25">
      <c r="A415" s="1">
        <v>45656</v>
      </c>
      <c r="B415" s="4" t="s">
        <v>1105</v>
      </c>
    </row>
    <row r="416" spans="1:2" x14ac:dyDescent="0.25">
      <c r="A416" s="1">
        <v>45653</v>
      </c>
      <c r="B416" s="4" t="s">
        <v>1108</v>
      </c>
    </row>
    <row r="417" spans="1:2" x14ac:dyDescent="0.25">
      <c r="A417" s="1">
        <v>45652</v>
      </c>
      <c r="B417" s="4" t="s">
        <v>1111</v>
      </c>
    </row>
    <row r="418" spans="1:2" x14ac:dyDescent="0.25">
      <c r="A418" s="1">
        <v>45651</v>
      </c>
      <c r="B418" s="4" t="s">
        <v>1113</v>
      </c>
    </row>
    <row r="419" spans="1:2" x14ac:dyDescent="0.25">
      <c r="A419" s="1">
        <v>45650</v>
      </c>
      <c r="B419" s="4" t="s">
        <v>1116</v>
      </c>
    </row>
    <row r="420" spans="1:2" x14ac:dyDescent="0.25">
      <c r="A420" s="1">
        <v>45649</v>
      </c>
      <c r="B420" s="4" t="s">
        <v>1119</v>
      </c>
    </row>
    <row r="421" spans="1:2" x14ac:dyDescent="0.25">
      <c r="A421" s="1">
        <v>45646</v>
      </c>
      <c r="B421" s="4" t="s">
        <v>1122</v>
      </c>
    </row>
    <row r="422" spans="1:2" x14ac:dyDescent="0.25">
      <c r="A422" s="1">
        <v>45645</v>
      </c>
      <c r="B422" s="4" t="s">
        <v>1125</v>
      </c>
    </row>
    <row r="423" spans="1:2" x14ac:dyDescent="0.25">
      <c r="A423" s="1">
        <v>45644</v>
      </c>
      <c r="B423" s="4" t="s">
        <v>1128</v>
      </c>
    </row>
    <row r="424" spans="1:2" x14ac:dyDescent="0.25">
      <c r="A424" s="1">
        <v>45643</v>
      </c>
      <c r="B424" s="4" t="s">
        <v>1130</v>
      </c>
    </row>
    <row r="425" spans="1:2" x14ac:dyDescent="0.25">
      <c r="A425" s="1">
        <v>45642</v>
      </c>
      <c r="B425" s="4" t="s">
        <v>1133</v>
      </c>
    </row>
    <row r="426" spans="1:2" x14ac:dyDescent="0.25">
      <c r="A426" s="1">
        <v>45639</v>
      </c>
      <c r="B426" s="4" t="s">
        <v>1136</v>
      </c>
    </row>
    <row r="427" spans="1:2" x14ac:dyDescent="0.25">
      <c r="A427" s="1">
        <v>45638</v>
      </c>
      <c r="B427" s="4" t="s">
        <v>1139</v>
      </c>
    </row>
    <row r="428" spans="1:2" x14ac:dyDescent="0.25">
      <c r="A428" s="1">
        <v>45637</v>
      </c>
      <c r="B428" s="4" t="s">
        <v>1142</v>
      </c>
    </row>
    <row r="429" spans="1:2" x14ac:dyDescent="0.25">
      <c r="A429" s="1">
        <v>45636</v>
      </c>
      <c r="B429" s="4" t="s">
        <v>1145</v>
      </c>
    </row>
    <row r="430" spans="1:2" x14ac:dyDescent="0.25">
      <c r="A430" s="1">
        <v>45635</v>
      </c>
      <c r="B430" s="4" t="s">
        <v>1148</v>
      </c>
    </row>
    <row r="431" spans="1:2" x14ac:dyDescent="0.25">
      <c r="A431" s="1">
        <v>45632</v>
      </c>
      <c r="B431" s="4" t="s">
        <v>1150</v>
      </c>
    </row>
    <row r="432" spans="1:2" x14ac:dyDescent="0.25">
      <c r="A432" s="1">
        <v>45631</v>
      </c>
      <c r="B432" s="4" t="s">
        <v>1153</v>
      </c>
    </row>
    <row r="433" spans="1:2" x14ac:dyDescent="0.25">
      <c r="A433" s="1">
        <v>45630</v>
      </c>
      <c r="B433" s="4" t="s">
        <v>1156</v>
      </c>
    </row>
    <row r="434" spans="1:2" x14ac:dyDescent="0.25">
      <c r="A434" s="1">
        <v>45629</v>
      </c>
      <c r="B434" s="4" t="s">
        <v>1159</v>
      </c>
    </row>
    <row r="435" spans="1:2" x14ac:dyDescent="0.25">
      <c r="A435" s="1">
        <v>45628</v>
      </c>
      <c r="B435" s="4" t="s">
        <v>1162</v>
      </c>
    </row>
    <row r="436" spans="1:2" x14ac:dyDescent="0.25">
      <c r="A436" s="1">
        <v>45625</v>
      </c>
      <c r="B436" s="4" t="s">
        <v>1165</v>
      </c>
    </row>
    <row r="437" spans="1:2" x14ac:dyDescent="0.25">
      <c r="A437" s="1">
        <v>45624</v>
      </c>
      <c r="B437" s="4" t="s">
        <v>1168</v>
      </c>
    </row>
    <row r="438" spans="1:2" x14ac:dyDescent="0.25">
      <c r="A438" s="1">
        <v>45623</v>
      </c>
      <c r="B438" s="4" t="s">
        <v>1171</v>
      </c>
    </row>
    <row r="439" spans="1:2" x14ac:dyDescent="0.25">
      <c r="A439" s="1">
        <v>45622</v>
      </c>
      <c r="B439" s="4" t="s">
        <v>1174</v>
      </c>
    </row>
    <row r="440" spans="1:2" x14ac:dyDescent="0.25">
      <c r="A440" s="1">
        <v>45621</v>
      </c>
      <c r="B440" s="4" t="s">
        <v>1176</v>
      </c>
    </row>
    <row r="441" spans="1:2" x14ac:dyDescent="0.25">
      <c r="A441" s="1">
        <v>45618</v>
      </c>
      <c r="B441" s="4" t="s">
        <v>1179</v>
      </c>
    </row>
    <row r="442" spans="1:2" x14ac:dyDescent="0.25">
      <c r="A442" s="1">
        <v>45617</v>
      </c>
      <c r="B442" s="4" t="s">
        <v>1182</v>
      </c>
    </row>
    <row r="443" spans="1:2" x14ac:dyDescent="0.25">
      <c r="A443" s="1">
        <v>45616</v>
      </c>
      <c r="B443" s="4" t="s">
        <v>1184</v>
      </c>
    </row>
    <row r="444" spans="1:2" x14ac:dyDescent="0.25">
      <c r="A444" s="1">
        <v>45615</v>
      </c>
      <c r="B444" s="4" t="s">
        <v>1187</v>
      </c>
    </row>
    <row r="445" spans="1:2" x14ac:dyDescent="0.25">
      <c r="A445" s="1">
        <v>45611</v>
      </c>
      <c r="B445" s="4" t="s">
        <v>1190</v>
      </c>
    </row>
    <row r="446" spans="1:2" x14ac:dyDescent="0.25">
      <c r="A446" s="1">
        <v>45610</v>
      </c>
      <c r="B446" s="4" t="s">
        <v>1193</v>
      </c>
    </row>
    <row r="447" spans="1:2" x14ac:dyDescent="0.25">
      <c r="A447" s="1">
        <v>45609</v>
      </c>
      <c r="B447" s="4" t="s">
        <v>1195</v>
      </c>
    </row>
    <row r="448" spans="1:2" x14ac:dyDescent="0.25">
      <c r="A448" s="1">
        <v>45608</v>
      </c>
      <c r="B448" s="4" t="s">
        <v>1198</v>
      </c>
    </row>
    <row r="449" spans="1:2" x14ac:dyDescent="0.25">
      <c r="A449" s="1">
        <v>45607</v>
      </c>
      <c r="B449" s="4" t="s">
        <v>1201</v>
      </c>
    </row>
    <row r="450" spans="1:2" x14ac:dyDescent="0.25">
      <c r="A450" s="1">
        <v>45604</v>
      </c>
      <c r="B450" s="4" t="s">
        <v>1204</v>
      </c>
    </row>
    <row r="451" spans="1:2" x14ac:dyDescent="0.25">
      <c r="A451" s="1">
        <v>45603</v>
      </c>
      <c r="B451" s="4" t="s">
        <v>1207</v>
      </c>
    </row>
    <row r="452" spans="1:2" x14ac:dyDescent="0.25">
      <c r="A452" s="1">
        <v>45601</v>
      </c>
      <c r="B452" s="4" t="s">
        <v>1209</v>
      </c>
    </row>
    <row r="453" spans="1:2" x14ac:dyDescent="0.25">
      <c r="A453" s="1">
        <v>45600</v>
      </c>
      <c r="B453" s="4" t="s">
        <v>1212</v>
      </c>
    </row>
    <row r="454" spans="1:2" x14ac:dyDescent="0.25">
      <c r="A454" s="1">
        <v>45597</v>
      </c>
      <c r="B454" s="4" t="s">
        <v>1214</v>
      </c>
    </row>
    <row r="455" spans="1:2" x14ac:dyDescent="0.25">
      <c r="A455" s="1">
        <v>45596</v>
      </c>
      <c r="B455" s="4" t="s">
        <v>1215</v>
      </c>
    </row>
    <row r="456" spans="1:2" x14ac:dyDescent="0.25">
      <c r="A456" s="1">
        <v>45595</v>
      </c>
      <c r="B456" s="4" t="s">
        <v>1218</v>
      </c>
    </row>
    <row r="457" spans="1:2" x14ac:dyDescent="0.25">
      <c r="A457" s="1">
        <v>45594</v>
      </c>
      <c r="B457" s="4" t="s">
        <v>1221</v>
      </c>
    </row>
    <row r="458" spans="1:2" x14ac:dyDescent="0.25">
      <c r="A458" s="1">
        <v>45593</v>
      </c>
      <c r="B458" s="4" t="s">
        <v>1224</v>
      </c>
    </row>
    <row r="459" spans="1:2" x14ac:dyDescent="0.25">
      <c r="A459" s="1">
        <v>45590</v>
      </c>
      <c r="B459" s="4" t="s">
        <v>1227</v>
      </c>
    </row>
    <row r="460" spans="1:2" x14ac:dyDescent="0.25">
      <c r="A460" s="1">
        <v>45589</v>
      </c>
      <c r="B460" s="4" t="s">
        <v>1230</v>
      </c>
    </row>
    <row r="461" spans="1:2" x14ac:dyDescent="0.25">
      <c r="A461" s="1">
        <v>45588</v>
      </c>
      <c r="B461" s="4" t="s">
        <v>1233</v>
      </c>
    </row>
    <row r="462" spans="1:2" x14ac:dyDescent="0.25">
      <c r="A462" s="1">
        <v>45587</v>
      </c>
      <c r="B462" s="4" t="s">
        <v>1236</v>
      </c>
    </row>
    <row r="463" spans="1:2" x14ac:dyDescent="0.25">
      <c r="A463" s="1">
        <v>45586</v>
      </c>
      <c r="B463" s="4" t="s">
        <v>1239</v>
      </c>
    </row>
    <row r="464" spans="1:2" x14ac:dyDescent="0.25">
      <c r="A464" s="1">
        <v>45583</v>
      </c>
      <c r="B464" s="4" t="s">
        <v>1242</v>
      </c>
    </row>
    <row r="465" spans="1:2" x14ac:dyDescent="0.25">
      <c r="A465" s="1">
        <v>45582</v>
      </c>
      <c r="B465" s="4" t="s">
        <v>1245</v>
      </c>
    </row>
    <row r="466" spans="1:2" x14ac:dyDescent="0.25">
      <c r="A466" s="1">
        <v>45581</v>
      </c>
      <c r="B466" s="4" t="s">
        <v>1247</v>
      </c>
    </row>
    <row r="467" spans="1:2" x14ac:dyDescent="0.25">
      <c r="A467" s="1">
        <v>45580</v>
      </c>
      <c r="B467" s="4" t="s">
        <v>1250</v>
      </c>
    </row>
    <row r="468" spans="1:2" x14ac:dyDescent="0.25">
      <c r="A468" s="1">
        <v>45579</v>
      </c>
      <c r="B468" s="4" t="s">
        <v>1253</v>
      </c>
    </row>
    <row r="469" spans="1:2" x14ac:dyDescent="0.25">
      <c r="A469" s="1">
        <v>45576</v>
      </c>
      <c r="B469" s="4" t="s">
        <v>1256</v>
      </c>
    </row>
    <row r="470" spans="1:2" x14ac:dyDescent="0.25">
      <c r="A470" s="1">
        <v>45575</v>
      </c>
      <c r="B470" s="4" t="s">
        <v>1259</v>
      </c>
    </row>
    <row r="471" spans="1:2" x14ac:dyDescent="0.25">
      <c r="A471" s="1">
        <v>45574</v>
      </c>
      <c r="B471" s="4" t="s">
        <v>1262</v>
      </c>
    </row>
    <row r="472" spans="1:2" x14ac:dyDescent="0.25">
      <c r="A472" s="1">
        <v>45573</v>
      </c>
      <c r="B472" s="4" t="s">
        <v>1264</v>
      </c>
    </row>
    <row r="473" spans="1:2" x14ac:dyDescent="0.25">
      <c r="A473" s="1">
        <v>45572</v>
      </c>
      <c r="B473" s="4" t="s">
        <v>1266</v>
      </c>
    </row>
    <row r="474" spans="1:2" x14ac:dyDescent="0.25">
      <c r="A474" s="1">
        <v>45569</v>
      </c>
      <c r="B474" s="4" t="s">
        <v>1269</v>
      </c>
    </row>
    <row r="475" spans="1:2" x14ac:dyDescent="0.25">
      <c r="A475" s="1">
        <v>45568</v>
      </c>
      <c r="B475" s="4" t="s">
        <v>1272</v>
      </c>
    </row>
    <row r="476" spans="1:2" x14ac:dyDescent="0.25">
      <c r="A476" s="1">
        <v>45567</v>
      </c>
      <c r="B476" s="4" t="s">
        <v>1274</v>
      </c>
    </row>
    <row r="477" spans="1:2" x14ac:dyDescent="0.25">
      <c r="A477" s="1">
        <v>45566</v>
      </c>
      <c r="B477" s="4" t="s">
        <v>1277</v>
      </c>
    </row>
    <row r="478" spans="1:2" x14ac:dyDescent="0.25">
      <c r="A478" s="1">
        <v>45565</v>
      </c>
      <c r="B478" s="4" t="s">
        <v>1280</v>
      </c>
    </row>
    <row r="479" spans="1:2" x14ac:dyDescent="0.25">
      <c r="A479" s="1">
        <v>45562</v>
      </c>
      <c r="B479" s="4" t="s">
        <v>1282</v>
      </c>
    </row>
    <row r="480" spans="1:2" x14ac:dyDescent="0.25">
      <c r="A480" s="1">
        <v>45561</v>
      </c>
      <c r="B480" s="4" t="s">
        <v>1285</v>
      </c>
    </row>
    <row r="481" spans="1:2" x14ac:dyDescent="0.25">
      <c r="A481" s="1">
        <v>45560</v>
      </c>
      <c r="B481" s="4" t="s">
        <v>1288</v>
      </c>
    </row>
    <row r="482" spans="1:2" x14ac:dyDescent="0.25">
      <c r="A482" s="1">
        <v>45559</v>
      </c>
      <c r="B482" s="4" t="s">
        <v>1290</v>
      </c>
    </row>
    <row r="483" spans="1:2" x14ac:dyDescent="0.25">
      <c r="A483" s="1">
        <v>45558</v>
      </c>
      <c r="B483" s="4" t="s">
        <v>1293</v>
      </c>
    </row>
    <row r="484" spans="1:2" x14ac:dyDescent="0.25">
      <c r="A484" s="1">
        <v>45555</v>
      </c>
      <c r="B484" s="4" t="s">
        <v>1296</v>
      </c>
    </row>
    <row r="485" spans="1:2" x14ac:dyDescent="0.25">
      <c r="A485" s="1">
        <v>45554</v>
      </c>
      <c r="B485" s="4" t="s">
        <v>1298</v>
      </c>
    </row>
    <row r="486" spans="1:2" x14ac:dyDescent="0.25">
      <c r="A486" s="1">
        <v>45553</v>
      </c>
      <c r="B486" s="4" t="s">
        <v>1301</v>
      </c>
    </row>
    <row r="487" spans="1:2" x14ac:dyDescent="0.25">
      <c r="A487" s="1">
        <v>45548</v>
      </c>
      <c r="B487" s="4" t="s">
        <v>1304</v>
      </c>
    </row>
    <row r="488" spans="1:2" x14ac:dyDescent="0.25">
      <c r="A488" s="1">
        <v>45547</v>
      </c>
      <c r="B488" s="4" t="s">
        <v>1307</v>
      </c>
    </row>
    <row r="489" spans="1:2" x14ac:dyDescent="0.25">
      <c r="A489" s="1">
        <v>45546</v>
      </c>
      <c r="B489" s="4" t="s">
        <v>1310</v>
      </c>
    </row>
    <row r="490" spans="1:2" x14ac:dyDescent="0.25">
      <c r="A490" s="1">
        <v>45545</v>
      </c>
      <c r="B490" s="4" t="s">
        <v>1313</v>
      </c>
    </row>
    <row r="491" spans="1:2" x14ac:dyDescent="0.25">
      <c r="A491" s="1">
        <v>45544</v>
      </c>
      <c r="B491" s="4" t="s">
        <v>1315</v>
      </c>
    </row>
    <row r="492" spans="1:2" x14ac:dyDescent="0.25">
      <c r="A492" s="1">
        <v>45541</v>
      </c>
      <c r="B492" s="4" t="s">
        <v>1318</v>
      </c>
    </row>
    <row r="493" spans="1:2" x14ac:dyDescent="0.25">
      <c r="A493" s="1">
        <v>45540</v>
      </c>
      <c r="B493" s="4" t="s">
        <v>1321</v>
      </c>
    </row>
    <row r="494" spans="1:2" x14ac:dyDescent="0.25">
      <c r="A494" s="1">
        <v>45539</v>
      </c>
      <c r="B494" s="4" t="s">
        <v>1323</v>
      </c>
    </row>
    <row r="495" spans="1:2" x14ac:dyDescent="0.25">
      <c r="A495" s="1">
        <v>45538</v>
      </c>
      <c r="B495" s="4" t="s">
        <v>1326</v>
      </c>
    </row>
    <row r="496" spans="1:2" x14ac:dyDescent="0.25">
      <c r="A496" s="1">
        <v>45537</v>
      </c>
      <c r="B496" s="4" t="s">
        <v>1329</v>
      </c>
    </row>
    <row r="497" spans="1:2" x14ac:dyDescent="0.25">
      <c r="A497" s="1">
        <v>45534</v>
      </c>
      <c r="B497" s="4" t="s">
        <v>1332</v>
      </c>
    </row>
    <row r="498" spans="1:2" x14ac:dyDescent="0.25">
      <c r="A498" s="1">
        <v>45533</v>
      </c>
      <c r="B498" s="4" t="s">
        <v>1335</v>
      </c>
    </row>
    <row r="499" spans="1:2" x14ac:dyDescent="0.25">
      <c r="A499" s="1">
        <v>45532</v>
      </c>
      <c r="B499" s="4" t="s">
        <v>1338</v>
      </c>
    </row>
    <row r="500" spans="1:2" x14ac:dyDescent="0.25">
      <c r="A500" s="1">
        <v>45531</v>
      </c>
      <c r="B500" s="4" t="s">
        <v>1341</v>
      </c>
    </row>
    <row r="501" spans="1:2" x14ac:dyDescent="0.25">
      <c r="A501" s="1">
        <v>45530</v>
      </c>
      <c r="B501" s="4" t="s">
        <v>1344</v>
      </c>
    </row>
    <row r="502" spans="1:2" x14ac:dyDescent="0.25">
      <c r="A502" s="1">
        <v>45527</v>
      </c>
      <c r="B502" s="4" t="s">
        <v>1347</v>
      </c>
    </row>
    <row r="503" spans="1:2" x14ac:dyDescent="0.25">
      <c r="A503" s="1">
        <v>45526</v>
      </c>
      <c r="B503" s="4" t="s">
        <v>1350</v>
      </c>
    </row>
    <row r="504" spans="1:2" x14ac:dyDescent="0.25">
      <c r="A504" s="1">
        <v>45523</v>
      </c>
      <c r="B504" s="4" t="s">
        <v>1353</v>
      </c>
    </row>
    <row r="505" spans="1:2" x14ac:dyDescent="0.25">
      <c r="A505" s="1">
        <v>45520</v>
      </c>
      <c r="B505" s="4" t="s">
        <v>1356</v>
      </c>
    </row>
    <row r="506" spans="1:2" x14ac:dyDescent="0.25">
      <c r="A506" s="1">
        <v>45519</v>
      </c>
      <c r="B506" s="4" t="s">
        <v>1359</v>
      </c>
    </row>
    <row r="507" spans="1:2" x14ac:dyDescent="0.25">
      <c r="A507" s="1">
        <v>45517</v>
      </c>
      <c r="B507" s="4" t="s">
        <v>1362</v>
      </c>
    </row>
    <row r="508" spans="1:2" x14ac:dyDescent="0.25">
      <c r="A508" s="1">
        <v>45516</v>
      </c>
      <c r="B508" s="4" t="s">
        <v>1365</v>
      </c>
    </row>
    <row r="509" spans="1:2" x14ac:dyDescent="0.25">
      <c r="A509" s="1">
        <v>45513</v>
      </c>
      <c r="B509" s="4" t="s">
        <v>1368</v>
      </c>
    </row>
    <row r="510" spans="1:2" x14ac:dyDescent="0.25">
      <c r="A510" s="1">
        <v>45512</v>
      </c>
      <c r="B510" s="4" t="s">
        <v>1371</v>
      </c>
    </row>
    <row r="511" spans="1:2" x14ac:dyDescent="0.25">
      <c r="A511" s="1">
        <v>45511</v>
      </c>
      <c r="B511" s="4" t="s">
        <v>1374</v>
      </c>
    </row>
    <row r="512" spans="1:2" x14ac:dyDescent="0.25">
      <c r="A512" s="1">
        <v>45510</v>
      </c>
      <c r="B512" s="4" t="s">
        <v>1377</v>
      </c>
    </row>
    <row r="513" spans="1:2" x14ac:dyDescent="0.25">
      <c r="A513" s="1">
        <v>45509</v>
      </c>
      <c r="B513" s="4" t="s">
        <v>1380</v>
      </c>
    </row>
    <row r="514" spans="1:2" x14ac:dyDescent="0.25">
      <c r="A514" s="1">
        <v>45506</v>
      </c>
      <c r="B514" s="4" t="s">
        <v>1383</v>
      </c>
    </row>
    <row r="515" spans="1:2" x14ac:dyDescent="0.25">
      <c r="A515" s="1">
        <v>45505</v>
      </c>
      <c r="B515" s="4" t="s">
        <v>1386</v>
      </c>
    </row>
    <row r="516" spans="1:2" x14ac:dyDescent="0.25">
      <c r="A516" s="1">
        <v>45504</v>
      </c>
      <c r="B516" s="4" t="s">
        <v>1389</v>
      </c>
    </row>
    <row r="517" spans="1:2" x14ac:dyDescent="0.25">
      <c r="A517" s="1">
        <v>45502</v>
      </c>
      <c r="B517" s="4" t="s">
        <v>1392</v>
      </c>
    </row>
    <row r="518" spans="1:2" x14ac:dyDescent="0.25">
      <c r="A518" s="1">
        <v>45499</v>
      </c>
      <c r="B518" s="4" t="s">
        <v>1394</v>
      </c>
    </row>
    <row r="519" spans="1:2" x14ac:dyDescent="0.25">
      <c r="A519" s="1">
        <v>45498</v>
      </c>
      <c r="B519" s="4" t="s">
        <v>1396</v>
      </c>
    </row>
    <row r="520" spans="1:2" x14ac:dyDescent="0.25">
      <c r="A520" s="1">
        <v>45497</v>
      </c>
      <c r="B520" s="4" t="s">
        <v>1399</v>
      </c>
    </row>
    <row r="521" spans="1:2" x14ac:dyDescent="0.25">
      <c r="A521" s="1">
        <v>45496</v>
      </c>
      <c r="B521" s="4" t="s">
        <v>1402</v>
      </c>
    </row>
    <row r="522" spans="1:2" x14ac:dyDescent="0.25">
      <c r="A522" s="1">
        <v>45495</v>
      </c>
      <c r="B522" s="4" t="s">
        <v>1405</v>
      </c>
    </row>
    <row r="523" spans="1:2" x14ac:dyDescent="0.25">
      <c r="A523" s="1">
        <v>45492</v>
      </c>
      <c r="B523" s="4" t="s">
        <v>1408</v>
      </c>
    </row>
    <row r="524" spans="1:2" x14ac:dyDescent="0.25">
      <c r="A524" s="1">
        <v>45491</v>
      </c>
      <c r="B524" s="4" t="s">
        <v>1411</v>
      </c>
    </row>
    <row r="525" spans="1:2" x14ac:dyDescent="0.25">
      <c r="A525" s="1">
        <v>45490</v>
      </c>
      <c r="B525" s="4" t="s">
        <v>1414</v>
      </c>
    </row>
    <row r="526" spans="1:2" x14ac:dyDescent="0.25">
      <c r="A526" s="1">
        <v>45489</v>
      </c>
      <c r="B526" s="4" t="s">
        <v>1417</v>
      </c>
    </row>
    <row r="527" spans="1:2" x14ac:dyDescent="0.25">
      <c r="A527" s="1">
        <v>45488</v>
      </c>
      <c r="B527" s="4" t="s">
        <v>1420</v>
      </c>
    </row>
    <row r="528" spans="1:2" x14ac:dyDescent="0.25">
      <c r="A528" s="1">
        <v>45485</v>
      </c>
      <c r="B528" s="4" t="s">
        <v>1423</v>
      </c>
    </row>
    <row r="529" spans="1:2" x14ac:dyDescent="0.25">
      <c r="A529" s="1">
        <v>45484</v>
      </c>
      <c r="B529" s="4" t="s">
        <v>1425</v>
      </c>
    </row>
    <row r="530" spans="1:2" x14ac:dyDescent="0.25">
      <c r="A530" s="1">
        <v>45483</v>
      </c>
      <c r="B530" s="4" t="s">
        <v>1427</v>
      </c>
    </row>
    <row r="531" spans="1:2" x14ac:dyDescent="0.25">
      <c r="A531" s="1">
        <v>45482</v>
      </c>
      <c r="B531" s="4" t="s">
        <v>1430</v>
      </c>
    </row>
    <row r="532" spans="1:2" x14ac:dyDescent="0.25">
      <c r="A532" s="1">
        <v>45481</v>
      </c>
      <c r="B532" s="4" t="s">
        <v>1433</v>
      </c>
    </row>
    <row r="533" spans="1:2" x14ac:dyDescent="0.25">
      <c r="A533" s="1">
        <v>45478</v>
      </c>
      <c r="B533" s="4" t="s">
        <v>1434</v>
      </c>
    </row>
    <row r="534" spans="1:2" x14ac:dyDescent="0.25">
      <c r="A534" s="1">
        <v>45477</v>
      </c>
      <c r="B534" s="4" t="s">
        <v>1438</v>
      </c>
    </row>
    <row r="535" spans="1:2" x14ac:dyDescent="0.25">
      <c r="A535" s="1">
        <v>45476</v>
      </c>
      <c r="B535" s="4" t="s">
        <v>1441</v>
      </c>
    </row>
    <row r="536" spans="1:2" x14ac:dyDescent="0.25">
      <c r="A536" s="1">
        <v>45475</v>
      </c>
      <c r="B536" s="4" t="s">
        <v>1444</v>
      </c>
    </row>
    <row r="537" spans="1:2" x14ac:dyDescent="0.25">
      <c r="A537" s="1">
        <v>45474</v>
      </c>
      <c r="B537" s="4" t="s">
        <v>1447</v>
      </c>
    </row>
    <row r="538" spans="1:2" x14ac:dyDescent="0.25">
      <c r="A538" s="1">
        <v>45471</v>
      </c>
      <c r="B538" s="4" t="s">
        <v>1450</v>
      </c>
    </row>
    <row r="539" spans="1:2" x14ac:dyDescent="0.25">
      <c r="A539" s="1">
        <v>45470</v>
      </c>
      <c r="B539" s="4" t="s">
        <v>1453</v>
      </c>
    </row>
    <row r="540" spans="1:2" x14ac:dyDescent="0.25">
      <c r="A540" s="1">
        <v>45469</v>
      </c>
      <c r="B540" s="4" t="s">
        <v>1456</v>
      </c>
    </row>
    <row r="541" spans="1:2" x14ac:dyDescent="0.25">
      <c r="A541" s="1">
        <v>45468</v>
      </c>
      <c r="B541" s="4" t="s">
        <v>1459</v>
      </c>
    </row>
    <row r="542" spans="1:2" x14ac:dyDescent="0.25">
      <c r="A542" s="1">
        <v>45467</v>
      </c>
      <c r="B542" s="4" t="s">
        <v>1462</v>
      </c>
    </row>
    <row r="543" spans="1:2" x14ac:dyDescent="0.25">
      <c r="A543" s="1">
        <v>45464</v>
      </c>
      <c r="B543" s="4" t="s">
        <v>1465</v>
      </c>
    </row>
    <row r="544" spans="1:2" x14ac:dyDescent="0.25">
      <c r="A544" s="1">
        <v>45463</v>
      </c>
      <c r="B544" s="4" t="s">
        <v>1468</v>
      </c>
    </row>
    <row r="545" spans="1:2" x14ac:dyDescent="0.25">
      <c r="A545" s="1">
        <v>45462</v>
      </c>
      <c r="B545" s="4" t="s">
        <v>1471</v>
      </c>
    </row>
    <row r="546" spans="1:2" x14ac:dyDescent="0.25">
      <c r="A546" s="1">
        <v>45457</v>
      </c>
      <c r="B546" s="4" t="s">
        <v>1474</v>
      </c>
    </row>
    <row r="547" spans="1:2" x14ac:dyDescent="0.25">
      <c r="A547" s="1">
        <v>45456</v>
      </c>
      <c r="B547" s="4" t="s">
        <v>1477</v>
      </c>
    </row>
    <row r="548" spans="1:2" x14ac:dyDescent="0.25">
      <c r="A548" s="1">
        <v>45455</v>
      </c>
      <c r="B548" s="4" t="s">
        <v>1480</v>
      </c>
    </row>
    <row r="549" spans="1:2" x14ac:dyDescent="0.25">
      <c r="A549" s="1">
        <v>45454</v>
      </c>
      <c r="B549" s="4" t="s">
        <v>1483</v>
      </c>
    </row>
    <row r="550" spans="1:2" x14ac:dyDescent="0.25">
      <c r="A550" s="1">
        <v>45453</v>
      </c>
      <c r="B550" s="4" t="s">
        <v>1486</v>
      </c>
    </row>
    <row r="551" spans="1:2" x14ac:dyDescent="0.25">
      <c r="A551" s="1">
        <v>45450</v>
      </c>
      <c r="B551" s="4" t="s">
        <v>1489</v>
      </c>
    </row>
    <row r="552" spans="1:2" x14ac:dyDescent="0.25">
      <c r="A552" s="1">
        <v>45449</v>
      </c>
      <c r="B552" s="4" t="s">
        <v>1492</v>
      </c>
    </row>
    <row r="553" spans="1:2" x14ac:dyDescent="0.25">
      <c r="A553" s="1">
        <v>45448</v>
      </c>
      <c r="B553" s="4" t="s">
        <v>1495</v>
      </c>
    </row>
    <row r="554" spans="1:2" x14ac:dyDescent="0.25">
      <c r="A554" s="1">
        <v>45447</v>
      </c>
      <c r="B554" s="4" t="s">
        <v>1497</v>
      </c>
    </row>
    <row r="555" spans="1:2" x14ac:dyDescent="0.25">
      <c r="A555" s="1">
        <v>45446</v>
      </c>
      <c r="B555" s="4" t="s">
        <v>1500</v>
      </c>
    </row>
    <row r="556" spans="1:2" x14ac:dyDescent="0.25">
      <c r="A556" s="1">
        <v>45443</v>
      </c>
      <c r="B556" s="4" t="s">
        <v>1502</v>
      </c>
    </row>
    <row r="557" spans="1:2" x14ac:dyDescent="0.25">
      <c r="A557" s="1">
        <v>45442</v>
      </c>
      <c r="B557" s="4" t="s">
        <v>1505</v>
      </c>
    </row>
    <row r="558" spans="1:2" x14ac:dyDescent="0.25">
      <c r="A558" s="1">
        <v>45441</v>
      </c>
      <c r="B558" s="4" t="s">
        <v>1507</v>
      </c>
    </row>
    <row r="559" spans="1:2" x14ac:dyDescent="0.25">
      <c r="A559" s="1">
        <v>45440</v>
      </c>
      <c r="B559" s="4" t="s">
        <v>1510</v>
      </c>
    </row>
    <row r="560" spans="1:2" x14ac:dyDescent="0.25">
      <c r="A560" s="1">
        <v>45439</v>
      </c>
      <c r="B560" s="4" t="s">
        <v>1513</v>
      </c>
    </row>
    <row r="561" spans="1:2" x14ac:dyDescent="0.25">
      <c r="A561" s="1">
        <v>45436</v>
      </c>
      <c r="B561" s="4" t="s">
        <v>1516</v>
      </c>
    </row>
    <row r="562" spans="1:2" x14ac:dyDescent="0.25">
      <c r="A562" s="1">
        <v>45435</v>
      </c>
      <c r="B562" s="4" t="s">
        <v>1519</v>
      </c>
    </row>
    <row r="563" spans="1:2" x14ac:dyDescent="0.25">
      <c r="A563" s="1">
        <v>45434</v>
      </c>
      <c r="B563" s="4" t="s">
        <v>1522</v>
      </c>
    </row>
    <row r="564" spans="1:2" x14ac:dyDescent="0.25">
      <c r="A564" s="1">
        <v>45433</v>
      </c>
      <c r="B564" s="4" t="s">
        <v>1525</v>
      </c>
    </row>
    <row r="565" spans="1:2" x14ac:dyDescent="0.25">
      <c r="A565" s="1">
        <v>45432</v>
      </c>
      <c r="B565" s="4" t="s">
        <v>1528</v>
      </c>
    </row>
    <row r="566" spans="1:2" x14ac:dyDescent="0.25">
      <c r="A566" s="1">
        <v>45429</v>
      </c>
      <c r="B566" s="4" t="s">
        <v>1531</v>
      </c>
    </row>
    <row r="567" spans="1:2" x14ac:dyDescent="0.25">
      <c r="A567" s="1">
        <v>45428</v>
      </c>
      <c r="B567" s="4" t="s">
        <v>1534</v>
      </c>
    </row>
    <row r="568" spans="1:2" x14ac:dyDescent="0.25">
      <c r="A568" s="1">
        <v>45427</v>
      </c>
      <c r="B568" s="4" t="s">
        <v>1537</v>
      </c>
    </row>
    <row r="569" spans="1:2" x14ac:dyDescent="0.25">
      <c r="A569" s="1">
        <v>45426</v>
      </c>
      <c r="B569" s="4" t="s">
        <v>1539</v>
      </c>
    </row>
    <row r="570" spans="1:2" x14ac:dyDescent="0.25">
      <c r="A570" s="1">
        <v>45425</v>
      </c>
      <c r="B570" s="4" t="s">
        <v>1542</v>
      </c>
    </row>
    <row r="571" spans="1:2" x14ac:dyDescent="0.25">
      <c r="A571" s="1">
        <v>45422</v>
      </c>
      <c r="B571" s="4" t="s">
        <v>1545</v>
      </c>
    </row>
    <row r="572" spans="1:2" x14ac:dyDescent="0.25">
      <c r="A572" s="1">
        <v>45421</v>
      </c>
      <c r="B572" s="4" t="s">
        <v>1548</v>
      </c>
    </row>
    <row r="573" spans="1:2" x14ac:dyDescent="0.25">
      <c r="A573" s="1">
        <v>45420</v>
      </c>
      <c r="B573" s="4" t="s">
        <v>1551</v>
      </c>
    </row>
    <row r="574" spans="1:2" x14ac:dyDescent="0.25">
      <c r="A574" s="1">
        <v>45419</v>
      </c>
      <c r="B574" s="4" t="s">
        <v>1553</v>
      </c>
    </row>
    <row r="575" spans="1:2" x14ac:dyDescent="0.25">
      <c r="A575" s="1">
        <v>45418</v>
      </c>
      <c r="B575" s="4" t="s">
        <v>1556</v>
      </c>
    </row>
    <row r="576" spans="1:2" x14ac:dyDescent="0.25">
      <c r="A576" s="1">
        <v>45415</v>
      </c>
      <c r="B576" s="4" t="s">
        <v>1559</v>
      </c>
    </row>
    <row r="577" spans="1:2" x14ac:dyDescent="0.25">
      <c r="A577" s="1">
        <v>45414</v>
      </c>
      <c r="B577" s="4" t="s">
        <v>1561</v>
      </c>
    </row>
    <row r="578" spans="1:2" x14ac:dyDescent="0.25">
      <c r="A578" s="1">
        <v>45412</v>
      </c>
      <c r="B578" s="4" t="s">
        <v>1564</v>
      </c>
    </row>
    <row r="579" spans="1:2" x14ac:dyDescent="0.25">
      <c r="A579" s="1">
        <v>45411</v>
      </c>
      <c r="B579" s="4" t="s">
        <v>1565</v>
      </c>
    </row>
    <row r="580" spans="1:2" x14ac:dyDescent="0.25">
      <c r="A580" s="1">
        <v>45408</v>
      </c>
      <c r="B580" s="4" t="s">
        <v>1569</v>
      </c>
    </row>
    <row r="581" spans="1:2" x14ac:dyDescent="0.25">
      <c r="A581" s="1">
        <v>45407</v>
      </c>
      <c r="B581" s="4" t="s">
        <v>1572</v>
      </c>
    </row>
    <row r="582" spans="1:2" x14ac:dyDescent="0.25">
      <c r="A582" s="1">
        <v>45406</v>
      </c>
      <c r="B582" s="4" t="s">
        <v>1575</v>
      </c>
    </row>
    <row r="583" spans="1:2" x14ac:dyDescent="0.25">
      <c r="A583" s="1">
        <v>45405</v>
      </c>
      <c r="B583" s="4" t="s">
        <v>1578</v>
      </c>
    </row>
    <row r="584" spans="1:2" x14ac:dyDescent="0.25">
      <c r="A584" s="1">
        <v>45404</v>
      </c>
      <c r="B584" s="4" t="s">
        <v>1579</v>
      </c>
    </row>
    <row r="585" spans="1:2" x14ac:dyDescent="0.25">
      <c r="A585" s="1">
        <v>45401</v>
      </c>
      <c r="B585" s="4" t="s">
        <v>1582</v>
      </c>
    </row>
    <row r="586" spans="1:2" x14ac:dyDescent="0.25">
      <c r="A586" s="1">
        <v>45400</v>
      </c>
      <c r="B586" s="4" t="s">
        <v>1585</v>
      </c>
    </row>
    <row r="587" spans="1:2" x14ac:dyDescent="0.25">
      <c r="A587" s="1">
        <v>45399</v>
      </c>
      <c r="B587" s="4" t="s">
        <v>1587</v>
      </c>
    </row>
    <row r="588" spans="1:2" x14ac:dyDescent="0.25">
      <c r="A588" s="1">
        <v>45398</v>
      </c>
      <c r="B588" s="4" t="s">
        <v>1590</v>
      </c>
    </row>
    <row r="589" spans="1:2" x14ac:dyDescent="0.25">
      <c r="A589" s="1">
        <v>45397</v>
      </c>
      <c r="B589" s="4" t="s">
        <v>1593</v>
      </c>
    </row>
    <row r="590" spans="1:2" x14ac:dyDescent="0.25">
      <c r="A590" s="1">
        <v>45391</v>
      </c>
      <c r="B590" s="4" t="s">
        <v>1596</v>
      </c>
    </row>
    <row r="591" spans="1:2" x14ac:dyDescent="0.25">
      <c r="A591" s="1">
        <v>45390</v>
      </c>
      <c r="B591" s="4" t="s">
        <v>1599</v>
      </c>
    </row>
    <row r="592" spans="1:2" x14ac:dyDescent="0.25">
      <c r="A592" s="1">
        <v>45387</v>
      </c>
      <c r="B592" s="4" t="s">
        <v>1602</v>
      </c>
    </row>
    <row r="593" spans="1:2" x14ac:dyDescent="0.25">
      <c r="A593" s="1">
        <v>45386</v>
      </c>
      <c r="B593" s="4" t="s">
        <v>1605</v>
      </c>
    </row>
    <row r="594" spans="1:2" x14ac:dyDescent="0.25">
      <c r="A594" s="1">
        <v>45385</v>
      </c>
      <c r="B594" s="4" t="s">
        <v>1607</v>
      </c>
    </row>
    <row r="595" spans="1:2" x14ac:dyDescent="0.25">
      <c r="A595" s="1">
        <v>45384</v>
      </c>
      <c r="B595" s="4" t="s">
        <v>1610</v>
      </c>
    </row>
    <row r="596" spans="1:2" x14ac:dyDescent="0.25">
      <c r="A596" s="1">
        <v>45383</v>
      </c>
      <c r="B596" s="4" t="s">
        <v>1613</v>
      </c>
    </row>
    <row r="597" spans="1:2" x14ac:dyDescent="0.25">
      <c r="A597" s="1">
        <v>45380</v>
      </c>
      <c r="B597" s="4" t="s">
        <v>1616</v>
      </c>
    </row>
    <row r="598" spans="1:2" x14ac:dyDescent="0.25">
      <c r="A598" s="1">
        <v>45379</v>
      </c>
      <c r="B598" s="4" t="s">
        <v>1619</v>
      </c>
    </row>
    <row r="599" spans="1:2" x14ac:dyDescent="0.25">
      <c r="A599" s="1">
        <v>45378</v>
      </c>
      <c r="B599" s="4" t="s">
        <v>1622</v>
      </c>
    </row>
    <row r="600" spans="1:2" x14ac:dyDescent="0.25">
      <c r="A600" s="1">
        <v>45377</v>
      </c>
      <c r="B600" s="4" t="s">
        <v>1625</v>
      </c>
    </row>
    <row r="601" spans="1:2" x14ac:dyDescent="0.25">
      <c r="A601" s="1">
        <v>45376</v>
      </c>
      <c r="B601" s="4" t="s">
        <v>1628</v>
      </c>
    </row>
    <row r="602" spans="1:2" x14ac:dyDescent="0.25">
      <c r="A602" s="1">
        <v>45373</v>
      </c>
      <c r="B602" s="4" t="s">
        <v>1631</v>
      </c>
    </row>
    <row r="603" spans="1:2" x14ac:dyDescent="0.25">
      <c r="A603" s="1">
        <v>45372</v>
      </c>
      <c r="B603" s="4" t="s">
        <v>1634</v>
      </c>
    </row>
    <row r="604" spans="1:2" x14ac:dyDescent="0.25">
      <c r="A604" s="1">
        <v>45371</v>
      </c>
      <c r="B604" s="4" t="s">
        <v>1637</v>
      </c>
    </row>
    <row r="605" spans="1:2" x14ac:dyDescent="0.25">
      <c r="A605" s="1">
        <v>45370</v>
      </c>
      <c r="B605" s="4" t="s">
        <v>1639</v>
      </c>
    </row>
    <row r="606" spans="1:2" x14ac:dyDescent="0.25">
      <c r="A606" s="1">
        <v>45369</v>
      </c>
      <c r="B606" s="4" t="s">
        <v>1640</v>
      </c>
    </row>
    <row r="607" spans="1:2" x14ac:dyDescent="0.25">
      <c r="A607" s="1">
        <v>45366</v>
      </c>
      <c r="B607" s="4" t="s">
        <v>1644</v>
      </c>
    </row>
    <row r="608" spans="1:2" x14ac:dyDescent="0.25">
      <c r="A608" s="1">
        <v>45365</v>
      </c>
      <c r="B608" s="4" t="s">
        <v>1646</v>
      </c>
    </row>
    <row r="609" spans="1:2" x14ac:dyDescent="0.25">
      <c r="A609" s="1">
        <v>45364</v>
      </c>
      <c r="B609" s="4" t="s">
        <v>1647</v>
      </c>
    </row>
    <row r="610" spans="1:2" x14ac:dyDescent="0.25">
      <c r="A610" s="1">
        <v>45363</v>
      </c>
      <c r="B610" s="4" t="s">
        <v>1650</v>
      </c>
    </row>
    <row r="611" spans="1:2" x14ac:dyDescent="0.25">
      <c r="A611" s="1">
        <v>45362</v>
      </c>
      <c r="B611" s="4" t="s">
        <v>1653</v>
      </c>
    </row>
    <row r="612" spans="1:2" x14ac:dyDescent="0.25">
      <c r="A612" s="1">
        <v>45359</v>
      </c>
      <c r="B612" s="4" t="s">
        <v>1656</v>
      </c>
    </row>
    <row r="613" spans="1:2" x14ac:dyDescent="0.25">
      <c r="A613" s="1">
        <v>45358</v>
      </c>
      <c r="B613" s="4" t="s">
        <v>1659</v>
      </c>
    </row>
    <row r="614" spans="1:2" x14ac:dyDescent="0.25">
      <c r="A614" s="1">
        <v>45357</v>
      </c>
      <c r="B614" s="4" t="s">
        <v>1662</v>
      </c>
    </row>
    <row r="615" spans="1:2" x14ac:dyDescent="0.25">
      <c r="A615" s="1">
        <v>45356</v>
      </c>
      <c r="B615" s="4" t="s">
        <v>1665</v>
      </c>
    </row>
    <row r="616" spans="1:2" x14ac:dyDescent="0.25">
      <c r="A616" s="1">
        <v>45355</v>
      </c>
      <c r="B616" s="4" t="s">
        <v>1668</v>
      </c>
    </row>
    <row r="617" spans="1:2" x14ac:dyDescent="0.25">
      <c r="A617" s="1">
        <v>45352</v>
      </c>
      <c r="B617" s="4" t="s">
        <v>1671</v>
      </c>
    </row>
    <row r="618" spans="1:2" x14ac:dyDescent="0.25">
      <c r="A618" s="1">
        <v>45351</v>
      </c>
      <c r="B618" s="4" t="s">
        <v>1673</v>
      </c>
    </row>
    <row r="619" spans="1:2" x14ac:dyDescent="0.25">
      <c r="A619" s="1">
        <v>45350</v>
      </c>
      <c r="B619" s="4" t="s">
        <v>1675</v>
      </c>
    </row>
    <row r="620" spans="1:2" x14ac:dyDescent="0.25">
      <c r="A620" s="1">
        <v>45349</v>
      </c>
      <c r="B620" s="4" t="s">
        <v>1678</v>
      </c>
    </row>
    <row r="621" spans="1:2" x14ac:dyDescent="0.25">
      <c r="A621" s="1">
        <v>45348</v>
      </c>
      <c r="B621" s="4" t="s">
        <v>1681</v>
      </c>
    </row>
    <row r="622" spans="1:2" x14ac:dyDescent="0.25">
      <c r="A622" s="1">
        <v>45345</v>
      </c>
      <c r="B622" s="4" t="s">
        <v>1684</v>
      </c>
    </row>
    <row r="623" spans="1:2" x14ac:dyDescent="0.25">
      <c r="A623" s="1">
        <v>45344</v>
      </c>
      <c r="B623" s="4" t="s">
        <v>1687</v>
      </c>
    </row>
    <row r="624" spans="1:2" x14ac:dyDescent="0.25">
      <c r="A624" s="1">
        <v>45343</v>
      </c>
      <c r="B624" s="4" t="s">
        <v>1690</v>
      </c>
    </row>
    <row r="625" spans="1:2" x14ac:dyDescent="0.25">
      <c r="A625" s="1">
        <v>45342</v>
      </c>
      <c r="B625" s="4" t="s">
        <v>1693</v>
      </c>
    </row>
    <row r="626" spans="1:2" x14ac:dyDescent="0.25">
      <c r="A626" s="1">
        <v>45341</v>
      </c>
      <c r="B626" s="4" t="s">
        <v>1696</v>
      </c>
    </row>
    <row r="627" spans="1:2" x14ac:dyDescent="0.25">
      <c r="A627" s="1">
        <v>45338</v>
      </c>
      <c r="B627" s="4" t="s">
        <v>1698</v>
      </c>
    </row>
    <row r="628" spans="1:2" x14ac:dyDescent="0.25">
      <c r="A628" s="1">
        <v>45337</v>
      </c>
      <c r="B628" s="4" t="s">
        <v>1701</v>
      </c>
    </row>
    <row r="629" spans="1:2" x14ac:dyDescent="0.25">
      <c r="A629" s="1">
        <v>45336</v>
      </c>
      <c r="B629" s="4" t="s">
        <v>1704</v>
      </c>
    </row>
    <row r="630" spans="1:2" x14ac:dyDescent="0.25">
      <c r="A630" s="1">
        <v>45335</v>
      </c>
      <c r="B630" s="4" t="s">
        <v>1706</v>
      </c>
    </row>
    <row r="631" spans="1:2" x14ac:dyDescent="0.25">
      <c r="A631" s="1">
        <v>45334</v>
      </c>
      <c r="B631" s="4" t="s">
        <v>1709</v>
      </c>
    </row>
    <row r="632" spans="1:2" x14ac:dyDescent="0.25">
      <c r="A632" s="1">
        <v>45331</v>
      </c>
      <c r="B632" s="4" t="s">
        <v>1711</v>
      </c>
    </row>
    <row r="633" spans="1:2" x14ac:dyDescent="0.25">
      <c r="A633" s="1">
        <v>45330</v>
      </c>
      <c r="B633" s="4" t="s">
        <v>1714</v>
      </c>
    </row>
    <row r="634" spans="1:2" x14ac:dyDescent="0.25">
      <c r="A634" s="1">
        <v>45329</v>
      </c>
      <c r="B634" s="4" t="s">
        <v>1717</v>
      </c>
    </row>
    <row r="635" spans="1:2" x14ac:dyDescent="0.25">
      <c r="A635" s="1">
        <v>45328</v>
      </c>
      <c r="B635" s="4" t="s">
        <v>1720</v>
      </c>
    </row>
    <row r="636" spans="1:2" x14ac:dyDescent="0.25">
      <c r="A636" s="1">
        <v>45327</v>
      </c>
      <c r="B636" s="4" t="s">
        <v>1722</v>
      </c>
    </row>
    <row r="637" spans="1:2" x14ac:dyDescent="0.25">
      <c r="A637" s="1">
        <v>45324</v>
      </c>
      <c r="B637" s="4" t="s">
        <v>1725</v>
      </c>
    </row>
    <row r="638" spans="1:2" x14ac:dyDescent="0.25">
      <c r="A638" s="1">
        <v>45323</v>
      </c>
      <c r="B638" s="4" t="s">
        <v>1728</v>
      </c>
    </row>
    <row r="639" spans="1:2" x14ac:dyDescent="0.25">
      <c r="A639" s="1">
        <v>45322</v>
      </c>
      <c r="B639" s="4" t="s">
        <v>1731</v>
      </c>
    </row>
    <row r="640" spans="1:2" x14ac:dyDescent="0.25">
      <c r="A640" s="1">
        <v>45321</v>
      </c>
      <c r="B640" s="4" t="s">
        <v>1734</v>
      </c>
    </row>
    <row r="641" spans="1:2" x14ac:dyDescent="0.25">
      <c r="A641" s="1">
        <v>45320</v>
      </c>
      <c r="B641" s="4" t="s">
        <v>1737</v>
      </c>
    </row>
    <row r="642" spans="1:2" x14ac:dyDescent="0.25">
      <c r="A642" s="1">
        <v>45317</v>
      </c>
      <c r="B642" s="4" t="s">
        <v>1740</v>
      </c>
    </row>
    <row r="643" spans="1:2" x14ac:dyDescent="0.25">
      <c r="A643" s="1">
        <v>45316</v>
      </c>
      <c r="B643" s="4" t="s">
        <v>1743</v>
      </c>
    </row>
    <row r="644" spans="1:2" x14ac:dyDescent="0.25">
      <c r="A644" s="1">
        <v>45315</v>
      </c>
      <c r="B644" s="4" t="s">
        <v>1746</v>
      </c>
    </row>
    <row r="645" spans="1:2" x14ac:dyDescent="0.25">
      <c r="A645" s="1">
        <v>45314</v>
      </c>
      <c r="B645" s="4" t="s">
        <v>1749</v>
      </c>
    </row>
    <row r="646" spans="1:2" x14ac:dyDescent="0.25">
      <c r="A646" s="1">
        <v>45313</v>
      </c>
      <c r="B646" s="4" t="s">
        <v>1752</v>
      </c>
    </row>
    <row r="647" spans="1:2" x14ac:dyDescent="0.25">
      <c r="A647" s="1">
        <v>45310</v>
      </c>
      <c r="B647" s="4" t="s">
        <v>1755</v>
      </c>
    </row>
    <row r="648" spans="1:2" x14ac:dyDescent="0.25">
      <c r="A648" s="1">
        <v>45309</v>
      </c>
      <c r="B648" s="4" t="s">
        <v>1758</v>
      </c>
    </row>
    <row r="649" spans="1:2" x14ac:dyDescent="0.25">
      <c r="A649" s="1">
        <v>45308</v>
      </c>
      <c r="B649" s="4" t="s">
        <v>1761</v>
      </c>
    </row>
    <row r="650" spans="1:2" x14ac:dyDescent="0.25">
      <c r="A650" s="1">
        <v>45307</v>
      </c>
      <c r="B650" s="4" t="s">
        <v>1764</v>
      </c>
    </row>
    <row r="651" spans="1:2" x14ac:dyDescent="0.25">
      <c r="A651" s="1">
        <v>45306</v>
      </c>
      <c r="B651" s="4" t="s">
        <v>1767</v>
      </c>
    </row>
    <row r="652" spans="1:2" x14ac:dyDescent="0.25">
      <c r="A652" s="1">
        <v>45303</v>
      </c>
      <c r="B652" s="4" t="s">
        <v>1769</v>
      </c>
    </row>
    <row r="653" spans="1:2" x14ac:dyDescent="0.25">
      <c r="A653" s="1">
        <v>45301</v>
      </c>
      <c r="B653" s="4" t="s">
        <v>1772</v>
      </c>
    </row>
    <row r="654" spans="1:2" x14ac:dyDescent="0.25">
      <c r="A654" s="1">
        <v>45300</v>
      </c>
      <c r="B654" s="4" t="s">
        <v>1775</v>
      </c>
    </row>
    <row r="655" spans="1:2" x14ac:dyDescent="0.25">
      <c r="A655" s="1">
        <v>45299</v>
      </c>
      <c r="B655" s="4" t="s">
        <v>1778</v>
      </c>
    </row>
    <row r="656" spans="1:2" x14ac:dyDescent="0.25">
      <c r="A656" s="1">
        <v>45296</v>
      </c>
      <c r="B656" s="4" t="s">
        <v>1781</v>
      </c>
    </row>
    <row r="657" spans="1:2" x14ac:dyDescent="0.25">
      <c r="A657" s="1">
        <v>45295</v>
      </c>
      <c r="B657" s="4" t="s">
        <v>1784</v>
      </c>
    </row>
    <row r="658" spans="1:2" x14ac:dyDescent="0.25">
      <c r="A658" s="1">
        <v>45294</v>
      </c>
      <c r="B658" s="4" t="s">
        <v>1787</v>
      </c>
    </row>
    <row r="659" spans="1:2" x14ac:dyDescent="0.25">
      <c r="A659" s="1">
        <v>45293</v>
      </c>
      <c r="B659" s="4" t="s">
        <v>1790</v>
      </c>
    </row>
    <row r="660" spans="1:2" x14ac:dyDescent="0.25">
      <c r="A660" s="1">
        <v>45289</v>
      </c>
      <c r="B660" s="4" t="s">
        <v>1793</v>
      </c>
    </row>
    <row r="661" spans="1:2" x14ac:dyDescent="0.25">
      <c r="A661" s="1">
        <v>45288</v>
      </c>
      <c r="B661" s="4" t="s">
        <v>1796</v>
      </c>
    </row>
    <row r="662" spans="1:2" x14ac:dyDescent="0.25">
      <c r="A662" s="1">
        <v>45287</v>
      </c>
      <c r="B662" s="4" t="s">
        <v>1798</v>
      </c>
    </row>
    <row r="663" spans="1:2" x14ac:dyDescent="0.25">
      <c r="A663" s="1">
        <v>45286</v>
      </c>
      <c r="B663" s="4" t="s">
        <v>1801</v>
      </c>
    </row>
    <row r="664" spans="1:2" x14ac:dyDescent="0.25">
      <c r="A664" s="1">
        <v>45285</v>
      </c>
      <c r="B664" s="4" t="s">
        <v>1803</v>
      </c>
    </row>
    <row r="665" spans="1:2" x14ac:dyDescent="0.25">
      <c r="A665" s="1">
        <v>45282</v>
      </c>
      <c r="B665" s="4" t="s">
        <v>1805</v>
      </c>
    </row>
    <row r="666" spans="1:2" x14ac:dyDescent="0.25">
      <c r="A666" s="1">
        <v>45281</v>
      </c>
      <c r="B666" s="4" t="s">
        <v>1808</v>
      </c>
    </row>
    <row r="667" spans="1:2" x14ac:dyDescent="0.25">
      <c r="A667" s="1">
        <v>45280</v>
      </c>
      <c r="B667" s="4" t="s">
        <v>1810</v>
      </c>
    </row>
    <row r="668" spans="1:2" x14ac:dyDescent="0.25">
      <c r="A668" s="1">
        <v>45279</v>
      </c>
      <c r="B668" s="4" t="s">
        <v>1813</v>
      </c>
    </row>
    <row r="669" spans="1:2" x14ac:dyDescent="0.25">
      <c r="A669" s="1">
        <v>45278</v>
      </c>
      <c r="B669" s="4" t="s">
        <v>1816</v>
      </c>
    </row>
    <row r="670" spans="1:2" x14ac:dyDescent="0.25">
      <c r="A670" s="1">
        <v>45275</v>
      </c>
      <c r="B670" s="4" t="s">
        <v>1819</v>
      </c>
    </row>
    <row r="671" spans="1:2" x14ac:dyDescent="0.25">
      <c r="A671" s="1">
        <v>45274</v>
      </c>
      <c r="B671" s="4" t="s">
        <v>1822</v>
      </c>
    </row>
    <row r="672" spans="1:2" x14ac:dyDescent="0.25">
      <c r="A672" s="1">
        <v>45273</v>
      </c>
      <c r="B672" s="4" t="s">
        <v>1825</v>
      </c>
    </row>
    <row r="673" spans="1:2" x14ac:dyDescent="0.25">
      <c r="A673" s="1">
        <v>45272</v>
      </c>
      <c r="B673" s="4" t="s">
        <v>1828</v>
      </c>
    </row>
    <row r="674" spans="1:2" x14ac:dyDescent="0.25">
      <c r="A674" s="1">
        <v>45271</v>
      </c>
      <c r="B674" s="4" t="s">
        <v>1831</v>
      </c>
    </row>
    <row r="675" spans="1:2" x14ac:dyDescent="0.25">
      <c r="A675" s="1">
        <v>45268</v>
      </c>
      <c r="B675" s="4" t="s">
        <v>1833</v>
      </c>
    </row>
    <row r="676" spans="1:2" x14ac:dyDescent="0.25">
      <c r="A676" s="1">
        <v>45267</v>
      </c>
      <c r="B676" s="4" t="s">
        <v>1835</v>
      </c>
    </row>
    <row r="677" spans="1:2" x14ac:dyDescent="0.25">
      <c r="A677" s="1">
        <v>45266</v>
      </c>
      <c r="B677" s="4" t="s">
        <v>1836</v>
      </c>
    </row>
    <row r="678" spans="1:2" x14ac:dyDescent="0.25">
      <c r="A678" s="1">
        <v>45265</v>
      </c>
      <c r="B678" s="4" t="s">
        <v>1839</v>
      </c>
    </row>
    <row r="679" spans="1:2" x14ac:dyDescent="0.25">
      <c r="A679" s="1">
        <v>45264</v>
      </c>
      <c r="B679" s="4" t="s">
        <v>1842</v>
      </c>
    </row>
    <row r="680" spans="1:2" x14ac:dyDescent="0.25">
      <c r="A680" s="1">
        <v>45261</v>
      </c>
      <c r="B680" s="4" t="s">
        <v>1845</v>
      </c>
    </row>
    <row r="681" spans="1:2" x14ac:dyDescent="0.25">
      <c r="A681" s="1">
        <v>45260</v>
      </c>
      <c r="B681" s="4" t="s">
        <v>1848</v>
      </c>
    </row>
    <row r="682" spans="1:2" x14ac:dyDescent="0.25">
      <c r="A682" s="1">
        <v>45259</v>
      </c>
      <c r="B682" s="4" t="s">
        <v>1851</v>
      </c>
    </row>
    <row r="683" spans="1:2" x14ac:dyDescent="0.25">
      <c r="A683" s="1">
        <v>45258</v>
      </c>
      <c r="B683" s="4" t="s">
        <v>1854</v>
      </c>
    </row>
    <row r="684" spans="1:2" x14ac:dyDescent="0.25">
      <c r="A684" s="1">
        <v>45257</v>
      </c>
      <c r="B684" s="4" t="s">
        <v>1857</v>
      </c>
    </row>
    <row r="685" spans="1:2" x14ac:dyDescent="0.25">
      <c r="A685" s="1">
        <v>45254</v>
      </c>
      <c r="B685" s="4" t="s">
        <v>1860</v>
      </c>
    </row>
    <row r="686" spans="1:2" x14ac:dyDescent="0.25">
      <c r="A686" s="1">
        <v>45253</v>
      </c>
      <c r="B686" s="4" t="s">
        <v>1863</v>
      </c>
    </row>
    <row r="687" spans="1:2" x14ac:dyDescent="0.25">
      <c r="A687" s="1">
        <v>45252</v>
      </c>
      <c r="B687" s="4" t="s">
        <v>1866</v>
      </c>
    </row>
    <row r="688" spans="1:2" x14ac:dyDescent="0.25">
      <c r="A688" s="1">
        <v>45251</v>
      </c>
      <c r="B688" s="4" t="s">
        <v>1869</v>
      </c>
    </row>
    <row r="689" spans="1:2" x14ac:dyDescent="0.25">
      <c r="A689" s="1">
        <v>45250</v>
      </c>
      <c r="B689" s="4" t="s">
        <v>1872</v>
      </c>
    </row>
    <row r="690" spans="1:2" x14ac:dyDescent="0.25">
      <c r="A690" s="1">
        <v>45247</v>
      </c>
      <c r="B690" s="4" t="s">
        <v>1875</v>
      </c>
    </row>
    <row r="691" spans="1:2" x14ac:dyDescent="0.25">
      <c r="A691" s="1">
        <v>45246</v>
      </c>
      <c r="B691" s="4" t="s">
        <v>1878</v>
      </c>
    </row>
    <row r="692" spans="1:2" x14ac:dyDescent="0.25">
      <c r="A692" s="1">
        <v>45245</v>
      </c>
      <c r="B692" s="4" t="s">
        <v>1880</v>
      </c>
    </row>
    <row r="693" spans="1:2" x14ac:dyDescent="0.25">
      <c r="A693" s="1">
        <v>45244</v>
      </c>
      <c r="B693" s="4" t="s">
        <v>1881</v>
      </c>
    </row>
    <row r="694" spans="1:2" x14ac:dyDescent="0.25">
      <c r="A694" s="1">
        <v>45243</v>
      </c>
      <c r="B694" s="4" t="s">
        <v>1885</v>
      </c>
    </row>
    <row r="695" spans="1:2" x14ac:dyDescent="0.25">
      <c r="A695" s="1">
        <v>45240</v>
      </c>
      <c r="B695" s="4" t="s">
        <v>1888</v>
      </c>
    </row>
    <row r="696" spans="1:2" x14ac:dyDescent="0.25">
      <c r="A696" s="1">
        <v>45239</v>
      </c>
      <c r="B696" s="4" t="s">
        <v>1891</v>
      </c>
    </row>
    <row r="697" spans="1:2" x14ac:dyDescent="0.25">
      <c r="A697" s="1">
        <v>45238</v>
      </c>
      <c r="B697" s="4" t="s">
        <v>1894</v>
      </c>
    </row>
    <row r="698" spans="1:2" x14ac:dyDescent="0.25">
      <c r="A698" s="1">
        <v>45237</v>
      </c>
      <c r="B698" s="4" t="s">
        <v>1897</v>
      </c>
    </row>
    <row r="699" spans="1:2" x14ac:dyDescent="0.25">
      <c r="A699" s="1">
        <v>45233</v>
      </c>
      <c r="B699" s="4" t="s">
        <v>1900</v>
      </c>
    </row>
    <row r="700" spans="1:2" x14ac:dyDescent="0.25">
      <c r="A700" s="1">
        <v>45232</v>
      </c>
      <c r="B700" s="4" t="s">
        <v>1903</v>
      </c>
    </row>
    <row r="701" spans="1:2" x14ac:dyDescent="0.25">
      <c r="A701" s="1">
        <v>45231</v>
      </c>
      <c r="B701" s="4" t="s">
        <v>1904</v>
      </c>
    </row>
    <row r="702" spans="1:2" x14ac:dyDescent="0.25">
      <c r="A702" s="1">
        <v>45230</v>
      </c>
      <c r="B702" s="4" t="s">
        <v>1908</v>
      </c>
    </row>
    <row r="703" spans="1:2" x14ac:dyDescent="0.25">
      <c r="A703" s="1">
        <v>45229</v>
      </c>
      <c r="B703" s="4" t="s">
        <v>1911</v>
      </c>
    </row>
    <row r="704" spans="1:2" x14ac:dyDescent="0.25">
      <c r="A704" s="1">
        <v>45226</v>
      </c>
      <c r="B704" s="4" t="s">
        <v>1914</v>
      </c>
    </row>
    <row r="705" spans="1:2" x14ac:dyDescent="0.25">
      <c r="A705" s="1">
        <v>45225</v>
      </c>
      <c r="B705" s="4" t="s">
        <v>1915</v>
      </c>
    </row>
    <row r="706" spans="1:2" x14ac:dyDescent="0.25">
      <c r="A706" s="1">
        <v>45224</v>
      </c>
      <c r="B706" s="4" t="s">
        <v>1919</v>
      </c>
    </row>
    <row r="707" spans="1:2" x14ac:dyDescent="0.25">
      <c r="A707" s="1">
        <v>45223</v>
      </c>
      <c r="B707" s="4" t="s">
        <v>1922</v>
      </c>
    </row>
    <row r="708" spans="1:2" x14ac:dyDescent="0.25">
      <c r="A708" s="1">
        <v>45222</v>
      </c>
      <c r="B708" s="4" t="s">
        <v>1925</v>
      </c>
    </row>
    <row r="709" spans="1:2" x14ac:dyDescent="0.25">
      <c r="A709" s="1">
        <v>45219</v>
      </c>
      <c r="B709" s="4" t="s">
        <v>1927</v>
      </c>
    </row>
    <row r="710" spans="1:2" x14ac:dyDescent="0.25">
      <c r="A710" s="1">
        <v>45218</v>
      </c>
      <c r="B710" s="4" t="s">
        <v>1930</v>
      </c>
    </row>
    <row r="711" spans="1:2" x14ac:dyDescent="0.25">
      <c r="A711" s="1">
        <v>45217</v>
      </c>
      <c r="B711" s="4" t="s">
        <v>1933</v>
      </c>
    </row>
    <row r="712" spans="1:2" x14ac:dyDescent="0.25">
      <c r="A712" s="1">
        <v>45216</v>
      </c>
      <c r="B712" s="4" t="s">
        <v>1936</v>
      </c>
    </row>
    <row r="713" spans="1:2" x14ac:dyDescent="0.25">
      <c r="A713" s="1">
        <v>45215</v>
      </c>
      <c r="B713" s="4" t="s">
        <v>1939</v>
      </c>
    </row>
    <row r="714" spans="1:2" x14ac:dyDescent="0.25">
      <c r="A714" s="1">
        <v>45212</v>
      </c>
      <c r="B714" s="4" t="s">
        <v>1942</v>
      </c>
    </row>
    <row r="715" spans="1:2" x14ac:dyDescent="0.25">
      <c r="A715" s="1">
        <v>45211</v>
      </c>
      <c r="B715" s="4" t="s">
        <v>1945</v>
      </c>
    </row>
    <row r="716" spans="1:2" x14ac:dyDescent="0.25">
      <c r="A716" s="1">
        <v>45210</v>
      </c>
      <c r="B716" s="4" t="s">
        <v>1946</v>
      </c>
    </row>
    <row r="717" spans="1:2" x14ac:dyDescent="0.25">
      <c r="A717" s="1">
        <v>45209</v>
      </c>
      <c r="B717" s="4" t="s">
        <v>1949</v>
      </c>
    </row>
    <row r="718" spans="1:2" x14ac:dyDescent="0.25">
      <c r="A718" s="1">
        <v>45208</v>
      </c>
      <c r="B718" s="4" t="s">
        <v>1952</v>
      </c>
    </row>
    <row r="719" spans="1:2" x14ac:dyDescent="0.25">
      <c r="A719" s="1">
        <v>45205</v>
      </c>
      <c r="B719" s="4" t="s">
        <v>1955</v>
      </c>
    </row>
    <row r="720" spans="1:2" x14ac:dyDescent="0.25">
      <c r="A720" s="1">
        <v>45204</v>
      </c>
      <c r="B720" s="4" t="s">
        <v>1957</v>
      </c>
    </row>
    <row r="721" spans="1:2" x14ac:dyDescent="0.25">
      <c r="A721" s="1">
        <v>45203</v>
      </c>
      <c r="B721" s="4" t="s">
        <v>1958</v>
      </c>
    </row>
    <row r="722" spans="1:2" x14ac:dyDescent="0.25">
      <c r="A722" s="1">
        <v>45202</v>
      </c>
      <c r="B722" s="4" t="s">
        <v>1961</v>
      </c>
    </row>
    <row r="723" spans="1:2" x14ac:dyDescent="0.25">
      <c r="A723" s="1">
        <v>45201</v>
      </c>
      <c r="B723" s="4" t="s">
        <v>1964</v>
      </c>
    </row>
    <row r="724" spans="1:2" x14ac:dyDescent="0.25">
      <c r="A724" s="1">
        <v>45196</v>
      </c>
      <c r="B724" s="4" t="s">
        <v>1967</v>
      </c>
    </row>
    <row r="725" spans="1:2" x14ac:dyDescent="0.25">
      <c r="A725" s="1">
        <v>45195</v>
      </c>
      <c r="B725" s="4" t="s">
        <v>1970</v>
      </c>
    </row>
    <row r="726" spans="1:2" x14ac:dyDescent="0.25">
      <c r="A726" s="1">
        <v>45194</v>
      </c>
      <c r="B726" s="4" t="s">
        <v>1973</v>
      </c>
    </row>
    <row r="727" spans="1:2" x14ac:dyDescent="0.25">
      <c r="A727" s="1">
        <v>45191</v>
      </c>
      <c r="B727" s="4" t="s">
        <v>1975</v>
      </c>
    </row>
    <row r="728" spans="1:2" x14ac:dyDescent="0.25">
      <c r="A728" s="1">
        <v>45190</v>
      </c>
      <c r="B728" s="4" t="s">
        <v>1978</v>
      </c>
    </row>
    <row r="729" spans="1:2" x14ac:dyDescent="0.25">
      <c r="A729" s="1">
        <v>45189</v>
      </c>
      <c r="B729" s="4" t="s">
        <v>1981</v>
      </c>
    </row>
    <row r="730" spans="1:2" x14ac:dyDescent="0.25">
      <c r="A730" s="1">
        <v>45188</v>
      </c>
      <c r="B730" s="4" t="s">
        <v>1984</v>
      </c>
    </row>
    <row r="731" spans="1:2" x14ac:dyDescent="0.25">
      <c r="A731" s="1">
        <v>45187</v>
      </c>
      <c r="B731" s="4" t="s">
        <v>1987</v>
      </c>
    </row>
    <row r="732" spans="1:2" x14ac:dyDescent="0.25">
      <c r="A732" s="1">
        <v>45184</v>
      </c>
      <c r="B732" s="4" t="s">
        <v>1990</v>
      </c>
    </row>
    <row r="733" spans="1:2" x14ac:dyDescent="0.25">
      <c r="A733" s="1">
        <v>45183</v>
      </c>
      <c r="B733" s="4" t="s">
        <v>1993</v>
      </c>
    </row>
    <row r="734" spans="1:2" x14ac:dyDescent="0.25">
      <c r="A734" s="1">
        <v>45182</v>
      </c>
      <c r="B734" s="4" t="s">
        <v>1996</v>
      </c>
    </row>
    <row r="735" spans="1:2" x14ac:dyDescent="0.25">
      <c r="A735" s="1">
        <v>45181</v>
      </c>
      <c r="B735" s="4" t="s">
        <v>1999</v>
      </c>
    </row>
    <row r="736" spans="1:2" x14ac:dyDescent="0.25">
      <c r="A736" s="1">
        <v>45180</v>
      </c>
      <c r="B736" s="4" t="s">
        <v>2001</v>
      </c>
    </row>
    <row r="737" spans="1:2" x14ac:dyDescent="0.25">
      <c r="A737" s="1">
        <v>45177</v>
      </c>
      <c r="B737" s="4" t="s">
        <v>2004</v>
      </c>
    </row>
    <row r="738" spans="1:2" x14ac:dyDescent="0.25">
      <c r="A738" s="1">
        <v>45176</v>
      </c>
      <c r="B738" s="4" t="s">
        <v>2007</v>
      </c>
    </row>
    <row r="739" spans="1:2" x14ac:dyDescent="0.25">
      <c r="A739" s="1">
        <v>45175</v>
      </c>
      <c r="B739" s="4" t="s">
        <v>2010</v>
      </c>
    </row>
    <row r="740" spans="1:2" x14ac:dyDescent="0.25">
      <c r="A740" s="1">
        <v>45174</v>
      </c>
      <c r="B740" s="4" t="s">
        <v>2013</v>
      </c>
    </row>
    <row r="741" spans="1:2" x14ac:dyDescent="0.25">
      <c r="A741" s="1">
        <v>45173</v>
      </c>
      <c r="B741" s="4" t="s">
        <v>2015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7AF46-2B6C-408E-AC4C-55A1ECB842A0}">
  <dimension ref="A1:AC737"/>
  <sheetViews>
    <sheetView tabSelected="1" topLeftCell="F733" workbookViewId="0">
      <selection activeCell="L747" sqref="L747"/>
    </sheetView>
  </sheetViews>
  <sheetFormatPr baseColWidth="10" defaultColWidth="14" defaultRowHeight="15" x14ac:dyDescent="0.25"/>
  <cols>
    <col min="1" max="1" width="17.140625" style="9" bestFit="1" customWidth="1"/>
    <col min="2" max="2" width="16" style="11" customWidth="1"/>
    <col min="3" max="3" width="16" style="12" customWidth="1"/>
    <col min="4" max="19" width="16" style="9" customWidth="1"/>
    <col min="20" max="16384" width="14" style="9"/>
  </cols>
  <sheetData>
    <row r="1" spans="1:29" x14ac:dyDescent="0.25">
      <c r="A1" s="6" t="s">
        <v>0</v>
      </c>
      <c r="B1" s="7" t="s">
        <v>1</v>
      </c>
      <c r="C1" s="6" t="s">
        <v>2018</v>
      </c>
      <c r="D1" s="6" t="s">
        <v>2019</v>
      </c>
      <c r="E1" s="6" t="s">
        <v>2020</v>
      </c>
      <c r="F1" s="6" t="s">
        <v>2021</v>
      </c>
      <c r="G1" s="6" t="s">
        <v>2022</v>
      </c>
      <c r="H1" s="6" t="s">
        <v>2023</v>
      </c>
      <c r="I1" s="6" t="s">
        <v>2024</v>
      </c>
      <c r="J1" s="6" t="s">
        <v>2025</v>
      </c>
      <c r="K1" s="6" t="s">
        <v>2026</v>
      </c>
      <c r="L1" s="6" t="s">
        <v>2027</v>
      </c>
      <c r="M1" s="6" t="s">
        <v>2028</v>
      </c>
      <c r="N1" s="6" t="s">
        <v>2029</v>
      </c>
      <c r="O1" s="6" t="s">
        <v>2030</v>
      </c>
      <c r="P1" s="6" t="s">
        <v>2031</v>
      </c>
      <c r="Q1" s="6" t="s">
        <v>2032</v>
      </c>
      <c r="R1" s="6" t="s">
        <v>2033</v>
      </c>
      <c r="S1" s="6" t="s">
        <v>2034</v>
      </c>
      <c r="T1" s="8" t="s">
        <v>2035</v>
      </c>
      <c r="U1" s="8" t="s">
        <v>2036</v>
      </c>
      <c r="V1" s="8" t="s">
        <v>2037</v>
      </c>
      <c r="W1" s="8" t="s">
        <v>2038</v>
      </c>
      <c r="X1" s="8" t="s">
        <v>2039</v>
      </c>
    </row>
    <row r="2" spans="1:29" x14ac:dyDescent="0.25">
      <c r="A2" s="10">
        <v>45173</v>
      </c>
      <c r="B2" s="11">
        <v>11871.36</v>
      </c>
      <c r="G2" s="12"/>
      <c r="K2" s="12">
        <f>(B2-MAX($B$2:B2))/MAX($B$2:B2)</f>
        <v>0</v>
      </c>
      <c r="L2" s="12"/>
      <c r="N2" s="11">
        <f>B2</f>
        <v>11871.36</v>
      </c>
      <c r="O2" s="11">
        <f>B2</f>
        <v>11871.36</v>
      </c>
      <c r="P2" s="13">
        <f t="shared" ref="P2:P65" si="0">N2-O2</f>
        <v>0</v>
      </c>
      <c r="Q2" s="13">
        <f>P2</f>
        <v>0</v>
      </c>
      <c r="R2" s="13">
        <f t="shared" ref="R2:R65" si="1">P2-Q2</f>
        <v>0</v>
      </c>
      <c r="S2" s="9">
        <f t="shared" ref="S2:S65" si="2">IF(AND(D2&gt;E2,P2&gt;Q2),100,IF(OR(D2&gt;E2,P2&gt;Q2),60,20))</f>
        <v>20</v>
      </c>
      <c r="T2" s="8"/>
      <c r="U2" s="8"/>
      <c r="V2" s="8"/>
      <c r="W2" s="8"/>
      <c r="X2" s="8"/>
    </row>
    <row r="3" spans="1:29" x14ac:dyDescent="0.25">
      <c r="A3" s="10">
        <v>45174</v>
      </c>
      <c r="B3" s="11">
        <v>11852.24</v>
      </c>
      <c r="C3" s="12">
        <f>(B3/B2)-1</f>
        <v>-1.6105989541216337E-3</v>
      </c>
      <c r="G3" s="12">
        <f>LN(B3/B2)</f>
        <v>-1.611897362948353E-3</v>
      </c>
      <c r="K3" s="12">
        <f>(B3-MAX($B$2:B3))/MAX($B$2:B3)</f>
        <v>-1.6105989541215834E-3</v>
      </c>
      <c r="L3" s="12"/>
      <c r="N3" s="11">
        <f t="shared" ref="N3:N66" si="3">(B3*(2/13))+N2*(1-2/13)</f>
        <v>11868.418461538462</v>
      </c>
      <c r="O3" s="11">
        <f t="shared" ref="O3:O66" si="4">(B3*(2/27))+O2*(1-2/27)</f>
        <v>11869.943703703704</v>
      </c>
      <c r="P3" s="11">
        <f>N3-O3</f>
        <v>-1.5252421652421617</v>
      </c>
      <c r="Q3" s="11">
        <f t="shared" ref="Q3:Q66" si="5">(P3*(2/10))+Q2*(1-2/10)</f>
        <v>-0.30504843304843238</v>
      </c>
      <c r="R3" s="11">
        <f t="shared" si="1"/>
        <v>-1.2201937321937293</v>
      </c>
      <c r="S3" s="9">
        <f t="shared" si="2"/>
        <v>20</v>
      </c>
      <c r="T3" s="14">
        <f>MAX(C3,0)</f>
        <v>0</v>
      </c>
      <c r="U3" s="14">
        <f t="shared" ref="U3:U66" si="6">ABS(MIN(C3,0))</f>
        <v>1.6105989541216337E-3</v>
      </c>
      <c r="V3" s="14"/>
      <c r="W3" s="14"/>
      <c r="X3" s="14"/>
    </row>
    <row r="4" spans="1:29" x14ac:dyDescent="0.25">
      <c r="A4" s="10">
        <v>45175</v>
      </c>
      <c r="B4" s="11">
        <v>11745.08</v>
      </c>
      <c r="C4" s="12">
        <f t="shared" ref="C4:C67" si="7">(B4/B3)-1</f>
        <v>-9.0413288964785732E-3</v>
      </c>
      <c r="G4" s="12">
        <f t="shared" ref="G4:G67" si="8">LN(B4/B3)</f>
        <v>-9.0824497563847147E-3</v>
      </c>
      <c r="K4" s="12">
        <f>(B4-MAX($B$2:B4))/MAX($B$2:B4)</f>
        <v>-1.0637365895735674E-2</v>
      </c>
      <c r="L4" s="12"/>
      <c r="N4" s="11">
        <f t="shared" si="3"/>
        <v>11849.443313609467</v>
      </c>
      <c r="O4" s="11">
        <f t="shared" si="4"/>
        <v>11860.694540466391</v>
      </c>
      <c r="P4" s="11">
        <f t="shared" si="0"/>
        <v>-11.251226856924404</v>
      </c>
      <c r="Q4" s="11">
        <f t="shared" si="5"/>
        <v>-2.4942841178236268</v>
      </c>
      <c r="R4" s="11">
        <f t="shared" si="1"/>
        <v>-8.7569427391007775</v>
      </c>
      <c r="S4" s="9">
        <f t="shared" si="2"/>
        <v>20</v>
      </c>
      <c r="T4" s="14">
        <f t="shared" ref="T4:T67" si="9">MAX(C4,0)</f>
        <v>0</v>
      </c>
      <c r="U4" s="14">
        <f t="shared" si="6"/>
        <v>9.0413288964785732E-3</v>
      </c>
      <c r="V4" s="14"/>
      <c r="W4" s="14"/>
      <c r="X4" s="14"/>
    </row>
    <row r="5" spans="1:29" x14ac:dyDescent="0.25">
      <c r="A5" s="10">
        <v>45176</v>
      </c>
      <c r="B5" s="11">
        <v>11752.38</v>
      </c>
      <c r="C5" s="12">
        <f t="shared" si="7"/>
        <v>6.2153684776933282E-4</v>
      </c>
      <c r="G5" s="12">
        <f t="shared" si="8"/>
        <v>6.2134377374037191E-4</v>
      </c>
      <c r="K5" s="12">
        <f>(B5-MAX($B$2:B5))/MAX($B$2:B5)</f>
        <v>-1.0022440562833692E-2</v>
      </c>
      <c r="L5" s="12"/>
      <c r="N5" s="11">
        <f t="shared" si="3"/>
        <v>11834.510496131086</v>
      </c>
      <c r="O5" s="11">
        <f t="shared" si="4"/>
        <v>11852.671241172586</v>
      </c>
      <c r="P5" s="11">
        <f t="shared" si="0"/>
        <v>-18.160745041499467</v>
      </c>
      <c r="Q5" s="11">
        <f t="shared" si="5"/>
        <v>-5.6275763025587953</v>
      </c>
      <c r="R5" s="11">
        <f t="shared" si="1"/>
        <v>-12.533168738940672</v>
      </c>
      <c r="S5" s="9">
        <f t="shared" si="2"/>
        <v>20</v>
      </c>
      <c r="T5" s="14">
        <f t="shared" si="9"/>
        <v>6.2153684776933282E-4</v>
      </c>
      <c r="U5" s="14">
        <f t="shared" si="6"/>
        <v>0</v>
      </c>
      <c r="V5" s="14"/>
      <c r="W5" s="14"/>
      <c r="X5" s="14"/>
    </row>
    <row r="6" spans="1:29" x14ac:dyDescent="0.25">
      <c r="A6" s="10">
        <v>45177</v>
      </c>
      <c r="B6" s="11">
        <v>11712.37</v>
      </c>
      <c r="C6" s="12">
        <f t="shared" si="7"/>
        <v>-3.4044168074890413E-3</v>
      </c>
      <c r="G6" s="12">
        <f t="shared" si="8"/>
        <v>-3.4102250205206423E-3</v>
      </c>
      <c r="K6" s="12">
        <f>(B6-MAX($B$2:B6))/MAX($B$2:B6)</f>
        <v>-1.339273680521859E-2</v>
      </c>
      <c r="L6" s="12"/>
      <c r="N6" s="11">
        <f t="shared" si="3"/>
        <v>11815.719650572459</v>
      </c>
      <c r="O6" s="11">
        <f t="shared" si="4"/>
        <v>11842.278556641282</v>
      </c>
      <c r="P6" s="11">
        <f t="shared" si="0"/>
        <v>-26.558906068823489</v>
      </c>
      <c r="Q6" s="11">
        <f t="shared" si="5"/>
        <v>-9.8138422558117355</v>
      </c>
      <c r="R6" s="11">
        <f t="shared" si="1"/>
        <v>-16.745063813011754</v>
      </c>
      <c r="S6" s="9">
        <f t="shared" si="2"/>
        <v>20</v>
      </c>
      <c r="T6" s="14">
        <f t="shared" si="9"/>
        <v>0</v>
      </c>
      <c r="U6" s="14">
        <f t="shared" si="6"/>
        <v>3.4044168074890413E-3</v>
      </c>
      <c r="V6" s="14"/>
      <c r="W6" s="14"/>
      <c r="X6" s="14"/>
    </row>
    <row r="7" spans="1:29" x14ac:dyDescent="0.25">
      <c r="A7" s="10">
        <v>45180</v>
      </c>
      <c r="B7" s="11">
        <v>11725.83</v>
      </c>
      <c r="C7" s="12">
        <f t="shared" si="7"/>
        <v>1.1492123285039568E-3</v>
      </c>
      <c r="G7" s="12">
        <f t="shared" si="8"/>
        <v>1.1485524894976609E-3</v>
      </c>
      <c r="K7" s="12">
        <f>(B7-MAX($B$2:B7))/MAX($B$2:B7)</f>
        <v>-1.2258915574963664E-2</v>
      </c>
      <c r="L7" s="12"/>
      <c r="N7" s="11">
        <f t="shared" si="3"/>
        <v>11801.890473561311</v>
      </c>
      <c r="O7" s="11">
        <f t="shared" si="4"/>
        <v>11833.652737630817</v>
      </c>
      <c r="P7" s="11">
        <f t="shared" si="0"/>
        <v>-31.762264069506273</v>
      </c>
      <c r="Q7" s="11">
        <f t="shared" si="5"/>
        <v>-14.203526618550644</v>
      </c>
      <c r="R7" s="11">
        <f t="shared" si="1"/>
        <v>-17.558737450955629</v>
      </c>
      <c r="S7" s="9">
        <f t="shared" si="2"/>
        <v>20</v>
      </c>
      <c r="T7" s="14">
        <f t="shared" si="9"/>
        <v>1.1492123285039568E-3</v>
      </c>
      <c r="U7" s="14">
        <f t="shared" si="6"/>
        <v>0</v>
      </c>
      <c r="V7" s="14"/>
      <c r="W7" s="14"/>
      <c r="X7" s="14"/>
    </row>
    <row r="8" spans="1:29" x14ac:dyDescent="0.25">
      <c r="A8" s="10">
        <v>45181</v>
      </c>
      <c r="B8" s="11">
        <v>11736.88</v>
      </c>
      <c r="C8" s="12">
        <f t="shared" si="7"/>
        <v>9.4236399470215559E-4</v>
      </c>
      <c r="G8" s="12">
        <f t="shared" si="8"/>
        <v>9.4192024851130708E-4</v>
      </c>
      <c r="K8" s="12">
        <f>(B8-MAX($B$2:B8))/MAX($B$2:B8)</f>
        <v>-1.1328103940913372E-2</v>
      </c>
      <c r="L8" s="12"/>
      <c r="N8" s="11">
        <f t="shared" si="3"/>
        <v>11791.888862244186</v>
      </c>
      <c r="O8" s="11">
        <f t="shared" si="4"/>
        <v>11826.4843866952</v>
      </c>
      <c r="P8" s="11">
        <f t="shared" si="0"/>
        <v>-34.595524451013262</v>
      </c>
      <c r="Q8" s="11">
        <f t="shared" si="5"/>
        <v>-18.281926185043169</v>
      </c>
      <c r="R8" s="11">
        <f t="shared" si="1"/>
        <v>-16.313598265970093</v>
      </c>
      <c r="S8" s="9">
        <f t="shared" si="2"/>
        <v>20</v>
      </c>
      <c r="T8" s="14">
        <f t="shared" si="9"/>
        <v>9.4236399470215559E-4</v>
      </c>
      <c r="U8" s="14">
        <f t="shared" si="6"/>
        <v>0</v>
      </c>
      <c r="V8" s="14"/>
      <c r="W8" s="14"/>
      <c r="X8" s="14"/>
    </row>
    <row r="9" spans="1:29" x14ac:dyDescent="0.25">
      <c r="A9" s="10">
        <v>45182</v>
      </c>
      <c r="B9" s="11">
        <v>11734.78</v>
      </c>
      <c r="C9" s="12">
        <f t="shared" si="7"/>
        <v>-1.7892318912682281E-4</v>
      </c>
      <c r="G9" s="12">
        <f t="shared" si="8"/>
        <v>-1.7893919779020235E-4</v>
      </c>
      <c r="K9" s="12">
        <f>(B9-MAX($B$2:B9))/MAX($B$2:B9)</f>
        <v>-1.1505000269556304E-2</v>
      </c>
      <c r="L9" s="12"/>
      <c r="N9" s="11">
        <f t="shared" si="3"/>
        <v>11783.10288343739</v>
      </c>
      <c r="O9" s="11">
        <f t="shared" si="4"/>
        <v>11819.691469162221</v>
      </c>
      <c r="P9" s="11">
        <f t="shared" si="0"/>
        <v>-36.588585724830409</v>
      </c>
      <c r="Q9" s="11">
        <f t="shared" si="5"/>
        <v>-21.943258093000615</v>
      </c>
      <c r="R9" s="11">
        <f t="shared" si="1"/>
        <v>-14.645327631829794</v>
      </c>
      <c r="S9" s="9">
        <f t="shared" si="2"/>
        <v>20</v>
      </c>
      <c r="T9" s="14">
        <f t="shared" si="9"/>
        <v>0</v>
      </c>
      <c r="U9" s="14">
        <f t="shared" si="6"/>
        <v>1.7892318912682281E-4</v>
      </c>
      <c r="V9" s="14"/>
      <c r="W9" s="14"/>
      <c r="X9" s="14"/>
    </row>
    <row r="10" spans="1:29" x14ac:dyDescent="0.25">
      <c r="A10" s="10">
        <v>45183</v>
      </c>
      <c r="B10" s="11">
        <v>11775.53</v>
      </c>
      <c r="C10" s="12">
        <f t="shared" si="7"/>
        <v>3.472583209910951E-3</v>
      </c>
      <c r="G10" s="12">
        <f t="shared" si="8"/>
        <v>3.466567715017905E-3</v>
      </c>
      <c r="K10" s="12">
        <f>(B10-MAX($B$2:B10))/MAX($B$2:B10)</f>
        <v>-8.0723691304113356E-3</v>
      </c>
      <c r="L10" s="12"/>
      <c r="N10" s="11">
        <f t="shared" si="3"/>
        <v>11781.937824447023</v>
      </c>
      <c r="O10" s="11">
        <f t="shared" si="4"/>
        <v>11816.420249224277</v>
      </c>
      <c r="P10" s="11">
        <f t="shared" si="0"/>
        <v>-34.482424777253982</v>
      </c>
      <c r="Q10" s="11">
        <f t="shared" si="5"/>
        <v>-24.451091429851289</v>
      </c>
      <c r="R10" s="11">
        <f t="shared" si="1"/>
        <v>-10.031333347402693</v>
      </c>
      <c r="S10" s="9">
        <f t="shared" si="2"/>
        <v>20</v>
      </c>
      <c r="T10" s="14">
        <f t="shared" si="9"/>
        <v>3.472583209910951E-3</v>
      </c>
      <c r="U10" s="14">
        <f t="shared" si="6"/>
        <v>0</v>
      </c>
      <c r="V10" s="14"/>
      <c r="W10" s="14"/>
      <c r="X10" s="14"/>
    </row>
    <row r="11" spans="1:29" x14ac:dyDescent="0.25">
      <c r="A11" s="10">
        <v>45184</v>
      </c>
      <c r="B11" s="11">
        <v>11769.31</v>
      </c>
      <c r="C11" s="12">
        <f t="shared" si="7"/>
        <v>-5.2821401669400636E-4</v>
      </c>
      <c r="G11" s="12">
        <f t="shared" si="8"/>
        <v>-5.2835357086286486E-4</v>
      </c>
      <c r="K11" s="12">
        <f>(B11-MAX($B$2:B11))/MAX($B$2:B11)</f>
        <v>-8.5963192085827637E-3</v>
      </c>
      <c r="L11" s="12"/>
      <c r="N11" s="11">
        <f t="shared" si="3"/>
        <v>11779.995082224403</v>
      </c>
      <c r="O11" s="11">
        <f t="shared" si="4"/>
        <v>11812.930601133588</v>
      </c>
      <c r="P11" s="11">
        <f t="shared" si="0"/>
        <v>-32.935518909185703</v>
      </c>
      <c r="Q11" s="11">
        <f t="shared" si="5"/>
        <v>-26.147976925718172</v>
      </c>
      <c r="R11" s="11">
        <f t="shared" si="1"/>
        <v>-6.7875419834675306</v>
      </c>
      <c r="S11" s="9">
        <f t="shared" si="2"/>
        <v>20</v>
      </c>
      <c r="T11" s="14">
        <f>MAX(C11,0)</f>
        <v>0</v>
      </c>
      <c r="U11" s="14">
        <f t="shared" si="6"/>
        <v>5.2821401669400636E-4</v>
      </c>
      <c r="V11" s="14"/>
      <c r="W11" s="14"/>
      <c r="X11" s="14"/>
    </row>
    <row r="12" spans="1:29" x14ac:dyDescent="0.25">
      <c r="A12" s="10">
        <v>45187</v>
      </c>
      <c r="B12" s="11">
        <v>11807.52</v>
      </c>
      <c r="C12" s="12">
        <f t="shared" si="7"/>
        <v>3.2465794511318258E-3</v>
      </c>
      <c r="G12" s="12">
        <f t="shared" si="8"/>
        <v>3.2413206909799449E-3</v>
      </c>
      <c r="K12" s="12">
        <f>(B12-MAX($B$2:B12))/MAX($B$2:B12)</f>
        <v>-5.3776483907488392E-3</v>
      </c>
      <c r="L12" s="12"/>
      <c r="N12" s="11">
        <f t="shared" si="3"/>
        <v>11784.229684959111</v>
      </c>
      <c r="O12" s="11">
        <f t="shared" si="4"/>
        <v>11812.529815864435</v>
      </c>
      <c r="P12" s="11">
        <f t="shared" si="0"/>
        <v>-28.300130905323385</v>
      </c>
      <c r="Q12" s="11">
        <f t="shared" si="5"/>
        <v>-26.578407721639216</v>
      </c>
      <c r="R12" s="11">
        <f t="shared" si="1"/>
        <v>-1.7217231836841691</v>
      </c>
      <c r="S12" s="9">
        <f t="shared" si="2"/>
        <v>20</v>
      </c>
      <c r="T12" s="14">
        <f t="shared" si="9"/>
        <v>3.2465794511318258E-3</v>
      </c>
      <c r="U12" s="14">
        <f t="shared" si="6"/>
        <v>0</v>
      </c>
      <c r="V12" s="14"/>
      <c r="W12" s="14"/>
      <c r="X12" s="14"/>
    </row>
    <row r="13" spans="1:29" x14ac:dyDescent="0.25">
      <c r="A13" s="10">
        <v>45188</v>
      </c>
      <c r="B13" s="11">
        <v>11799.28</v>
      </c>
      <c r="C13" s="12">
        <f t="shared" si="7"/>
        <v>-6.9786034662655538E-4</v>
      </c>
      <c r="G13" s="12">
        <f t="shared" si="8"/>
        <v>-6.9810396450568446E-4</v>
      </c>
      <c r="K13" s="12">
        <f>(B13-MAX($B$2:B13))/MAX($B$2:B13)</f>
        <v>-6.0717558898053742E-3</v>
      </c>
      <c r="L13" s="12"/>
      <c r="N13" s="11">
        <f t="shared" si="3"/>
        <v>11786.545118042324</v>
      </c>
      <c r="O13" s="11">
        <f t="shared" si="4"/>
        <v>11811.548348022625</v>
      </c>
      <c r="P13" s="11">
        <f t="shared" si="0"/>
        <v>-25.003229980300603</v>
      </c>
      <c r="Q13" s="11">
        <f t="shared" si="5"/>
        <v>-26.263372173371497</v>
      </c>
      <c r="R13" s="11">
        <f t="shared" si="1"/>
        <v>1.2601421930708945</v>
      </c>
      <c r="S13" s="9">
        <f t="shared" si="2"/>
        <v>60</v>
      </c>
      <c r="T13" s="14">
        <f t="shared" si="9"/>
        <v>0</v>
      </c>
      <c r="U13" s="14">
        <f t="shared" si="6"/>
        <v>6.9786034662655538E-4</v>
      </c>
      <c r="V13" s="14"/>
      <c r="W13" s="14"/>
      <c r="X13" s="14"/>
    </row>
    <row r="14" spans="1:29" x14ac:dyDescent="0.25">
      <c r="A14" s="10">
        <v>45189</v>
      </c>
      <c r="B14" s="11">
        <v>11772.24</v>
      </c>
      <c r="C14" s="12">
        <f t="shared" si="7"/>
        <v>-2.2916652541511429E-3</v>
      </c>
      <c r="G14" s="12">
        <f t="shared" si="8"/>
        <v>-2.2942951376129605E-3</v>
      </c>
      <c r="K14" s="12">
        <f>(B14-MAX($B$2:B14))/MAX($B$2:B14)</f>
        <v>-8.349506711952193E-3</v>
      </c>
      <c r="L14" s="12"/>
      <c r="N14" s="11">
        <f t="shared" si="3"/>
        <v>11784.344330651198</v>
      </c>
      <c r="O14" s="11">
        <f t="shared" si="4"/>
        <v>11808.636618539467</v>
      </c>
      <c r="P14" s="11">
        <f t="shared" si="0"/>
        <v>-24.292287888269129</v>
      </c>
      <c r="Q14" s="11">
        <f t="shared" si="5"/>
        <v>-25.869155316351026</v>
      </c>
      <c r="R14" s="11">
        <f t="shared" si="1"/>
        <v>1.5768674280818971</v>
      </c>
      <c r="S14" s="9">
        <f t="shared" si="2"/>
        <v>60</v>
      </c>
      <c r="T14" s="14">
        <f t="shared" si="9"/>
        <v>0</v>
      </c>
      <c r="U14" s="14">
        <f t="shared" si="6"/>
        <v>2.2916652541511429E-3</v>
      </c>
      <c r="V14" s="14"/>
      <c r="W14" s="14"/>
      <c r="X14" s="14"/>
    </row>
    <row r="15" spans="1:29" x14ac:dyDescent="0.25">
      <c r="A15" s="10">
        <v>45190</v>
      </c>
      <c r="B15" s="11">
        <v>11769.52</v>
      </c>
      <c r="C15" s="12">
        <f t="shared" si="7"/>
        <v>-2.3105203427720156E-4</v>
      </c>
      <c r="G15" s="12">
        <f t="shared" si="8"/>
        <v>-2.3107873091076023E-4</v>
      </c>
      <c r="K15" s="12">
        <f>(B15-MAX($B$2:B15))/MAX($B$2:B15)</f>
        <v>-8.57862957571838E-3</v>
      </c>
      <c r="L15" s="12"/>
      <c r="N15" s="11">
        <f t="shared" si="3"/>
        <v>11782.063664397168</v>
      </c>
      <c r="O15" s="11">
        <f t="shared" si="4"/>
        <v>11805.739091240248</v>
      </c>
      <c r="P15" s="11">
        <f t="shared" si="0"/>
        <v>-23.675426843079549</v>
      </c>
      <c r="Q15" s="11">
        <f t="shared" si="5"/>
        <v>-25.430409621696732</v>
      </c>
      <c r="R15" s="11">
        <f t="shared" si="1"/>
        <v>1.7549827786171832</v>
      </c>
      <c r="S15" s="9">
        <f t="shared" si="2"/>
        <v>60</v>
      </c>
      <c r="T15" s="14">
        <f t="shared" si="9"/>
        <v>0</v>
      </c>
      <c r="U15" s="14">
        <f t="shared" si="6"/>
        <v>2.3105203427720156E-4</v>
      </c>
      <c r="V15" s="14"/>
      <c r="W15" s="14"/>
      <c r="X15" s="14"/>
    </row>
    <row r="16" spans="1:29" ht="15" customHeight="1" x14ac:dyDescent="0.25">
      <c r="A16" s="10">
        <v>45191</v>
      </c>
      <c r="B16" s="11">
        <v>11778.13</v>
      </c>
      <c r="C16" s="12">
        <f t="shared" si="7"/>
        <v>7.3155064947405535E-4</v>
      </c>
      <c r="G16" s="12">
        <f t="shared" si="8"/>
        <v>7.3128319672655453E-4</v>
      </c>
      <c r="K16" s="12">
        <f>(B16-MAX($B$2:B16))/MAX($B$2:B16)</f>
        <v>-7.8533546282819645E-3</v>
      </c>
      <c r="L16" s="12"/>
      <c r="M16" s="15">
        <f t="shared" ref="M16:M79" si="10">IF(X16=0,100,100-(100/(1+X16)))</f>
        <v>36.10866723187987</v>
      </c>
      <c r="N16" s="11">
        <f t="shared" si="3"/>
        <v>11781.458485259143</v>
      </c>
      <c r="O16" s="11">
        <f t="shared" si="4"/>
        <v>11803.6939733706</v>
      </c>
      <c r="P16" s="11">
        <f t="shared" si="0"/>
        <v>-22.235488111457016</v>
      </c>
      <c r="Q16" s="11">
        <f t="shared" si="5"/>
        <v>-24.791425319648788</v>
      </c>
      <c r="R16" s="11">
        <f t="shared" si="1"/>
        <v>2.5559372081917715</v>
      </c>
      <c r="S16" s="9">
        <f t="shared" si="2"/>
        <v>60</v>
      </c>
      <c r="T16" s="14">
        <f t="shared" si="9"/>
        <v>7.3155064947405535E-4</v>
      </c>
      <c r="U16" s="14">
        <f t="shared" si="6"/>
        <v>0</v>
      </c>
      <c r="V16" s="14">
        <f>AVERAGE(T3:T16)</f>
        <v>7.2598760582087696E-4</v>
      </c>
      <c r="W16" s="14">
        <f>AVERAGE(U3:U16)</f>
        <v>1.2845756784974985E-3</v>
      </c>
      <c r="X16" s="16">
        <f t="shared" ref="X16:X79" si="11">IF(W16=0,0,V16/W16)</f>
        <v>0.56515752086325266</v>
      </c>
      <c r="Y16" s="17" t="s">
        <v>2040</v>
      </c>
      <c r="Z16" s="17"/>
      <c r="AA16" s="17"/>
      <c r="AB16" s="18"/>
      <c r="AC16" s="18"/>
    </row>
    <row r="17" spans="1:27" x14ac:dyDescent="0.25">
      <c r="A17" s="10">
        <v>45194</v>
      </c>
      <c r="B17" s="11">
        <v>11816.41</v>
      </c>
      <c r="C17" s="12">
        <f t="shared" si="7"/>
        <v>3.2500914831132821E-3</v>
      </c>
      <c r="G17" s="12">
        <f t="shared" si="8"/>
        <v>3.2448213516412206E-3</v>
      </c>
      <c r="K17" s="12">
        <f>(B17-MAX($B$2:B17))/MAX($B$2:B17)</f>
        <v>-4.6287872661599618E-3</v>
      </c>
      <c r="L17" s="12"/>
      <c r="M17" s="15">
        <f t="shared" si="10"/>
        <v>45.032220476704616</v>
      </c>
      <c r="N17" s="11">
        <f t="shared" si="3"/>
        <v>11786.83564137312</v>
      </c>
      <c r="O17" s="11">
        <f t="shared" si="4"/>
        <v>11804.635901269074</v>
      </c>
      <c r="P17" s="11">
        <f t="shared" si="0"/>
        <v>-17.800259895953786</v>
      </c>
      <c r="Q17" s="11">
        <f t="shared" si="5"/>
        <v>-23.393192234909787</v>
      </c>
      <c r="R17" s="11">
        <f t="shared" si="1"/>
        <v>5.5929323389560004</v>
      </c>
      <c r="S17" s="9">
        <f t="shared" si="2"/>
        <v>60</v>
      </c>
      <c r="T17" s="14">
        <f t="shared" si="9"/>
        <v>3.2500914831132821E-3</v>
      </c>
      <c r="U17" s="14">
        <f t="shared" si="6"/>
        <v>0</v>
      </c>
      <c r="V17" s="14">
        <f t="shared" ref="V17:W31" si="12">AVERAGE(T4:T17)</f>
        <v>9.5813699747182568E-4</v>
      </c>
      <c r="W17" s="14">
        <f t="shared" si="12"/>
        <v>1.1695328960602388E-3</v>
      </c>
      <c r="X17" s="16">
        <f t="shared" si="11"/>
        <v>0.81924758226080296</v>
      </c>
      <c r="Y17" s="17" t="s">
        <v>2041</v>
      </c>
      <c r="Z17" s="17"/>
      <c r="AA17" s="17"/>
    </row>
    <row r="18" spans="1:27" x14ac:dyDescent="0.25">
      <c r="A18" s="10">
        <v>45195</v>
      </c>
      <c r="B18" s="11">
        <v>11853.84</v>
      </c>
      <c r="C18" s="12">
        <f t="shared" si="7"/>
        <v>3.167628746802098E-3</v>
      </c>
      <c r="G18" s="12">
        <f t="shared" si="8"/>
        <v>3.1626223802842831E-3</v>
      </c>
      <c r="K18" s="12">
        <f>(B18-MAX($B$2:B18))/MAX($B$2:B18)</f>
        <v>-1.4758207989649405E-3</v>
      </c>
      <c r="L18" s="12"/>
      <c r="M18" s="15">
        <f t="shared" si="10"/>
        <v>69.339172593795197</v>
      </c>
      <c r="N18" s="11">
        <f t="shared" si="3"/>
        <v>11797.144004238793</v>
      </c>
      <c r="O18" s="11">
        <f t="shared" si="4"/>
        <v>11808.280649323216</v>
      </c>
      <c r="P18" s="11">
        <f t="shared" si="0"/>
        <v>-11.136645084423435</v>
      </c>
      <c r="Q18" s="11">
        <f t="shared" si="5"/>
        <v>-20.941882804812519</v>
      </c>
      <c r="R18" s="11">
        <f t="shared" si="1"/>
        <v>9.8052377203890835</v>
      </c>
      <c r="S18" s="9">
        <f t="shared" si="2"/>
        <v>60</v>
      </c>
      <c r="T18" s="14">
        <f t="shared" si="9"/>
        <v>3.167628746802098E-3</v>
      </c>
      <c r="U18" s="14">
        <f t="shared" si="6"/>
        <v>0</v>
      </c>
      <c r="V18" s="14">
        <f t="shared" si="12"/>
        <v>1.1843961936719755E-3</v>
      </c>
      <c r="W18" s="14">
        <f t="shared" si="12"/>
        <v>5.2372368916891218E-4</v>
      </c>
      <c r="X18" s="16">
        <f t="shared" si="11"/>
        <v>2.2614905878163976</v>
      </c>
    </row>
    <row r="19" spans="1:27" x14ac:dyDescent="0.25">
      <c r="A19" s="10">
        <v>45196</v>
      </c>
      <c r="B19" s="11">
        <v>11865.32</v>
      </c>
      <c r="C19" s="12">
        <f t="shared" si="7"/>
        <v>9.6846254040872104E-4</v>
      </c>
      <c r="G19" s="12">
        <f t="shared" si="8"/>
        <v>9.6799388312290976E-4</v>
      </c>
      <c r="K19" s="12">
        <f>(B19-MAX($B$2:B19))/MAX($B$2:B19)</f>
        <v>-5.0878753571628461E-4</v>
      </c>
      <c r="L19" s="12"/>
      <c r="M19" s="15">
        <f t="shared" si="10"/>
        <v>69.777621231010272</v>
      </c>
      <c r="N19" s="11">
        <f t="shared" si="3"/>
        <v>11807.632618971287</v>
      </c>
      <c r="O19" s="11">
        <f t="shared" si="4"/>
        <v>11812.505786410386</v>
      </c>
      <c r="P19" s="11">
        <f t="shared" si="0"/>
        <v>-4.8731674390983244</v>
      </c>
      <c r="Q19" s="11">
        <f t="shared" si="5"/>
        <v>-17.728139731669682</v>
      </c>
      <c r="R19" s="11">
        <f t="shared" si="1"/>
        <v>12.854972292571357</v>
      </c>
      <c r="S19" s="9">
        <f t="shared" si="2"/>
        <v>60</v>
      </c>
      <c r="T19" s="14">
        <f t="shared" si="9"/>
        <v>9.6846254040872104E-4</v>
      </c>
      <c r="U19" s="14">
        <f t="shared" si="6"/>
        <v>0</v>
      </c>
      <c r="V19" s="14">
        <f t="shared" si="12"/>
        <v>1.2091766002890747E-3</v>
      </c>
      <c r="W19" s="14">
        <f t="shared" si="12"/>
        <v>5.2372368916891218E-4</v>
      </c>
      <c r="X19" s="16">
        <f t="shared" si="11"/>
        <v>2.3088063902702123</v>
      </c>
    </row>
    <row r="20" spans="1:27" x14ac:dyDescent="0.25">
      <c r="A20" s="10">
        <v>45201</v>
      </c>
      <c r="B20" s="11">
        <v>11789.09</v>
      </c>
      <c r="C20" s="12">
        <f t="shared" si="7"/>
        <v>-6.4246054889374182E-3</v>
      </c>
      <c r="G20" s="12">
        <f t="shared" si="8"/>
        <v>-6.4453320879542817E-3</v>
      </c>
      <c r="K20" s="12">
        <f>(B20-MAX($B$2:B20))/MAX($B$2:B20)</f>
        <v>-6.9301242654590907E-3</v>
      </c>
      <c r="L20" s="12"/>
      <c r="M20" s="15">
        <f t="shared" si="10"/>
        <v>62.052714410442611</v>
      </c>
      <c r="N20" s="11">
        <f t="shared" si="3"/>
        <v>11804.77990836032</v>
      </c>
      <c r="O20" s="11">
        <f t="shared" si="4"/>
        <v>11810.771283713319</v>
      </c>
      <c r="P20" s="11">
        <f t="shared" si="0"/>
        <v>-5.9913753529981477</v>
      </c>
      <c r="Q20" s="11">
        <f t="shared" si="5"/>
        <v>-15.380786855935376</v>
      </c>
      <c r="R20" s="11">
        <f t="shared" si="1"/>
        <v>9.3894115029372287</v>
      </c>
      <c r="S20" s="9">
        <f t="shared" si="2"/>
        <v>60</v>
      </c>
      <c r="T20" s="14">
        <f t="shared" si="9"/>
        <v>0</v>
      </c>
      <c r="U20" s="14">
        <f t="shared" si="6"/>
        <v>6.4246054889374182E-3</v>
      </c>
      <c r="V20" s="14">
        <f t="shared" si="12"/>
        <v>1.2091766002890747E-3</v>
      </c>
      <c r="W20" s="14">
        <f t="shared" si="12"/>
        <v>7.394514521295105E-4</v>
      </c>
      <c r="X20" s="16">
        <f t="shared" si="11"/>
        <v>1.6352346010097423</v>
      </c>
    </row>
    <row r="21" spans="1:27" x14ac:dyDescent="0.25">
      <c r="A21" s="10">
        <v>45202</v>
      </c>
      <c r="B21" s="11">
        <v>11715.45</v>
      </c>
      <c r="C21" s="12">
        <f t="shared" si="7"/>
        <v>-6.2464532885913027E-3</v>
      </c>
      <c r="D21" s="11">
        <f>AVERAGE(B2:B21)</f>
        <v>11782.128000000001</v>
      </c>
      <c r="E21" s="11"/>
      <c r="F21" s="11"/>
      <c r="G21" s="12">
        <f t="shared" si="8"/>
        <v>-6.2660440021945667E-3</v>
      </c>
      <c r="H21" s="19">
        <f t="shared" ref="H21:H84" si="13">STDEV(G2:G21)*SQRT(252)</f>
        <v>5.5694147602364762E-2</v>
      </c>
      <c r="I21" s="11">
        <f t="shared" ref="I21:I84" si="14">MAX(B2:B21)</f>
        <v>11871.36</v>
      </c>
      <c r="J21" s="11">
        <f t="shared" ref="J21:J84" si="15">MIN(B2:B21)</f>
        <v>11712.37</v>
      </c>
      <c r="K21" s="12">
        <f>(B21-MAX($B$2:B21))/MAX($B$2:B21)</f>
        <v>-1.3133288856542118E-2</v>
      </c>
      <c r="L21" s="12">
        <f t="shared" ref="L21:L84" si="16">(B21/B2)-1</f>
        <v>-1.313328885654208E-2</v>
      </c>
      <c r="M21" s="15">
        <f t="shared" si="10"/>
        <v>48.734460605903692</v>
      </c>
      <c r="N21" s="11">
        <f t="shared" si="3"/>
        <v>11791.036845535655</v>
      </c>
      <c r="O21" s="11">
        <f t="shared" si="4"/>
        <v>11803.710447882702</v>
      </c>
      <c r="P21" s="11">
        <f t="shared" si="0"/>
        <v>-12.673602347047563</v>
      </c>
      <c r="Q21" s="11">
        <f t="shared" si="5"/>
        <v>-14.839349954157814</v>
      </c>
      <c r="R21" s="11">
        <f t="shared" si="1"/>
        <v>2.1657476071102515</v>
      </c>
      <c r="S21" s="9">
        <f t="shared" si="2"/>
        <v>100</v>
      </c>
      <c r="T21" s="14">
        <f t="shared" si="9"/>
        <v>0</v>
      </c>
      <c r="U21" s="14">
        <f t="shared" si="6"/>
        <v>6.2464532885913027E-3</v>
      </c>
      <c r="V21" s="14">
        <f t="shared" si="12"/>
        <v>1.1270900053959349E-3</v>
      </c>
      <c r="W21" s="14">
        <f t="shared" si="12"/>
        <v>1.1856266870288892E-3</v>
      </c>
      <c r="X21" s="16">
        <f t="shared" si="11"/>
        <v>0.95062806676556522</v>
      </c>
    </row>
    <row r="22" spans="1:27" x14ac:dyDescent="0.25">
      <c r="A22" s="10">
        <v>45203</v>
      </c>
      <c r="B22" s="11">
        <v>11660.21</v>
      </c>
      <c r="C22" s="12">
        <f t="shared" si="7"/>
        <v>-4.7151411170720525E-3</v>
      </c>
      <c r="D22" s="11">
        <f t="shared" ref="D22:D85" si="17">AVERAGE(B3:B22)</f>
        <v>11771.5705</v>
      </c>
      <c r="E22" s="11"/>
      <c r="F22" s="11"/>
      <c r="G22" s="12">
        <f t="shared" si="8"/>
        <v>-4.726292462201194E-3</v>
      </c>
      <c r="H22" s="19">
        <f t="shared" si="13"/>
        <v>5.606485797150372E-2</v>
      </c>
      <c r="I22" s="11">
        <f t="shared" si="14"/>
        <v>11865.32</v>
      </c>
      <c r="J22" s="11">
        <f t="shared" si="15"/>
        <v>11660.21</v>
      </c>
      <c r="K22" s="12">
        <f>(B22-MAX($B$2:B22))/MAX($B$2:B22)</f>
        <v>-1.7786504663324289E-2</v>
      </c>
      <c r="L22" s="12">
        <f t="shared" si="16"/>
        <v>-1.6202000634479297E-2</v>
      </c>
      <c r="M22" s="15">
        <f t="shared" si="10"/>
        <v>41.041668902607256</v>
      </c>
      <c r="N22" s="11">
        <f t="shared" si="3"/>
        <v>11770.909638530169</v>
      </c>
      <c r="O22" s="11">
        <f t="shared" si="4"/>
        <v>11793.080785076578</v>
      </c>
      <c r="P22" s="11">
        <f t="shared" si="0"/>
        <v>-22.171146546408636</v>
      </c>
      <c r="Q22" s="11">
        <f t="shared" si="5"/>
        <v>-16.305709272607977</v>
      </c>
      <c r="R22" s="11">
        <f t="shared" si="1"/>
        <v>-5.8654372738006586</v>
      </c>
      <c r="S22" s="9">
        <f t="shared" si="2"/>
        <v>60</v>
      </c>
      <c r="T22" s="14">
        <f t="shared" si="9"/>
        <v>0</v>
      </c>
      <c r="U22" s="14">
        <f t="shared" si="6"/>
        <v>4.7151411170720525E-3</v>
      </c>
      <c r="V22" s="14">
        <f t="shared" si="12"/>
        <v>1.0597782914886381E-3</v>
      </c>
      <c r="W22" s="14">
        <f t="shared" si="12"/>
        <v>1.5224224811054645E-3</v>
      </c>
      <c r="X22" s="16">
        <f t="shared" si="11"/>
        <v>0.69611313852847845</v>
      </c>
    </row>
    <row r="23" spans="1:27" x14ac:dyDescent="0.25">
      <c r="A23" s="10">
        <v>45204</v>
      </c>
      <c r="B23" s="11">
        <v>12252.3</v>
      </c>
      <c r="C23" s="12">
        <f t="shared" si="7"/>
        <v>5.0778673797470253E-2</v>
      </c>
      <c r="D23" s="11">
        <f t="shared" si="17"/>
        <v>11791.5735</v>
      </c>
      <c r="E23" s="11"/>
      <c r="F23" s="11"/>
      <c r="G23" s="12">
        <f t="shared" si="8"/>
        <v>4.9531483417235463E-2</v>
      </c>
      <c r="H23" s="19">
        <f t="shared" si="13"/>
        <v>0.18743261390414193</v>
      </c>
      <c r="I23" s="11">
        <f t="shared" si="14"/>
        <v>12252.3</v>
      </c>
      <c r="J23" s="11">
        <f t="shared" si="15"/>
        <v>11660.21</v>
      </c>
      <c r="K23" s="12">
        <f>(B23-MAX($B$2:B23))/MAX($B$2:B23)</f>
        <v>0</v>
      </c>
      <c r="L23" s="12">
        <f t="shared" si="16"/>
        <v>4.3185742455564391E-2</v>
      </c>
      <c r="M23" s="15">
        <f t="shared" si="10"/>
        <v>75.637055023898014</v>
      </c>
      <c r="N23" s="11">
        <f t="shared" si="3"/>
        <v>11844.969694140913</v>
      </c>
      <c r="O23" s="11">
        <f t="shared" si="4"/>
        <v>11827.097023219054</v>
      </c>
      <c r="P23" s="11">
        <f t="shared" si="0"/>
        <v>17.872670921859026</v>
      </c>
      <c r="Q23" s="11">
        <f t="shared" si="5"/>
        <v>-9.4700332337145774</v>
      </c>
      <c r="R23" s="11">
        <f t="shared" si="1"/>
        <v>27.342704155573603</v>
      </c>
      <c r="S23" s="9">
        <f t="shared" si="2"/>
        <v>100</v>
      </c>
      <c r="T23" s="14">
        <f t="shared" si="9"/>
        <v>5.0778673797470253E-2</v>
      </c>
      <c r="U23" s="14">
        <f t="shared" si="6"/>
        <v>0</v>
      </c>
      <c r="V23" s="14">
        <f t="shared" si="12"/>
        <v>4.6868264198793707E-3</v>
      </c>
      <c r="W23" s="14">
        <f t="shared" si="12"/>
        <v>1.5096422533106915E-3</v>
      </c>
      <c r="X23" s="16">
        <f t="shared" si="11"/>
        <v>3.1045940914816192</v>
      </c>
    </row>
    <row r="24" spans="1:27" x14ac:dyDescent="0.25">
      <c r="A24" s="10">
        <v>45205</v>
      </c>
      <c r="B24" s="11">
        <v>12294.36</v>
      </c>
      <c r="C24" s="12">
        <f t="shared" si="7"/>
        <v>3.4328248573738396E-3</v>
      </c>
      <c r="D24" s="11">
        <f t="shared" si="17"/>
        <v>11819.0375</v>
      </c>
      <c r="E24" s="11"/>
      <c r="F24" s="11"/>
      <c r="G24" s="12">
        <f t="shared" si="8"/>
        <v>3.4269461639647326E-3</v>
      </c>
      <c r="H24" s="19">
        <f t="shared" si="13"/>
        <v>0.18313410696174351</v>
      </c>
      <c r="I24" s="11">
        <f t="shared" si="14"/>
        <v>12294.36</v>
      </c>
      <c r="J24" s="11">
        <f t="shared" si="15"/>
        <v>11660.21</v>
      </c>
      <c r="K24" s="12">
        <f>(B24-MAX($B$2:B24))/MAX($B$2:B24)</f>
        <v>0</v>
      </c>
      <c r="L24" s="12">
        <f t="shared" si="16"/>
        <v>4.6116616378980346E-2</v>
      </c>
      <c r="M24" s="15">
        <f t="shared" si="10"/>
        <v>75.625884206411797</v>
      </c>
      <c r="N24" s="11">
        <f t="shared" si="3"/>
        <v>11914.10666427308</v>
      </c>
      <c r="O24" s="11">
        <f t="shared" si="4"/>
        <v>11861.709095573198</v>
      </c>
      <c r="P24" s="11">
        <f t="shared" si="0"/>
        <v>52.397568699881958</v>
      </c>
      <c r="Q24" s="11">
        <f t="shared" si="5"/>
        <v>2.9034871530047299</v>
      </c>
      <c r="R24" s="11">
        <f t="shared" si="1"/>
        <v>49.494081546877226</v>
      </c>
      <c r="S24" s="9">
        <f t="shared" si="2"/>
        <v>100</v>
      </c>
      <c r="T24" s="14">
        <f t="shared" si="9"/>
        <v>3.4328248573738396E-3</v>
      </c>
      <c r="U24" s="14">
        <f t="shared" si="6"/>
        <v>0</v>
      </c>
      <c r="V24" s="14">
        <f t="shared" si="12"/>
        <v>4.6839865375552913E-3</v>
      </c>
      <c r="W24" s="14">
        <f t="shared" si="12"/>
        <v>1.5096422533106915E-3</v>
      </c>
      <c r="X24" s="16">
        <f t="shared" si="11"/>
        <v>3.1027129290288253</v>
      </c>
    </row>
    <row r="25" spans="1:27" x14ac:dyDescent="0.25">
      <c r="A25" s="10">
        <v>45208</v>
      </c>
      <c r="B25" s="11">
        <v>12229.44</v>
      </c>
      <c r="C25" s="12">
        <f t="shared" si="7"/>
        <v>-5.2804700692025142E-3</v>
      </c>
      <c r="D25" s="11">
        <f t="shared" si="17"/>
        <v>11842.8905</v>
      </c>
      <c r="E25" s="11"/>
      <c r="F25" s="11"/>
      <c r="G25" s="12">
        <f t="shared" si="8"/>
        <v>-5.2944610255635524E-3</v>
      </c>
      <c r="H25" s="19">
        <f t="shared" si="13"/>
        <v>0.1850410147684684</v>
      </c>
      <c r="I25" s="11">
        <f t="shared" si="14"/>
        <v>12294.36</v>
      </c>
      <c r="J25" s="11">
        <f t="shared" si="15"/>
        <v>11660.21</v>
      </c>
      <c r="K25" s="12">
        <f>(B25-MAX($B$2:B25))/MAX($B$2:B25)</f>
        <v>-5.2804700692024691E-3</v>
      </c>
      <c r="L25" s="12">
        <f t="shared" si="16"/>
        <v>4.4147341656727068E-2</v>
      </c>
      <c r="M25" s="15">
        <f t="shared" si="10"/>
        <v>71.696499278924307</v>
      </c>
      <c r="N25" s="11">
        <f t="shared" si="3"/>
        <v>11962.619485154144</v>
      </c>
      <c r="O25" s="11">
        <f t="shared" si="4"/>
        <v>11888.948421827035</v>
      </c>
      <c r="P25" s="11">
        <f t="shared" si="0"/>
        <v>73.671063327108641</v>
      </c>
      <c r="Q25" s="11">
        <f t="shared" si="5"/>
        <v>17.057002387825513</v>
      </c>
      <c r="R25" s="11">
        <f t="shared" si="1"/>
        <v>56.614060939283128</v>
      </c>
      <c r="S25" s="9">
        <f t="shared" si="2"/>
        <v>100</v>
      </c>
      <c r="T25" s="14">
        <f t="shared" si="9"/>
        <v>0</v>
      </c>
      <c r="U25" s="14">
        <f t="shared" si="6"/>
        <v>5.2804700692025142E-3</v>
      </c>
      <c r="V25" s="14">
        <f t="shared" si="12"/>
        <v>4.6839865375552913E-3</v>
      </c>
      <c r="W25" s="14">
        <f t="shared" si="12"/>
        <v>1.8490891142041563E-3</v>
      </c>
      <c r="X25" s="16">
        <f t="shared" si="11"/>
        <v>2.5331318548004478</v>
      </c>
    </row>
    <row r="26" spans="1:27" x14ac:dyDescent="0.25">
      <c r="A26" s="10">
        <v>45209</v>
      </c>
      <c r="B26" s="11">
        <v>12225.36</v>
      </c>
      <c r="C26" s="12">
        <f t="shared" si="7"/>
        <v>-3.3362116335666769E-4</v>
      </c>
      <c r="D26" s="11">
        <f t="shared" si="17"/>
        <v>11868.539999999999</v>
      </c>
      <c r="E26" s="11"/>
      <c r="F26" s="11"/>
      <c r="G26" s="12">
        <f t="shared" si="8"/>
        <v>-3.3367682727777307E-4</v>
      </c>
      <c r="H26" s="19">
        <f t="shared" si="13"/>
        <v>0.18417048527273117</v>
      </c>
      <c r="I26" s="11">
        <f t="shared" si="14"/>
        <v>12294.36</v>
      </c>
      <c r="J26" s="11">
        <f t="shared" si="15"/>
        <v>11660.21</v>
      </c>
      <c r="K26" s="12">
        <f>(B26-MAX($B$2:B26))/MAX($B$2:B26)</f>
        <v>-5.6123295559915272E-3</v>
      </c>
      <c r="L26" s="12">
        <f t="shared" si="16"/>
        <v>4.2600822287206963E-2</v>
      </c>
      <c r="M26" s="15">
        <f t="shared" si="10"/>
        <v>70.388663011774938</v>
      </c>
      <c r="N26" s="11">
        <f t="shared" si="3"/>
        <v>12003.041102822737</v>
      </c>
      <c r="O26" s="11">
        <f t="shared" si="4"/>
        <v>11913.867797987996</v>
      </c>
      <c r="P26" s="11">
        <f t="shared" si="0"/>
        <v>89.17330483474143</v>
      </c>
      <c r="Q26" s="11">
        <f t="shared" si="5"/>
        <v>31.480262877208698</v>
      </c>
      <c r="R26" s="11">
        <f t="shared" si="1"/>
        <v>57.693041957532728</v>
      </c>
      <c r="S26" s="9">
        <f t="shared" si="2"/>
        <v>100</v>
      </c>
      <c r="T26" s="14">
        <f t="shared" si="9"/>
        <v>0</v>
      </c>
      <c r="U26" s="14">
        <f t="shared" si="6"/>
        <v>3.3362116335666769E-4</v>
      </c>
      <c r="V26" s="14">
        <f t="shared" si="12"/>
        <v>4.4520880053315892E-3</v>
      </c>
      <c r="W26" s="14">
        <f t="shared" si="12"/>
        <v>1.8729191973010611E-3</v>
      </c>
      <c r="X26" s="16">
        <f t="shared" si="11"/>
        <v>2.3770849333741659</v>
      </c>
    </row>
    <row r="27" spans="1:27" x14ac:dyDescent="0.25">
      <c r="A27" s="10">
        <v>45210</v>
      </c>
      <c r="B27" s="11">
        <v>12278.56</v>
      </c>
      <c r="C27" s="12">
        <f t="shared" si="7"/>
        <v>4.3516100957352588E-3</v>
      </c>
      <c r="D27" s="11">
        <f t="shared" si="17"/>
        <v>11896.176499999998</v>
      </c>
      <c r="E27" s="11"/>
      <c r="F27" s="11"/>
      <c r="G27" s="12">
        <f t="shared" si="8"/>
        <v>4.3421692192890269E-3</v>
      </c>
      <c r="H27" s="19">
        <f t="shared" si="13"/>
        <v>0.18429054108070186</v>
      </c>
      <c r="I27" s="11">
        <f t="shared" si="14"/>
        <v>12294.36</v>
      </c>
      <c r="J27" s="11">
        <f t="shared" si="15"/>
        <v>11660.21</v>
      </c>
      <c r="K27" s="12">
        <f>(B27-MAX($B$2:B27))/MAX($B$2:B27)</f>
        <v>-1.2851421302126414E-3</v>
      </c>
      <c r="L27" s="12">
        <f t="shared" si="16"/>
        <v>4.6151958612510313E-2</v>
      </c>
      <c r="M27" s="15">
        <f t="shared" si="10"/>
        <v>72.318934346682141</v>
      </c>
      <c r="N27" s="11">
        <f t="shared" si="3"/>
        <v>12045.428625465393</v>
      </c>
      <c r="O27" s="11">
        <f t="shared" si="4"/>
        <v>11940.882035174071</v>
      </c>
      <c r="P27" s="11">
        <f t="shared" si="0"/>
        <v>104.54659029132199</v>
      </c>
      <c r="Q27" s="11">
        <f t="shared" si="5"/>
        <v>46.093528360031357</v>
      </c>
      <c r="R27" s="11">
        <f t="shared" si="1"/>
        <v>58.453061931290634</v>
      </c>
      <c r="S27" s="9">
        <f t="shared" si="2"/>
        <v>100</v>
      </c>
      <c r="T27" s="14">
        <f t="shared" si="9"/>
        <v>4.3516100957352588E-3</v>
      </c>
      <c r="U27" s="14">
        <f t="shared" si="6"/>
        <v>0</v>
      </c>
      <c r="V27" s="14">
        <f t="shared" si="12"/>
        <v>4.7629172978841073E-3</v>
      </c>
      <c r="W27" s="14">
        <f t="shared" si="12"/>
        <v>1.8230720296848785E-3</v>
      </c>
      <c r="X27" s="16">
        <f t="shared" si="11"/>
        <v>2.6125776822473585</v>
      </c>
    </row>
    <row r="28" spans="1:27" x14ac:dyDescent="0.25">
      <c r="A28" s="10">
        <v>45211</v>
      </c>
      <c r="B28" s="11">
        <v>12269.23</v>
      </c>
      <c r="C28" s="12">
        <f t="shared" si="7"/>
        <v>-7.5986109120285139E-4</v>
      </c>
      <c r="D28" s="11">
        <f t="shared" si="17"/>
        <v>11922.793999999998</v>
      </c>
      <c r="E28" s="11"/>
      <c r="F28" s="11"/>
      <c r="G28" s="12">
        <f t="shared" si="8"/>
        <v>-7.6014993197032286E-4</v>
      </c>
      <c r="H28" s="19">
        <f t="shared" si="13"/>
        <v>0.18455611556573231</v>
      </c>
      <c r="I28" s="11">
        <f t="shared" si="14"/>
        <v>12294.36</v>
      </c>
      <c r="J28" s="11">
        <f t="shared" si="15"/>
        <v>11660.21</v>
      </c>
      <c r="K28" s="12">
        <f>(B28-MAX($B$2:B28))/MAX($B$2:B28)</f>
        <v>-2.0440266919140985E-3</v>
      </c>
      <c r="L28" s="12">
        <f t="shared" si="16"/>
        <v>4.5544100528514209E-2</v>
      </c>
      <c r="M28" s="15">
        <f t="shared" si="10"/>
        <v>73.540682934724487</v>
      </c>
      <c r="N28" s="11">
        <f t="shared" si="3"/>
        <v>12079.859606163023</v>
      </c>
      <c r="O28" s="11">
        <f t="shared" si="4"/>
        <v>11965.204106642657</v>
      </c>
      <c r="P28" s="11">
        <f t="shared" si="0"/>
        <v>114.65549952036599</v>
      </c>
      <c r="Q28" s="11">
        <f t="shared" si="5"/>
        <v>59.805922592098284</v>
      </c>
      <c r="R28" s="11">
        <f t="shared" si="1"/>
        <v>54.849576928267709</v>
      </c>
      <c r="S28" s="9">
        <f t="shared" si="2"/>
        <v>100</v>
      </c>
      <c r="T28" s="14">
        <f t="shared" si="9"/>
        <v>0</v>
      </c>
      <c r="U28" s="14">
        <f t="shared" si="6"/>
        <v>7.5986109120285139E-4</v>
      </c>
      <c r="V28" s="14">
        <f t="shared" si="12"/>
        <v>4.7629172978841073E-3</v>
      </c>
      <c r="W28" s="14">
        <f t="shared" si="12"/>
        <v>1.7136574466171434E-3</v>
      </c>
      <c r="X28" s="16">
        <f t="shared" si="11"/>
        <v>2.7793870398581557</v>
      </c>
    </row>
    <row r="29" spans="1:27" x14ac:dyDescent="0.25">
      <c r="A29" s="10">
        <v>45212</v>
      </c>
      <c r="B29" s="11">
        <v>12237.11</v>
      </c>
      <c r="C29" s="12">
        <f t="shared" si="7"/>
        <v>-2.6179311986163079E-3</v>
      </c>
      <c r="D29" s="11">
        <f t="shared" si="17"/>
        <v>11947.910500000002</v>
      </c>
      <c r="E29" s="11"/>
      <c r="F29" s="11"/>
      <c r="G29" s="12">
        <f t="shared" si="8"/>
        <v>-2.6213639729835972E-3</v>
      </c>
      <c r="H29" s="19">
        <f t="shared" si="13"/>
        <v>0.18517940914197287</v>
      </c>
      <c r="I29" s="11">
        <f t="shared" si="14"/>
        <v>12294.36</v>
      </c>
      <c r="J29" s="11">
        <f t="shared" si="15"/>
        <v>11660.21</v>
      </c>
      <c r="K29" s="12">
        <f>(B29-MAX($B$2:B29))/MAX($B$2:B29)</f>
        <v>-4.6566067692828256E-3</v>
      </c>
      <c r="L29" s="12">
        <f t="shared" si="16"/>
        <v>3.9198235663278069E-2</v>
      </c>
      <c r="M29" s="15">
        <f t="shared" si="10"/>
        <v>71.654429437596093</v>
      </c>
      <c r="N29" s="11">
        <f t="shared" si="3"/>
        <v>12104.051974445634</v>
      </c>
      <c r="O29" s="11">
        <f t="shared" si="4"/>
        <v>11985.345283928385</v>
      </c>
      <c r="P29" s="11">
        <f t="shared" si="0"/>
        <v>118.70669051724872</v>
      </c>
      <c r="Q29" s="11">
        <f t="shared" si="5"/>
        <v>71.586076177128376</v>
      </c>
      <c r="R29" s="11">
        <f t="shared" si="1"/>
        <v>47.120614340120341</v>
      </c>
      <c r="S29" s="9">
        <f t="shared" si="2"/>
        <v>100</v>
      </c>
      <c r="T29" s="14">
        <f t="shared" si="9"/>
        <v>0</v>
      </c>
      <c r="U29" s="14">
        <f t="shared" si="6"/>
        <v>2.6179311986163079E-3</v>
      </c>
      <c r="V29" s="14">
        <f t="shared" si="12"/>
        <v>4.7629172978841073E-3</v>
      </c>
      <c r="W29" s="14">
        <f t="shared" si="12"/>
        <v>1.8841488154985081E-3</v>
      </c>
      <c r="X29" s="16">
        <f t="shared" si="11"/>
        <v>2.5278880620817281</v>
      </c>
    </row>
    <row r="30" spans="1:27" x14ac:dyDescent="0.25">
      <c r="A30" s="10">
        <v>45215</v>
      </c>
      <c r="B30" s="11">
        <v>12192.99</v>
      </c>
      <c r="C30" s="12">
        <f t="shared" si="7"/>
        <v>-3.6054264446426787E-3</v>
      </c>
      <c r="D30" s="11">
        <f t="shared" si="17"/>
        <v>11968.7835</v>
      </c>
      <c r="E30" s="11"/>
      <c r="F30" s="11"/>
      <c r="G30" s="12">
        <f t="shared" si="8"/>
        <v>-3.6119416593656884E-3</v>
      </c>
      <c r="H30" s="19">
        <f t="shared" si="13"/>
        <v>0.18618634800169823</v>
      </c>
      <c r="I30" s="11">
        <f t="shared" si="14"/>
        <v>12294.36</v>
      </c>
      <c r="J30" s="11">
        <f t="shared" si="15"/>
        <v>11660.21</v>
      </c>
      <c r="K30" s="12">
        <f>(B30-MAX($B$2:B30))/MAX($B$2:B30)</f>
        <v>-8.2452441607371828E-3</v>
      </c>
      <c r="L30" s="12">
        <f t="shared" si="16"/>
        <v>3.5998711904096314E-2</v>
      </c>
      <c r="M30" s="15">
        <f t="shared" si="10"/>
        <v>68.745299387156777</v>
      </c>
      <c r="N30" s="11">
        <f t="shared" si="3"/>
        <v>12117.734747607845</v>
      </c>
      <c r="O30" s="11">
        <f t="shared" si="4"/>
        <v>12000.726374007765</v>
      </c>
      <c r="P30" s="11">
        <f t="shared" si="0"/>
        <v>117.00837360007972</v>
      </c>
      <c r="Q30" s="11">
        <f t="shared" si="5"/>
        <v>80.670535661718645</v>
      </c>
      <c r="R30" s="11">
        <f t="shared" si="1"/>
        <v>36.337837938361076</v>
      </c>
      <c r="S30" s="9">
        <f t="shared" si="2"/>
        <v>100</v>
      </c>
      <c r="T30" s="14">
        <f t="shared" si="9"/>
        <v>0</v>
      </c>
      <c r="U30" s="14">
        <f t="shared" si="6"/>
        <v>3.6054264446426787E-3</v>
      </c>
      <c r="V30" s="14">
        <f t="shared" si="12"/>
        <v>4.7106636800645319E-3</v>
      </c>
      <c r="W30" s="14">
        <f t="shared" si="12"/>
        <v>2.1416792758301279E-3</v>
      </c>
      <c r="X30" s="16">
        <f t="shared" si="11"/>
        <v>2.1995187296373544</v>
      </c>
    </row>
    <row r="31" spans="1:27" x14ac:dyDescent="0.25">
      <c r="A31" s="10">
        <v>45216</v>
      </c>
      <c r="B31" s="11">
        <v>12136.49</v>
      </c>
      <c r="C31" s="12">
        <f t="shared" si="7"/>
        <v>-4.6338100826786022E-3</v>
      </c>
      <c r="D31" s="11">
        <f t="shared" si="17"/>
        <v>11987.142499999998</v>
      </c>
      <c r="E31" s="11"/>
      <c r="F31" s="11"/>
      <c r="G31" s="12">
        <f t="shared" si="8"/>
        <v>-4.6445794623384386E-3</v>
      </c>
      <c r="H31" s="19">
        <f t="shared" si="13"/>
        <v>0.18742124914468003</v>
      </c>
      <c r="I31" s="11">
        <f t="shared" si="14"/>
        <v>12294.36</v>
      </c>
      <c r="J31" s="11">
        <f t="shared" si="15"/>
        <v>11660.21</v>
      </c>
      <c r="K31" s="12">
        <f>(B31-MAX($B$2:B31))/MAX($B$2:B31)</f>
        <v>-1.2840847347889666E-2</v>
      </c>
      <c r="L31" s="12">
        <f t="shared" si="16"/>
        <v>2.7861058037589537E-2</v>
      </c>
      <c r="M31" s="15">
        <f t="shared" si="10"/>
        <v>64.428115647095552</v>
      </c>
      <c r="N31" s="11">
        <f t="shared" si="3"/>
        <v>12120.620171052791</v>
      </c>
      <c r="O31" s="11">
        <f t="shared" si="4"/>
        <v>12010.782938896078</v>
      </c>
      <c r="P31" s="11">
        <f t="shared" si="0"/>
        <v>109.83723215671307</v>
      </c>
      <c r="Q31" s="11">
        <f t="shared" si="5"/>
        <v>86.503874960717525</v>
      </c>
      <c r="R31" s="11">
        <f t="shared" si="1"/>
        <v>23.333357195995546</v>
      </c>
      <c r="S31" s="9">
        <f t="shared" si="2"/>
        <v>100</v>
      </c>
      <c r="T31" s="14">
        <f t="shared" si="9"/>
        <v>0</v>
      </c>
      <c r="U31" s="14">
        <f t="shared" si="6"/>
        <v>4.6338100826786022E-3</v>
      </c>
      <c r="V31" s="14">
        <f t="shared" si="12"/>
        <v>4.4785142884135832E-3</v>
      </c>
      <c r="W31" s="14">
        <f t="shared" si="12"/>
        <v>2.4726657103071709E-3</v>
      </c>
      <c r="X31" s="16">
        <f t="shared" si="11"/>
        <v>1.8112089595229728</v>
      </c>
    </row>
    <row r="32" spans="1:27" x14ac:dyDescent="0.25">
      <c r="A32" s="10">
        <v>45217</v>
      </c>
      <c r="B32" s="11">
        <v>12249.95</v>
      </c>
      <c r="C32" s="12">
        <f t="shared" si="7"/>
        <v>9.3486667067661511E-3</v>
      </c>
      <c r="D32" s="11">
        <f t="shared" si="17"/>
        <v>12009.264000000001</v>
      </c>
      <c r="E32" s="11"/>
      <c r="F32" s="11"/>
      <c r="G32" s="12">
        <f t="shared" si="8"/>
        <v>9.3052383770050092E-3</v>
      </c>
      <c r="H32" s="19">
        <f t="shared" si="13"/>
        <v>0.18937881734984799</v>
      </c>
      <c r="I32" s="11">
        <f t="shared" si="14"/>
        <v>12294.36</v>
      </c>
      <c r="J32" s="11">
        <f t="shared" si="15"/>
        <v>11660.21</v>
      </c>
      <c r="K32" s="12">
        <f>(B32-MAX($B$2:B32))/MAX($B$2:B32)</f>
        <v>-3.6122254432113467E-3</v>
      </c>
      <c r="L32" s="12">
        <f t="shared" si="16"/>
        <v>3.819470340563158E-2</v>
      </c>
      <c r="M32" s="15">
        <f t="shared" si="10"/>
        <v>66.552524878237563</v>
      </c>
      <c r="N32" s="11">
        <f t="shared" si="3"/>
        <v>12140.5170678139</v>
      </c>
      <c r="O32" s="11">
        <f t="shared" si="4"/>
        <v>12028.499017496368</v>
      </c>
      <c r="P32" s="11">
        <f t="shared" si="0"/>
        <v>112.01805031753247</v>
      </c>
      <c r="Q32" s="11">
        <f t="shared" si="5"/>
        <v>91.606710032080514</v>
      </c>
      <c r="R32" s="11">
        <f t="shared" si="1"/>
        <v>20.411340285451956</v>
      </c>
      <c r="S32" s="9">
        <f t="shared" si="2"/>
        <v>100</v>
      </c>
      <c r="T32" s="14">
        <f t="shared" si="9"/>
        <v>9.3486667067661511E-3</v>
      </c>
      <c r="U32" s="14">
        <f t="shared" si="6"/>
        <v>0</v>
      </c>
      <c r="V32" s="14">
        <f t="shared" ref="V32:W47" si="18">AVERAGE(T19:T32)</f>
        <v>4.9200169998395871E-3</v>
      </c>
      <c r="W32" s="14">
        <f t="shared" si="18"/>
        <v>2.4726657103071709E-3</v>
      </c>
      <c r="X32" s="16">
        <f t="shared" si="11"/>
        <v>1.9897622955382797</v>
      </c>
    </row>
    <row r="33" spans="1:24" x14ac:dyDescent="0.25">
      <c r="A33" s="10">
        <v>45218</v>
      </c>
      <c r="B33" s="11">
        <v>12262.69</v>
      </c>
      <c r="C33" s="12">
        <f t="shared" si="7"/>
        <v>1.040004244915238E-3</v>
      </c>
      <c r="D33" s="11">
        <f t="shared" si="17"/>
        <v>12032.434499999999</v>
      </c>
      <c r="E33" s="11"/>
      <c r="F33" s="11"/>
      <c r="G33" s="12">
        <f t="shared" si="8"/>
        <v>1.0394638151675489E-3</v>
      </c>
      <c r="H33" s="19">
        <f t="shared" si="13"/>
        <v>0.18917036561368406</v>
      </c>
      <c r="I33" s="11">
        <f t="shared" si="14"/>
        <v>12294.36</v>
      </c>
      <c r="J33" s="11">
        <f t="shared" si="15"/>
        <v>11660.21</v>
      </c>
      <c r="K33" s="12">
        <f>(B33-MAX($B$2:B33))/MAX($B$2:B33)</f>
        <v>-2.5759779280906101E-3</v>
      </c>
      <c r="L33" s="12">
        <f t="shared" si="16"/>
        <v>4.1661569930616427E-2</v>
      </c>
      <c r="M33" s="15">
        <f t="shared" si="10"/>
        <v>66.575629157311297</v>
      </c>
      <c r="N33" s="11">
        <f t="shared" si="3"/>
        <v>12159.312903534839</v>
      </c>
      <c r="O33" s="11">
        <f t="shared" si="4"/>
        <v>12045.846497681821</v>
      </c>
      <c r="P33" s="11">
        <f t="shared" si="0"/>
        <v>113.46640585301793</v>
      </c>
      <c r="Q33" s="11">
        <f t="shared" si="5"/>
        <v>95.978649196267995</v>
      </c>
      <c r="R33" s="11">
        <f t="shared" si="1"/>
        <v>17.487756656749937</v>
      </c>
      <c r="S33" s="9">
        <f t="shared" si="2"/>
        <v>100</v>
      </c>
      <c r="T33" s="14">
        <f t="shared" si="9"/>
        <v>1.040004244915238E-3</v>
      </c>
      <c r="U33" s="14">
        <f t="shared" si="6"/>
        <v>0</v>
      </c>
      <c r="V33" s="14">
        <f t="shared" si="18"/>
        <v>4.9251271215900528E-3</v>
      </c>
      <c r="W33" s="14">
        <f t="shared" si="18"/>
        <v>2.4726657103071709E-3</v>
      </c>
      <c r="X33" s="16">
        <f t="shared" si="11"/>
        <v>1.9918289403456082</v>
      </c>
    </row>
    <row r="34" spans="1:24" x14ac:dyDescent="0.25">
      <c r="A34" s="10">
        <v>45219</v>
      </c>
      <c r="B34" s="11">
        <v>12236.22</v>
      </c>
      <c r="C34" s="12">
        <f t="shared" si="7"/>
        <v>-2.1585802136400156E-3</v>
      </c>
      <c r="D34" s="11">
        <f t="shared" si="17"/>
        <v>12055.6335</v>
      </c>
      <c r="E34" s="11"/>
      <c r="F34" s="11"/>
      <c r="G34" s="12">
        <f t="shared" si="8"/>
        <v>-2.1609133059586243E-3</v>
      </c>
      <c r="H34" s="19">
        <f t="shared" si="13"/>
        <v>0.18913148586641554</v>
      </c>
      <c r="I34" s="11">
        <f t="shared" si="14"/>
        <v>12294.36</v>
      </c>
      <c r="J34" s="11">
        <f t="shared" si="15"/>
        <v>11660.21</v>
      </c>
      <c r="K34" s="12">
        <f>(B34-MAX($B$2:B34))/MAX($B$2:B34)</f>
        <v>-4.728997686744266E-3</v>
      </c>
      <c r="L34" s="12">
        <f t="shared" si="16"/>
        <v>3.9653273880328133E-2</v>
      </c>
      <c r="M34" s="15">
        <f t="shared" si="10"/>
        <v>69.435694855197724</v>
      </c>
      <c r="N34" s="11">
        <f t="shared" si="3"/>
        <v>12171.144764529479</v>
      </c>
      <c r="O34" s="11">
        <f t="shared" si="4"/>
        <v>12059.948238594279</v>
      </c>
      <c r="P34" s="11">
        <f t="shared" si="0"/>
        <v>111.19652593520004</v>
      </c>
      <c r="Q34" s="11">
        <f t="shared" si="5"/>
        <v>99.02222454405441</v>
      </c>
      <c r="R34" s="11">
        <f t="shared" si="1"/>
        <v>12.174301391145633</v>
      </c>
      <c r="S34" s="9">
        <f t="shared" si="2"/>
        <v>100</v>
      </c>
      <c r="T34" s="14">
        <f t="shared" si="9"/>
        <v>0</v>
      </c>
      <c r="U34" s="14">
        <f t="shared" si="6"/>
        <v>2.1585802136400156E-3</v>
      </c>
      <c r="V34" s="14">
        <f t="shared" si="18"/>
        <v>4.9251271215900528E-3</v>
      </c>
      <c r="W34" s="14">
        <f t="shared" si="18"/>
        <v>2.1679496192144993E-3</v>
      </c>
      <c r="X34" s="16">
        <f t="shared" si="11"/>
        <v>2.2717903949145026</v>
      </c>
    </row>
    <row r="35" spans="1:24" x14ac:dyDescent="0.25">
      <c r="A35" s="10">
        <v>45222</v>
      </c>
      <c r="B35" s="11">
        <v>12243.53</v>
      </c>
      <c r="C35" s="12">
        <f t="shared" si="7"/>
        <v>5.9740671547259261E-4</v>
      </c>
      <c r="D35" s="11">
        <f t="shared" si="17"/>
        <v>12079.334000000003</v>
      </c>
      <c r="E35" s="11"/>
      <c r="F35" s="11"/>
      <c r="G35" s="12">
        <f t="shared" si="8"/>
        <v>5.9722833911936529E-4</v>
      </c>
      <c r="H35" s="19">
        <f t="shared" si="13"/>
        <v>0.18902861927044895</v>
      </c>
      <c r="I35" s="11">
        <f t="shared" si="14"/>
        <v>12294.36</v>
      </c>
      <c r="J35" s="11">
        <f t="shared" si="15"/>
        <v>11660.21</v>
      </c>
      <c r="K35" s="12">
        <f>(B35-MAX($B$2:B35))/MAX($B$2:B35)</f>
        <v>-4.1344161062470859E-3</v>
      </c>
      <c r="L35" s="12">
        <f t="shared" si="16"/>
        <v>3.9513912649970839E-2</v>
      </c>
      <c r="M35" s="15">
        <f t="shared" si="10"/>
        <v>74.261820930579205</v>
      </c>
      <c r="N35" s="11">
        <f t="shared" si="3"/>
        <v>12182.280954601867</v>
      </c>
      <c r="O35" s="11">
        <f t="shared" si="4"/>
        <v>12073.546887587296</v>
      </c>
      <c r="P35" s="11">
        <f t="shared" si="0"/>
        <v>108.73406701457134</v>
      </c>
      <c r="Q35" s="11">
        <f t="shared" si="5"/>
        <v>100.9645930381578</v>
      </c>
      <c r="R35" s="11">
        <f t="shared" si="1"/>
        <v>7.7694739764135363</v>
      </c>
      <c r="S35" s="9">
        <f t="shared" si="2"/>
        <v>100</v>
      </c>
      <c r="T35" s="14">
        <f t="shared" si="9"/>
        <v>5.9740671547259261E-4</v>
      </c>
      <c r="U35" s="14">
        <f t="shared" si="6"/>
        <v>0</v>
      </c>
      <c r="V35" s="14">
        <f t="shared" si="18"/>
        <v>4.9677990298380948E-3</v>
      </c>
      <c r="W35" s="14">
        <f t="shared" si="18"/>
        <v>1.7217743843151207E-3</v>
      </c>
      <c r="X35" s="16">
        <f t="shared" si="11"/>
        <v>2.8852787421472543</v>
      </c>
    </row>
    <row r="36" spans="1:24" x14ac:dyDescent="0.25">
      <c r="A36" s="10">
        <v>45223</v>
      </c>
      <c r="B36" s="11">
        <v>12211.87</v>
      </c>
      <c r="C36" s="12">
        <f t="shared" si="7"/>
        <v>-2.5858555498291524E-3</v>
      </c>
      <c r="D36" s="11">
        <f t="shared" si="17"/>
        <v>12101.021000000002</v>
      </c>
      <c r="E36" s="11"/>
      <c r="F36" s="11"/>
      <c r="G36" s="12">
        <f t="shared" si="8"/>
        <v>-2.5892046490618458E-3</v>
      </c>
      <c r="H36" s="19">
        <f t="shared" si="13"/>
        <v>0.18968452925714233</v>
      </c>
      <c r="I36" s="11">
        <f t="shared" si="14"/>
        <v>12294.36</v>
      </c>
      <c r="J36" s="11">
        <f t="shared" si="15"/>
        <v>11660.21</v>
      </c>
      <c r="K36" s="12">
        <f>(B36-MAX($B$2:B36))/MAX($B$2:B36)</f>
        <v>-6.7095806532426073E-3</v>
      </c>
      <c r="L36" s="12">
        <f t="shared" si="16"/>
        <v>3.3467017478235883E-2</v>
      </c>
      <c r="M36" s="15">
        <f t="shared" si="10"/>
        <v>75.989491718285294</v>
      </c>
      <c r="N36" s="11">
        <f t="shared" si="3"/>
        <v>12186.83311543235</v>
      </c>
      <c r="O36" s="11">
        <f t="shared" si="4"/>
        <v>12083.793044062311</v>
      </c>
      <c r="P36" s="11">
        <f t="shared" si="0"/>
        <v>103.04007137003828</v>
      </c>
      <c r="Q36" s="11">
        <f t="shared" si="5"/>
        <v>101.3796887045339</v>
      </c>
      <c r="R36" s="11">
        <f t="shared" si="1"/>
        <v>1.6603826655043719</v>
      </c>
      <c r="S36" s="9">
        <f t="shared" si="2"/>
        <v>100</v>
      </c>
      <c r="T36" s="14">
        <f t="shared" si="9"/>
        <v>0</v>
      </c>
      <c r="U36" s="14">
        <f t="shared" si="6"/>
        <v>2.5858555498291524E-3</v>
      </c>
      <c r="V36" s="14">
        <f t="shared" si="18"/>
        <v>4.9677990298380948E-3</v>
      </c>
      <c r="W36" s="14">
        <f t="shared" si="18"/>
        <v>1.569682558083485E-3</v>
      </c>
      <c r="X36" s="16">
        <f t="shared" si="11"/>
        <v>3.164843110637328</v>
      </c>
    </row>
    <row r="37" spans="1:24" x14ac:dyDescent="0.25">
      <c r="A37" s="10">
        <v>45224</v>
      </c>
      <c r="B37" s="11">
        <v>12141.63</v>
      </c>
      <c r="C37" s="12">
        <f t="shared" si="7"/>
        <v>-5.7517808492886235E-3</v>
      </c>
      <c r="D37" s="11">
        <f t="shared" si="17"/>
        <v>12117.282000000001</v>
      </c>
      <c r="E37" s="11"/>
      <c r="F37" s="11"/>
      <c r="G37" s="12">
        <f t="shared" si="8"/>
        <v>-5.7683860443330298E-3</v>
      </c>
      <c r="H37" s="19">
        <f t="shared" si="13"/>
        <v>0.19146890246028123</v>
      </c>
      <c r="I37" s="11">
        <f t="shared" si="14"/>
        <v>12294.36</v>
      </c>
      <c r="J37" s="11">
        <f t="shared" si="15"/>
        <v>11660.21</v>
      </c>
      <c r="K37" s="12">
        <f>(B37-MAX($B$2:B37))/MAX($B$2:B37)</f>
        <v>-1.2422769465023098E-2</v>
      </c>
      <c r="L37" s="12">
        <f t="shared" si="16"/>
        <v>2.4278208580510441E-2</v>
      </c>
      <c r="M37" s="15">
        <f t="shared" si="10"/>
        <v>40.36856093307216</v>
      </c>
      <c r="N37" s="11">
        <f t="shared" si="3"/>
        <v>12179.878789981218</v>
      </c>
      <c r="O37" s="11">
        <f t="shared" si="4"/>
        <v>12088.077263020657</v>
      </c>
      <c r="P37" s="11">
        <f t="shared" si="0"/>
        <v>91.801526960560295</v>
      </c>
      <c r="Q37" s="11">
        <f t="shared" si="5"/>
        <v>99.464056355739189</v>
      </c>
      <c r="R37" s="11">
        <f t="shared" si="1"/>
        <v>-7.6625293951788933</v>
      </c>
      <c r="S37" s="9">
        <f t="shared" si="2"/>
        <v>60</v>
      </c>
      <c r="T37" s="14">
        <f t="shared" si="9"/>
        <v>0</v>
      </c>
      <c r="U37" s="14">
        <f t="shared" si="6"/>
        <v>5.7517808492886235E-3</v>
      </c>
      <c r="V37" s="14">
        <f t="shared" si="18"/>
        <v>1.3407509014473629E-3</v>
      </c>
      <c r="W37" s="14">
        <f t="shared" si="18"/>
        <v>1.9805240473183866E-3</v>
      </c>
      <c r="X37" s="16">
        <f t="shared" si="11"/>
        <v>0.67696774662379311</v>
      </c>
    </row>
    <row r="38" spans="1:24" x14ac:dyDescent="0.25">
      <c r="A38" s="10">
        <v>45225</v>
      </c>
      <c r="B38" s="11">
        <v>12035.24</v>
      </c>
      <c r="C38" s="12">
        <f t="shared" si="7"/>
        <v>-8.7624149311088528E-3</v>
      </c>
      <c r="D38" s="11">
        <f t="shared" si="17"/>
        <v>12126.351999999999</v>
      </c>
      <c r="E38" s="11"/>
      <c r="F38" s="11"/>
      <c r="G38" s="12">
        <f t="shared" si="8"/>
        <v>-8.8010306321764445E-3</v>
      </c>
      <c r="H38" s="19">
        <f t="shared" si="13"/>
        <v>0.19465590173191322</v>
      </c>
      <c r="I38" s="11">
        <f t="shared" si="14"/>
        <v>12294.36</v>
      </c>
      <c r="J38" s="11">
        <f t="shared" si="15"/>
        <v>11660.21</v>
      </c>
      <c r="K38" s="12">
        <f>(B38-MAX($B$2:B38))/MAX($B$2:B38)</f>
        <v>-2.1076330935485929E-2</v>
      </c>
      <c r="L38" s="12">
        <f t="shared" si="16"/>
        <v>1.4320726284668295E-2</v>
      </c>
      <c r="M38" s="15">
        <f t="shared" si="10"/>
        <v>29.593759509129242</v>
      </c>
      <c r="N38" s="11">
        <f t="shared" si="3"/>
        <v>12157.626668445646</v>
      </c>
      <c r="O38" s="11">
        <f t="shared" si="4"/>
        <v>12084.163391685794</v>
      </c>
      <c r="P38" s="11">
        <f t="shared" si="0"/>
        <v>73.463276759852306</v>
      </c>
      <c r="Q38" s="11">
        <f t="shared" si="5"/>
        <v>94.263900436561812</v>
      </c>
      <c r="R38" s="11">
        <f t="shared" si="1"/>
        <v>-20.800623676709506</v>
      </c>
      <c r="S38" s="9">
        <f t="shared" si="2"/>
        <v>60</v>
      </c>
      <c r="T38" s="14">
        <f t="shared" si="9"/>
        <v>0</v>
      </c>
      <c r="U38" s="14">
        <f t="shared" si="6"/>
        <v>8.7624149311088528E-3</v>
      </c>
      <c r="V38" s="14">
        <f t="shared" si="18"/>
        <v>1.0955491259206601E-3</v>
      </c>
      <c r="W38" s="14">
        <f t="shared" si="18"/>
        <v>2.6064108281118764E-3</v>
      </c>
      <c r="X38" s="16">
        <f t="shared" si="11"/>
        <v>0.42032864278510251</v>
      </c>
    </row>
    <row r="39" spans="1:24" x14ac:dyDescent="0.25">
      <c r="A39" s="10">
        <v>45226</v>
      </c>
      <c r="B39" s="11">
        <v>11987.77</v>
      </c>
      <c r="C39" s="12">
        <f t="shared" si="7"/>
        <v>-3.9442503847035848E-3</v>
      </c>
      <c r="D39" s="11">
        <f t="shared" si="17"/>
        <v>12132.4745</v>
      </c>
      <c r="E39" s="11"/>
      <c r="F39" s="11"/>
      <c r="G39" s="12">
        <f t="shared" si="8"/>
        <v>-3.9520494546634883E-3</v>
      </c>
      <c r="H39" s="19">
        <f t="shared" si="13"/>
        <v>0.19536810591622367</v>
      </c>
      <c r="I39" s="11">
        <f t="shared" si="14"/>
        <v>12294.36</v>
      </c>
      <c r="J39" s="11">
        <f t="shared" si="15"/>
        <v>11660.21</v>
      </c>
      <c r="K39" s="12">
        <f>(B39-MAX($B$2:B39))/MAX($B$2:B39)</f>
        <v>-2.4937450993789034E-2</v>
      </c>
      <c r="L39" s="12">
        <f t="shared" si="16"/>
        <v>1.6852869899203426E-2</v>
      </c>
      <c r="M39" s="15">
        <f t="shared" si="10"/>
        <v>30.37694051072404</v>
      </c>
      <c r="N39" s="11">
        <f t="shared" si="3"/>
        <v>12131.494873300162</v>
      </c>
      <c r="O39" s="11">
        <f t="shared" si="4"/>
        <v>12077.023140449808</v>
      </c>
      <c r="P39" s="11">
        <f t="shared" si="0"/>
        <v>54.471732850353874</v>
      </c>
      <c r="Q39" s="11">
        <f t="shared" si="5"/>
        <v>86.305466919320239</v>
      </c>
      <c r="R39" s="11">
        <f t="shared" si="1"/>
        <v>-31.833734068966365</v>
      </c>
      <c r="S39" s="9">
        <f t="shared" si="2"/>
        <v>60</v>
      </c>
      <c r="T39" s="14">
        <f t="shared" si="9"/>
        <v>0</v>
      </c>
      <c r="U39" s="14">
        <f t="shared" si="6"/>
        <v>3.9442503847035848E-3</v>
      </c>
      <c r="V39" s="14">
        <f t="shared" si="18"/>
        <v>1.0955491259206601E-3</v>
      </c>
      <c r="W39" s="14">
        <f t="shared" si="18"/>
        <v>2.5109665649333812E-3</v>
      </c>
      <c r="X39" s="16">
        <f t="shared" si="11"/>
        <v>0.43630574027564811</v>
      </c>
    </row>
    <row r="40" spans="1:24" x14ac:dyDescent="0.25">
      <c r="A40" s="10">
        <v>45229</v>
      </c>
      <c r="B40" s="11">
        <v>11924.9</v>
      </c>
      <c r="C40" s="12">
        <f t="shared" si="7"/>
        <v>-5.244511698172416E-3</v>
      </c>
      <c r="D40" s="11">
        <f t="shared" si="17"/>
        <v>12139.264999999999</v>
      </c>
      <c r="E40" s="11"/>
      <c r="F40" s="11"/>
      <c r="G40" s="12">
        <f t="shared" si="8"/>
        <v>-5.2583124228372333E-3</v>
      </c>
      <c r="H40" s="19">
        <f t="shared" si="13"/>
        <v>0.19485209883875559</v>
      </c>
      <c r="I40" s="11">
        <f t="shared" si="14"/>
        <v>12294.36</v>
      </c>
      <c r="J40" s="11">
        <f t="shared" si="15"/>
        <v>11660.21</v>
      </c>
      <c r="K40" s="12">
        <f>(B40-MAX($B$2:B40))/MAX($B$2:B40)</f>
        <v>-3.0051177938501959E-2</v>
      </c>
      <c r="L40" s="12">
        <f t="shared" si="16"/>
        <v>1.7878101139947589E-2</v>
      </c>
      <c r="M40" s="15">
        <f t="shared" si="10"/>
        <v>27.684302467263009</v>
      </c>
      <c r="N40" s="11">
        <f t="shared" si="3"/>
        <v>12099.711046638598</v>
      </c>
      <c r="O40" s="11">
        <f t="shared" si="4"/>
        <v>12065.754759675749</v>
      </c>
      <c r="P40" s="11">
        <f t="shared" si="0"/>
        <v>33.956286962849845</v>
      </c>
      <c r="Q40" s="11">
        <f t="shared" si="5"/>
        <v>75.835630928026163</v>
      </c>
      <c r="R40" s="11">
        <f t="shared" si="1"/>
        <v>-41.879343965176318</v>
      </c>
      <c r="S40" s="9">
        <f t="shared" si="2"/>
        <v>60</v>
      </c>
      <c r="T40" s="14">
        <f t="shared" si="9"/>
        <v>0</v>
      </c>
      <c r="U40" s="14">
        <f t="shared" si="6"/>
        <v>5.244511698172416E-3</v>
      </c>
      <c r="V40" s="14">
        <f t="shared" si="18"/>
        <v>1.0955491259206601E-3</v>
      </c>
      <c r="W40" s="14">
        <f t="shared" si="18"/>
        <v>2.8617444602773634E-3</v>
      </c>
      <c r="X40" s="16">
        <f t="shared" si="11"/>
        <v>0.38282563000558001</v>
      </c>
    </row>
    <row r="41" spans="1:24" x14ac:dyDescent="0.25">
      <c r="A41" s="10">
        <v>45230</v>
      </c>
      <c r="B41" s="11">
        <v>12021.64</v>
      </c>
      <c r="C41" s="12">
        <f t="shared" si="7"/>
        <v>8.1124370015681624E-3</v>
      </c>
      <c r="D41" s="11">
        <f t="shared" si="17"/>
        <v>12154.574499999999</v>
      </c>
      <c r="E41" s="11"/>
      <c r="F41" s="11"/>
      <c r="G41" s="12">
        <f t="shared" si="8"/>
        <v>8.0797080729484664E-3</v>
      </c>
      <c r="H41" s="19">
        <f t="shared" si="13"/>
        <v>0.19482815598891937</v>
      </c>
      <c r="I41" s="11">
        <f t="shared" si="14"/>
        <v>12294.36</v>
      </c>
      <c r="J41" s="11">
        <f t="shared" si="15"/>
        <v>11660.21</v>
      </c>
      <c r="K41" s="12">
        <f>(B41-MAX($B$2:B41))/MAX($B$2:B41)</f>
        <v>-2.2182529224782841E-2</v>
      </c>
      <c r="L41" s="12">
        <f t="shared" si="16"/>
        <v>3.0996868838554459E-2</v>
      </c>
      <c r="M41" s="15">
        <f t="shared" si="10"/>
        <v>32.281214558992914</v>
      </c>
      <c r="N41" s="11">
        <f t="shared" si="3"/>
        <v>12087.700116386506</v>
      </c>
      <c r="O41" s="11">
        <f t="shared" si="4"/>
        <v>12062.486999699768</v>
      </c>
      <c r="P41" s="11">
        <f t="shared" si="0"/>
        <v>25.213116686738431</v>
      </c>
      <c r="Q41" s="11">
        <f t="shared" si="5"/>
        <v>65.711128079768628</v>
      </c>
      <c r="R41" s="11">
        <f t="shared" si="1"/>
        <v>-40.498011393030197</v>
      </c>
      <c r="S41" s="9">
        <f t="shared" si="2"/>
        <v>60</v>
      </c>
      <c r="T41" s="14">
        <f t="shared" si="9"/>
        <v>8.1124370015681624E-3</v>
      </c>
      <c r="U41" s="14">
        <f t="shared" si="6"/>
        <v>0</v>
      </c>
      <c r="V41" s="14">
        <f t="shared" si="18"/>
        <v>1.3641796191944389E-3</v>
      </c>
      <c r="W41" s="14">
        <f t="shared" si="18"/>
        <v>2.8617444602773634E-3</v>
      </c>
      <c r="X41" s="16">
        <f t="shared" si="11"/>
        <v>0.47669512010245008</v>
      </c>
    </row>
    <row r="42" spans="1:24" x14ac:dyDescent="0.25">
      <c r="A42" s="10">
        <v>45231</v>
      </c>
      <c r="B42" s="11">
        <v>12029.74</v>
      </c>
      <c r="C42" s="12">
        <f t="shared" si="7"/>
        <v>6.7378494115621912E-4</v>
      </c>
      <c r="D42" s="11">
        <f t="shared" si="17"/>
        <v>12173.050999999998</v>
      </c>
      <c r="E42" s="11"/>
      <c r="F42" s="11"/>
      <c r="G42" s="12">
        <f t="shared" si="8"/>
        <v>6.7355804999426631E-4</v>
      </c>
      <c r="H42" s="19">
        <f t="shared" si="13"/>
        <v>0.19355527472507614</v>
      </c>
      <c r="I42" s="11">
        <f t="shared" si="14"/>
        <v>12294.36</v>
      </c>
      <c r="J42" s="11">
        <f t="shared" si="15"/>
        <v>11924.9</v>
      </c>
      <c r="K42" s="12">
        <f>(B42-MAX($B$2:B42))/MAX($B$2:B42)</f>
        <v>-2.1523690537775107E-2</v>
      </c>
      <c r="L42" s="12">
        <f t="shared" si="16"/>
        <v>-1.8164752740301826E-2</v>
      </c>
      <c r="M42" s="15">
        <f t="shared" si="10"/>
        <v>33.46877150837372</v>
      </c>
      <c r="N42" s="11">
        <f t="shared" si="3"/>
        <v>12078.783175403967</v>
      </c>
      <c r="O42" s="11">
        <f t="shared" si="4"/>
        <v>12060.061296018304</v>
      </c>
      <c r="P42" s="11">
        <f t="shared" si="0"/>
        <v>18.72187938566276</v>
      </c>
      <c r="Q42" s="11">
        <f t="shared" si="5"/>
        <v>56.313278340947463</v>
      </c>
      <c r="R42" s="11">
        <f t="shared" si="1"/>
        <v>-37.591398955284703</v>
      </c>
      <c r="S42" s="9">
        <f t="shared" si="2"/>
        <v>60</v>
      </c>
      <c r="T42" s="14">
        <f t="shared" si="9"/>
        <v>6.7378494115621912E-4</v>
      </c>
      <c r="U42" s="14">
        <f t="shared" si="6"/>
        <v>0</v>
      </c>
      <c r="V42" s="14">
        <f t="shared" si="18"/>
        <v>1.4123071149913116E-3</v>
      </c>
      <c r="W42" s="14">
        <f t="shared" si="18"/>
        <v>2.8074686680485883E-3</v>
      </c>
      <c r="X42" s="16">
        <f t="shared" si="11"/>
        <v>0.5030535624723379</v>
      </c>
    </row>
    <row r="43" spans="1:24" x14ac:dyDescent="0.25">
      <c r="A43" s="10">
        <v>45232</v>
      </c>
      <c r="B43" s="11">
        <v>12007.23</v>
      </c>
      <c r="C43" s="12">
        <f t="shared" si="7"/>
        <v>-1.8711958861954425E-3</v>
      </c>
      <c r="D43" s="11">
        <f t="shared" si="17"/>
        <v>12160.797499999999</v>
      </c>
      <c r="E43" s="11"/>
      <c r="F43" s="11"/>
      <c r="G43" s="12">
        <f t="shared" si="8"/>
        <v>-1.8729487602061029E-3</v>
      </c>
      <c r="H43" s="19">
        <f t="shared" si="13"/>
        <v>7.311345686170892E-2</v>
      </c>
      <c r="I43" s="11">
        <f t="shared" si="14"/>
        <v>12294.36</v>
      </c>
      <c r="J43" s="11">
        <f t="shared" si="15"/>
        <v>11924.9</v>
      </c>
      <c r="K43" s="12">
        <f>(B43-MAX($B$2:B43))/MAX($B$2:B43)</f>
        <v>-2.3354611382780478E-2</v>
      </c>
      <c r="L43" s="12">
        <f t="shared" si="16"/>
        <v>-2.3354611382780499E-2</v>
      </c>
      <c r="M43" s="15">
        <f t="shared" si="10"/>
        <v>33.897234729909542</v>
      </c>
      <c r="N43" s="11">
        <f t="shared" si="3"/>
        <v>12067.774994572588</v>
      </c>
      <c r="O43" s="11">
        <f t="shared" si="4"/>
        <v>12056.147866683616</v>
      </c>
      <c r="P43" s="11">
        <f t="shared" si="0"/>
        <v>11.627127888972609</v>
      </c>
      <c r="Q43" s="11">
        <f t="shared" si="5"/>
        <v>47.376048250552493</v>
      </c>
      <c r="R43" s="11">
        <f t="shared" si="1"/>
        <v>-35.748920361579884</v>
      </c>
      <c r="S43" s="9">
        <f t="shared" si="2"/>
        <v>60</v>
      </c>
      <c r="T43" s="14">
        <f t="shared" si="9"/>
        <v>0</v>
      </c>
      <c r="U43" s="14">
        <f t="shared" si="6"/>
        <v>1.8711958861954425E-3</v>
      </c>
      <c r="V43" s="14">
        <f t="shared" si="18"/>
        <v>1.4123071149913116E-3</v>
      </c>
      <c r="W43" s="14">
        <f t="shared" si="18"/>
        <v>2.7541304314470977E-3</v>
      </c>
      <c r="X43" s="16">
        <f t="shared" si="11"/>
        <v>0.51279601679911935</v>
      </c>
    </row>
    <row r="44" spans="1:24" x14ac:dyDescent="0.25">
      <c r="A44" s="10">
        <v>45233</v>
      </c>
      <c r="B44" s="11">
        <v>11977.33</v>
      </c>
      <c r="C44" s="12">
        <f t="shared" si="7"/>
        <v>-2.490166341445943E-3</v>
      </c>
      <c r="D44" s="11">
        <f t="shared" si="17"/>
        <v>12144.946</v>
      </c>
      <c r="E44" s="11"/>
      <c r="F44" s="11"/>
      <c r="G44" s="12">
        <f t="shared" si="8"/>
        <v>-2.493271962396449E-3</v>
      </c>
      <c r="H44" s="19">
        <f t="shared" si="13"/>
        <v>7.1346848471397883E-2</v>
      </c>
      <c r="I44" s="11">
        <f t="shared" si="14"/>
        <v>12278.56</v>
      </c>
      <c r="J44" s="11">
        <f t="shared" si="15"/>
        <v>11924.9</v>
      </c>
      <c r="K44" s="12">
        <f>(B44-MAX($B$2:B44))/MAX($B$2:B44)</f>
        <v>-2.5786620857043443E-2</v>
      </c>
      <c r="L44" s="12">
        <f t="shared" si="16"/>
        <v>-2.0615007719077982E-2</v>
      </c>
      <c r="M44" s="15">
        <f t="shared" si="10"/>
        <v>34.557976184802015</v>
      </c>
      <c r="N44" s="11">
        <f t="shared" si="3"/>
        <v>12053.860380022959</v>
      </c>
      <c r="O44" s="11">
        <f t="shared" si="4"/>
        <v>12050.309506188532</v>
      </c>
      <c r="P44" s="11">
        <f t="shared" si="0"/>
        <v>3.5508738344269659</v>
      </c>
      <c r="Q44" s="11">
        <f t="shared" si="5"/>
        <v>38.611013367327388</v>
      </c>
      <c r="R44" s="11">
        <f t="shared" si="1"/>
        <v>-35.060139532900422</v>
      </c>
      <c r="S44" s="9">
        <f t="shared" si="2"/>
        <v>60</v>
      </c>
      <c r="T44" s="14">
        <f t="shared" si="9"/>
        <v>0</v>
      </c>
      <c r="U44" s="14">
        <f t="shared" si="6"/>
        <v>2.490166341445943E-3</v>
      </c>
      <c r="V44" s="14">
        <f t="shared" si="18"/>
        <v>1.4123071149913116E-3</v>
      </c>
      <c r="W44" s="14">
        <f t="shared" si="18"/>
        <v>2.6744689955044737E-3</v>
      </c>
      <c r="X44" s="16">
        <f t="shared" si="11"/>
        <v>0.52807010190257009</v>
      </c>
    </row>
    <row r="45" spans="1:24" x14ac:dyDescent="0.25">
      <c r="A45" s="10">
        <v>45237</v>
      </c>
      <c r="B45" s="11">
        <v>11988.8</v>
      </c>
      <c r="C45" s="12">
        <f t="shared" si="7"/>
        <v>9.5764247958429749E-4</v>
      </c>
      <c r="D45" s="11">
        <f t="shared" si="17"/>
        <v>12132.913999999999</v>
      </c>
      <c r="E45" s="11"/>
      <c r="F45" s="11"/>
      <c r="G45" s="12">
        <f t="shared" si="8"/>
        <v>9.5718423255948819E-4</v>
      </c>
      <c r="H45" s="19">
        <f t="shared" si="13"/>
        <v>7.0152985381607288E-2</v>
      </c>
      <c r="I45" s="11">
        <f t="shared" si="14"/>
        <v>12278.56</v>
      </c>
      <c r="J45" s="11">
        <f t="shared" si="15"/>
        <v>11924.9</v>
      </c>
      <c r="K45" s="12">
        <f>(B45-MAX($B$2:B45))/MAX($B$2:B45)</f>
        <v>-2.4853672740996788E-2</v>
      </c>
      <c r="L45" s="12">
        <f t="shared" si="16"/>
        <v>-1.9349941433217666E-2</v>
      </c>
      <c r="M45" s="15">
        <f t="shared" si="10"/>
        <v>38.719548449245011</v>
      </c>
      <c r="N45" s="11">
        <f t="shared" si="3"/>
        <v>12043.851090788659</v>
      </c>
      <c r="O45" s="11">
        <f t="shared" si="4"/>
        <v>12045.753246470862</v>
      </c>
      <c r="P45" s="11">
        <f t="shared" si="0"/>
        <v>-1.9021556822026469</v>
      </c>
      <c r="Q45" s="11">
        <f t="shared" si="5"/>
        <v>30.508379557421385</v>
      </c>
      <c r="R45" s="11">
        <f t="shared" si="1"/>
        <v>-32.410535239624032</v>
      </c>
      <c r="S45" s="9">
        <f t="shared" si="2"/>
        <v>60</v>
      </c>
      <c r="T45" s="14">
        <f t="shared" si="9"/>
        <v>9.5764247958429749E-4</v>
      </c>
      <c r="U45" s="14">
        <f t="shared" si="6"/>
        <v>0</v>
      </c>
      <c r="V45" s="14">
        <f t="shared" si="18"/>
        <v>1.4807101492473329E-3</v>
      </c>
      <c r="W45" s="14">
        <f t="shared" si="18"/>
        <v>2.3434825610274307E-3</v>
      </c>
      <c r="X45" s="16">
        <f t="shared" si="11"/>
        <v>0.63184176143310378</v>
      </c>
    </row>
    <row r="46" spans="1:24" x14ac:dyDescent="0.25">
      <c r="A46" s="10">
        <v>45238</v>
      </c>
      <c r="B46" s="11">
        <v>11961.14</v>
      </c>
      <c r="C46" s="12">
        <f t="shared" si="7"/>
        <v>-2.3071533431202607E-3</v>
      </c>
      <c r="D46" s="11">
        <f t="shared" si="17"/>
        <v>12119.702999999998</v>
      </c>
      <c r="E46" s="11"/>
      <c r="F46" s="11"/>
      <c r="G46" s="12">
        <f t="shared" si="8"/>
        <v>-2.3098189221168277E-3</v>
      </c>
      <c r="H46" s="19">
        <f t="shared" si="13"/>
        <v>7.0257026117096208E-2</v>
      </c>
      <c r="I46" s="11">
        <f t="shared" si="14"/>
        <v>12278.56</v>
      </c>
      <c r="J46" s="11">
        <f t="shared" si="15"/>
        <v>11924.9</v>
      </c>
      <c r="K46" s="12">
        <f>(B46-MAX($B$2:B46))/MAX($B$2:B46)</f>
        <v>-2.7103484849963815E-2</v>
      </c>
      <c r="L46" s="12">
        <f t="shared" si="16"/>
        <v>-2.5851565655907516E-2</v>
      </c>
      <c r="M46" s="15">
        <f t="shared" si="10"/>
        <v>24.477343059482408</v>
      </c>
      <c r="N46" s="11">
        <f t="shared" si="3"/>
        <v>12031.126307590404</v>
      </c>
      <c r="O46" s="11">
        <f t="shared" si="4"/>
        <v>12039.485598584131</v>
      </c>
      <c r="P46" s="11">
        <f t="shared" si="0"/>
        <v>-8.3592909937269724</v>
      </c>
      <c r="Q46" s="11">
        <f t="shared" si="5"/>
        <v>22.734845447191717</v>
      </c>
      <c r="R46" s="11">
        <f t="shared" si="1"/>
        <v>-31.094136440918689</v>
      </c>
      <c r="S46" s="9">
        <f t="shared" si="2"/>
        <v>60</v>
      </c>
      <c r="T46" s="14">
        <f t="shared" si="9"/>
        <v>0</v>
      </c>
      <c r="U46" s="14">
        <f t="shared" si="6"/>
        <v>2.3071533431202607E-3</v>
      </c>
      <c r="V46" s="14">
        <f t="shared" si="18"/>
        <v>8.1294824162117931E-4</v>
      </c>
      <c r="W46" s="14">
        <f t="shared" si="18"/>
        <v>2.5082792283931637E-3</v>
      </c>
      <c r="X46" s="16">
        <f t="shared" si="11"/>
        <v>0.32410595774935491</v>
      </c>
    </row>
    <row r="47" spans="1:24" x14ac:dyDescent="0.25">
      <c r="A47" s="10">
        <v>45239</v>
      </c>
      <c r="B47" s="11">
        <v>11946.92</v>
      </c>
      <c r="C47" s="12">
        <f t="shared" si="7"/>
        <v>-1.1888498922343338E-3</v>
      </c>
      <c r="D47" s="11">
        <f t="shared" si="17"/>
        <v>12103.121000000001</v>
      </c>
      <c r="E47" s="11"/>
      <c r="F47" s="11"/>
      <c r="G47" s="12">
        <f t="shared" si="8"/>
        <v>-1.1895571348599142E-3</v>
      </c>
      <c r="H47" s="19">
        <f t="shared" si="13"/>
        <v>6.7261806095894897E-2</v>
      </c>
      <c r="I47" s="11">
        <f t="shared" si="14"/>
        <v>12269.23</v>
      </c>
      <c r="J47" s="11">
        <f t="shared" si="15"/>
        <v>11924.9</v>
      </c>
      <c r="K47" s="12">
        <f>(B47-MAX($B$2:B47))/MAX($B$2:B47)</f>
        <v>-2.8260112767155062E-2</v>
      </c>
      <c r="L47" s="12">
        <f t="shared" si="16"/>
        <v>-2.626978221127152E-2</v>
      </c>
      <c r="M47" s="15">
        <f t="shared" si="10"/>
        <v>22.169670360673479</v>
      </c>
      <c r="N47" s="11">
        <f t="shared" si="3"/>
        <v>12018.171491038034</v>
      </c>
      <c r="O47" s="11">
        <f t="shared" si="4"/>
        <v>12032.628887577899</v>
      </c>
      <c r="P47" s="11">
        <f t="shared" si="0"/>
        <v>-14.457396539864931</v>
      </c>
      <c r="Q47" s="11">
        <f t="shared" si="5"/>
        <v>15.296397049780388</v>
      </c>
      <c r="R47" s="11">
        <f t="shared" si="1"/>
        <v>-29.753793589645319</v>
      </c>
      <c r="S47" s="9">
        <f t="shared" si="2"/>
        <v>60</v>
      </c>
      <c r="T47" s="14">
        <f t="shared" si="9"/>
        <v>0</v>
      </c>
      <c r="U47" s="14">
        <f t="shared" si="6"/>
        <v>1.1888498922343338E-3</v>
      </c>
      <c r="V47" s="14">
        <f t="shared" si="18"/>
        <v>7.3866222412723366E-4</v>
      </c>
      <c r="W47" s="14">
        <f t="shared" si="18"/>
        <v>2.5931970778384733E-3</v>
      </c>
      <c r="X47" s="16">
        <f t="shared" si="11"/>
        <v>0.28484615783345563</v>
      </c>
    </row>
    <row r="48" spans="1:24" x14ac:dyDescent="0.25">
      <c r="A48" s="10">
        <v>45240</v>
      </c>
      <c r="B48" s="11">
        <v>11948.6</v>
      </c>
      <c r="C48" s="12">
        <f t="shared" si="7"/>
        <v>1.4062201805997709E-4</v>
      </c>
      <c r="D48" s="11">
        <f t="shared" si="17"/>
        <v>12087.089499999998</v>
      </c>
      <c r="E48" s="11"/>
      <c r="F48" s="11"/>
      <c r="G48" s="12">
        <f t="shared" si="8"/>
        <v>1.4061213171081017E-4</v>
      </c>
      <c r="H48" s="19">
        <f t="shared" si="13"/>
        <v>6.7445704259300632E-2</v>
      </c>
      <c r="I48" s="11">
        <f t="shared" si="14"/>
        <v>12262.69</v>
      </c>
      <c r="J48" s="11">
        <f t="shared" si="15"/>
        <v>11924.9</v>
      </c>
      <c r="K48" s="12">
        <f>(B48-MAX($B$2:B48))/MAX($B$2:B48)</f>
        <v>-2.8123464743183068E-2</v>
      </c>
      <c r="L48" s="12">
        <f t="shared" si="16"/>
        <v>-2.3576645139252617E-2</v>
      </c>
      <c r="M48" s="15">
        <f t="shared" si="10"/>
        <v>23.487219318682335</v>
      </c>
      <c r="N48" s="11">
        <f t="shared" si="3"/>
        <v>12007.46818472449</v>
      </c>
      <c r="O48" s="11">
        <f t="shared" si="4"/>
        <v>12026.404525535092</v>
      </c>
      <c r="P48" s="11">
        <f t="shared" si="0"/>
        <v>-18.936340810601905</v>
      </c>
      <c r="Q48" s="11">
        <f t="shared" si="5"/>
        <v>8.4498494777039319</v>
      </c>
      <c r="R48" s="11">
        <f t="shared" si="1"/>
        <v>-27.386190288305837</v>
      </c>
      <c r="S48" s="9">
        <f t="shared" si="2"/>
        <v>60</v>
      </c>
      <c r="T48" s="14">
        <f t="shared" si="9"/>
        <v>1.4062201805997709E-4</v>
      </c>
      <c r="U48" s="14">
        <f t="shared" si="6"/>
        <v>0</v>
      </c>
      <c r="V48" s="14">
        <f t="shared" ref="V48:W63" si="19">AVERAGE(T35:T48)</f>
        <v>7.4870665398866067E-4</v>
      </c>
      <c r="W48" s="14">
        <f t="shared" si="19"/>
        <v>2.4390127768641862E-3</v>
      </c>
      <c r="X48" s="16">
        <f t="shared" si="11"/>
        <v>0.30697118977427629</v>
      </c>
    </row>
    <row r="49" spans="1:24" x14ac:dyDescent="0.25">
      <c r="A49" s="10">
        <v>45243</v>
      </c>
      <c r="B49" s="11">
        <v>11971.71</v>
      </c>
      <c r="C49" s="12">
        <f t="shared" si="7"/>
        <v>1.9341178045961804E-3</v>
      </c>
      <c r="D49" s="11">
        <f t="shared" si="17"/>
        <v>12073.819500000001</v>
      </c>
      <c r="E49" s="11"/>
      <c r="F49" s="11"/>
      <c r="G49" s="12">
        <f t="shared" si="8"/>
        <v>1.9322498069856316E-3</v>
      </c>
      <c r="H49" s="19">
        <f t="shared" si="13"/>
        <v>6.8216434984894339E-2</v>
      </c>
      <c r="I49" s="11">
        <f t="shared" si="14"/>
        <v>12262.69</v>
      </c>
      <c r="J49" s="11">
        <f t="shared" si="15"/>
        <v>11924.9</v>
      </c>
      <c r="K49" s="12">
        <f>(B49-MAX($B$2:B49))/MAX($B$2:B49)</f>
        <v>-2.6243741032473546E-2</v>
      </c>
      <c r="L49" s="12">
        <f t="shared" si="16"/>
        <v>-1.8148132656551019E-2</v>
      </c>
      <c r="M49" s="15">
        <f t="shared" si="10"/>
        <v>25.712302859858241</v>
      </c>
      <c r="N49" s="11">
        <f t="shared" si="3"/>
        <v>12001.966925536108</v>
      </c>
      <c r="O49" s="11">
        <f t="shared" si="4"/>
        <v>12022.35307919916</v>
      </c>
      <c r="P49" s="11">
        <f t="shared" si="0"/>
        <v>-20.386153663052028</v>
      </c>
      <c r="Q49" s="11">
        <f t="shared" si="5"/>
        <v>2.6826488495527405</v>
      </c>
      <c r="R49" s="11">
        <f t="shared" si="1"/>
        <v>-23.068802512604769</v>
      </c>
      <c r="S49" s="9">
        <f t="shared" si="2"/>
        <v>60</v>
      </c>
      <c r="T49" s="14">
        <f t="shared" si="9"/>
        <v>1.9341178045961804E-3</v>
      </c>
      <c r="U49" s="14">
        <f t="shared" si="6"/>
        <v>0</v>
      </c>
      <c r="V49" s="14">
        <f t="shared" si="19"/>
        <v>8.4418601749748829E-4</v>
      </c>
      <c r="W49" s="14">
        <f t="shared" si="19"/>
        <v>2.4390127768641862E-3</v>
      </c>
      <c r="X49" s="16">
        <f t="shared" si="11"/>
        <v>0.34611791520946833</v>
      </c>
    </row>
    <row r="50" spans="1:24" x14ac:dyDescent="0.25">
      <c r="A50" s="10">
        <v>45244</v>
      </c>
      <c r="B50" s="11">
        <v>11973.74</v>
      </c>
      <c r="C50" s="12">
        <f t="shared" si="7"/>
        <v>1.6956641950072182E-4</v>
      </c>
      <c r="D50" s="11">
        <f t="shared" si="17"/>
        <v>12062.857</v>
      </c>
      <c r="E50" s="11"/>
      <c r="F50" s="11"/>
      <c r="G50" s="12">
        <f t="shared" si="8"/>
        <v>1.6955204474037214E-4</v>
      </c>
      <c r="H50" s="19">
        <f t="shared" si="13"/>
        <v>6.7685451045236725E-2</v>
      </c>
      <c r="I50" s="11">
        <f t="shared" si="14"/>
        <v>12262.69</v>
      </c>
      <c r="J50" s="11">
        <f t="shared" si="15"/>
        <v>11924.9</v>
      </c>
      <c r="K50" s="12">
        <f>(B50-MAX($B$2:B50))/MAX($B$2:B50)</f>
        <v>-2.6078624670174029E-2</v>
      </c>
      <c r="L50" s="12">
        <f t="shared" si="16"/>
        <v>-1.340997273511535E-2</v>
      </c>
      <c r="M50" s="15">
        <f t="shared" si="10"/>
        <v>27.528324325098481</v>
      </c>
      <c r="N50" s="11">
        <f t="shared" si="3"/>
        <v>11997.624321607476</v>
      </c>
      <c r="O50" s="11">
        <f t="shared" si="4"/>
        <v>12018.752110369593</v>
      </c>
      <c r="P50" s="11">
        <f t="shared" si="0"/>
        <v>-21.127788762116325</v>
      </c>
      <c r="Q50" s="11">
        <f t="shared" si="5"/>
        <v>-2.0794386727810727</v>
      </c>
      <c r="R50" s="11">
        <f t="shared" si="1"/>
        <v>-19.048350089335251</v>
      </c>
      <c r="S50" s="9">
        <f t="shared" si="2"/>
        <v>60</v>
      </c>
      <c r="T50" s="14">
        <f t="shared" si="9"/>
        <v>1.6956641950072182E-4</v>
      </c>
      <c r="U50" s="14">
        <f t="shared" si="6"/>
        <v>0</v>
      </c>
      <c r="V50" s="14">
        <f t="shared" si="19"/>
        <v>8.5629790460468272E-4</v>
      </c>
      <c r="W50" s="14">
        <f t="shared" si="19"/>
        <v>2.254308809019247E-3</v>
      </c>
      <c r="X50" s="16">
        <f t="shared" si="11"/>
        <v>0.37984942487858225</v>
      </c>
    </row>
    <row r="51" spans="1:24" x14ac:dyDescent="0.25">
      <c r="A51" s="10">
        <v>45245</v>
      </c>
      <c r="B51" s="11">
        <v>11895.49</v>
      </c>
      <c r="C51" s="12">
        <f t="shared" si="7"/>
        <v>-6.5351343857474875E-3</v>
      </c>
      <c r="D51" s="11">
        <f t="shared" si="17"/>
        <v>12050.806999999999</v>
      </c>
      <c r="E51" s="11">
        <f>AVERAGE(B2:B51)</f>
        <v>11968.695</v>
      </c>
      <c r="F51" s="11"/>
      <c r="G51" s="12">
        <f t="shared" si="8"/>
        <v>-6.5565818689900177E-3</v>
      </c>
      <c r="H51" s="19">
        <f t="shared" si="13"/>
        <v>6.9404130736882466E-2</v>
      </c>
      <c r="I51" s="11">
        <f t="shared" si="14"/>
        <v>12262.69</v>
      </c>
      <c r="J51" s="11">
        <f t="shared" si="15"/>
        <v>11895.49</v>
      </c>
      <c r="K51" s="12">
        <f>(B51-MAX($B$2:B51))/MAX($B$2:B51)</f>
        <v>-3.2443331739106449E-2</v>
      </c>
      <c r="L51" s="12">
        <f t="shared" si="16"/>
        <v>-2.8935628308687011E-2</v>
      </c>
      <c r="M51" s="15">
        <f t="shared" si="10"/>
        <v>27.041892754665412</v>
      </c>
      <c r="N51" s="11">
        <f t="shared" si="3"/>
        <v>11981.91134905248</v>
      </c>
      <c r="O51" s="11">
        <f t="shared" si="4"/>
        <v>12009.621583675547</v>
      </c>
      <c r="P51" s="11">
        <f t="shared" si="0"/>
        <v>-27.710234623067663</v>
      </c>
      <c r="Q51" s="11">
        <f t="shared" si="5"/>
        <v>-7.2055978628383919</v>
      </c>
      <c r="R51" s="11">
        <f t="shared" si="1"/>
        <v>-20.504636760229271</v>
      </c>
      <c r="S51" s="9">
        <f t="shared" si="2"/>
        <v>60</v>
      </c>
      <c r="T51" s="14">
        <f t="shared" si="9"/>
        <v>0</v>
      </c>
      <c r="U51" s="14">
        <f t="shared" si="6"/>
        <v>6.5351343857474875E-3</v>
      </c>
      <c r="V51" s="14">
        <f t="shared" si="19"/>
        <v>8.5629790460468272E-4</v>
      </c>
      <c r="W51" s="14">
        <f t="shared" si="19"/>
        <v>2.3102626330520231E-3</v>
      </c>
      <c r="X51" s="16">
        <f t="shared" si="11"/>
        <v>0.37064959297439337</v>
      </c>
    </row>
    <row r="52" spans="1:24" x14ac:dyDescent="0.25">
      <c r="A52" s="10">
        <v>45246</v>
      </c>
      <c r="B52" s="11">
        <v>11969.91</v>
      </c>
      <c r="C52" s="12">
        <f t="shared" si="7"/>
        <v>6.2561525418456387E-3</v>
      </c>
      <c r="D52" s="11">
        <f t="shared" si="17"/>
        <v>12036.804999999998</v>
      </c>
      <c r="E52" s="11">
        <f t="shared" ref="E52:E115" si="20">AVERAGE(B3:B52)</f>
        <v>11970.665999999999</v>
      </c>
      <c r="F52" s="11"/>
      <c r="G52" s="12">
        <f t="shared" si="8"/>
        <v>6.2366640592436649E-3</v>
      </c>
      <c r="H52" s="19">
        <f t="shared" si="13"/>
        <v>6.4004048380347484E-2</v>
      </c>
      <c r="I52" s="11">
        <f t="shared" si="14"/>
        <v>12262.69</v>
      </c>
      <c r="J52" s="11">
        <f t="shared" si="15"/>
        <v>11895.49</v>
      </c>
      <c r="K52" s="12">
        <f>(B52-MAX($B$2:B52))/MAX($B$2:B52)</f>
        <v>-2.6390149629586308E-2</v>
      </c>
      <c r="L52" s="12">
        <f t="shared" si="16"/>
        <v>-2.3875674913090061E-2</v>
      </c>
      <c r="M52" s="15">
        <f t="shared" si="10"/>
        <v>43.620007098874602</v>
      </c>
      <c r="N52" s="11">
        <f t="shared" si="3"/>
        <v>11980.064987659789</v>
      </c>
      <c r="O52" s="11">
        <f t="shared" si="4"/>
        <v>12006.679984884766</v>
      </c>
      <c r="P52" s="11">
        <f t="shared" si="0"/>
        <v>-26.614997224976833</v>
      </c>
      <c r="Q52" s="11">
        <f t="shared" si="5"/>
        <v>-11.087477735266081</v>
      </c>
      <c r="R52" s="11">
        <f t="shared" si="1"/>
        <v>-15.527519489710752</v>
      </c>
      <c r="S52" s="9">
        <f t="shared" si="2"/>
        <v>60</v>
      </c>
      <c r="T52" s="14">
        <f t="shared" si="9"/>
        <v>6.2561525418456387E-3</v>
      </c>
      <c r="U52" s="14">
        <f t="shared" si="6"/>
        <v>0</v>
      </c>
      <c r="V52" s="14">
        <f t="shared" si="19"/>
        <v>1.3031659433079426E-3</v>
      </c>
      <c r="W52" s="14">
        <f t="shared" si="19"/>
        <v>1.6843758522585334E-3</v>
      </c>
      <c r="X52" s="16">
        <f t="shared" si="11"/>
        <v>0.77367883276203653</v>
      </c>
    </row>
    <row r="53" spans="1:24" x14ac:dyDescent="0.25">
      <c r="A53" s="10">
        <v>45247</v>
      </c>
      <c r="B53" s="11">
        <v>11947.56</v>
      </c>
      <c r="C53" s="12">
        <f t="shared" si="7"/>
        <v>-1.8671819587616767E-3</v>
      </c>
      <c r="D53" s="11">
        <f t="shared" si="17"/>
        <v>12021.048499999999</v>
      </c>
      <c r="E53" s="11">
        <f t="shared" si="20"/>
        <v>11972.572399999999</v>
      </c>
      <c r="F53" s="11"/>
      <c r="G53" s="12">
        <f t="shared" si="8"/>
        <v>-1.8689273159332445E-3</v>
      </c>
      <c r="H53" s="19">
        <f t="shared" si="13"/>
        <v>6.3511401452742616E-2</v>
      </c>
      <c r="I53" s="11">
        <f t="shared" si="14"/>
        <v>12243.53</v>
      </c>
      <c r="J53" s="11">
        <f t="shared" si="15"/>
        <v>11895.49</v>
      </c>
      <c r="K53" s="12">
        <f>(B53-MAX($B$2:B53))/MAX($B$2:B53)</f>
        <v>-2.8208056377070551E-2</v>
      </c>
      <c r="L53" s="12">
        <f t="shared" si="16"/>
        <v>-2.3590618671452401E-2</v>
      </c>
      <c r="M53" s="15">
        <f t="shared" si="10"/>
        <v>45.899381198313826</v>
      </c>
      <c r="N53" s="11">
        <f t="shared" si="3"/>
        <v>11975.064220327515</v>
      </c>
      <c r="O53" s="11">
        <f t="shared" si="4"/>
        <v>12002.300726745154</v>
      </c>
      <c r="P53" s="11">
        <f t="shared" si="0"/>
        <v>-27.236506417639248</v>
      </c>
      <c r="Q53" s="11">
        <f t="shared" si="5"/>
        <v>-14.317283471740714</v>
      </c>
      <c r="R53" s="11">
        <f t="shared" si="1"/>
        <v>-12.919222945898534</v>
      </c>
      <c r="S53" s="9">
        <f t="shared" si="2"/>
        <v>60</v>
      </c>
      <c r="T53" s="14">
        <f t="shared" si="9"/>
        <v>0</v>
      </c>
      <c r="U53" s="14">
        <f t="shared" si="6"/>
        <v>1.8671819587616767E-3</v>
      </c>
      <c r="V53" s="14">
        <f t="shared" si="19"/>
        <v>1.3031659433079426E-3</v>
      </c>
      <c r="W53" s="14">
        <f t="shared" si="19"/>
        <v>1.5360138218341115E-3</v>
      </c>
      <c r="X53" s="16">
        <f t="shared" si="11"/>
        <v>0.84840769320152876</v>
      </c>
    </row>
    <row r="54" spans="1:24" x14ac:dyDescent="0.25">
      <c r="A54" s="10">
        <v>45250</v>
      </c>
      <c r="B54" s="11">
        <v>11979.47</v>
      </c>
      <c r="C54" s="12">
        <f t="shared" si="7"/>
        <v>2.6708382297306876E-3</v>
      </c>
      <c r="D54" s="11">
        <f t="shared" si="17"/>
        <v>12008.210999999999</v>
      </c>
      <c r="E54" s="11">
        <f t="shared" si="20"/>
        <v>11977.260200000001</v>
      </c>
      <c r="F54" s="11"/>
      <c r="G54" s="12">
        <f t="shared" si="8"/>
        <v>2.6672778793103789E-3</v>
      </c>
      <c r="H54" s="19">
        <f t="shared" si="13"/>
        <v>6.4941363675958333E-2</v>
      </c>
      <c r="I54" s="11">
        <f t="shared" si="14"/>
        <v>12243.53</v>
      </c>
      <c r="J54" s="11">
        <f t="shared" si="15"/>
        <v>11895.49</v>
      </c>
      <c r="K54" s="12">
        <f>(B54-MAX($B$2:B54))/MAX($B$2:B54)</f>
        <v>-2.5612557302698246E-2</v>
      </c>
      <c r="L54" s="12">
        <f t="shared" si="16"/>
        <v>-2.1567309427918402E-2</v>
      </c>
      <c r="M54" s="15">
        <f t="shared" si="10"/>
        <v>56.261599541976359</v>
      </c>
      <c r="N54" s="11">
        <f t="shared" si="3"/>
        <v>11975.74203258482</v>
      </c>
      <c r="O54" s="11">
        <f t="shared" si="4"/>
        <v>12000.60956180107</v>
      </c>
      <c r="P54" s="11">
        <f t="shared" si="0"/>
        <v>-24.86752921624975</v>
      </c>
      <c r="Q54" s="11">
        <f t="shared" si="5"/>
        <v>-16.42733262064252</v>
      </c>
      <c r="R54" s="11">
        <f t="shared" si="1"/>
        <v>-8.4401965956072296</v>
      </c>
      <c r="S54" s="9">
        <f t="shared" si="2"/>
        <v>60</v>
      </c>
      <c r="T54" s="14">
        <f t="shared" si="9"/>
        <v>2.6708382297306876E-3</v>
      </c>
      <c r="U54" s="14">
        <f t="shared" si="6"/>
        <v>0</v>
      </c>
      <c r="V54" s="14">
        <f t="shared" si="19"/>
        <v>1.4939401025744203E-3</v>
      </c>
      <c r="W54" s="14">
        <f t="shared" si="19"/>
        <v>1.1614058433932245E-3</v>
      </c>
      <c r="X54" s="16">
        <f t="shared" si="11"/>
        <v>1.2863204633185297</v>
      </c>
    </row>
    <row r="55" spans="1:24" x14ac:dyDescent="0.25">
      <c r="A55" s="10">
        <v>45251</v>
      </c>
      <c r="B55" s="11">
        <v>11976.24</v>
      </c>
      <c r="C55" s="12">
        <f t="shared" si="7"/>
        <v>-2.6962795515994564E-4</v>
      </c>
      <c r="D55" s="11">
        <f t="shared" si="17"/>
        <v>11994.846499999998</v>
      </c>
      <c r="E55" s="11">
        <f t="shared" si="20"/>
        <v>11981.7374</v>
      </c>
      <c r="F55" s="11"/>
      <c r="G55" s="12">
        <f t="shared" si="8"/>
        <v>-2.6966431131228435E-4</v>
      </c>
      <c r="H55" s="19">
        <f t="shared" si="13"/>
        <v>6.4720429149429909E-2</v>
      </c>
      <c r="I55" s="11">
        <f t="shared" si="14"/>
        <v>12211.87</v>
      </c>
      <c r="J55" s="11">
        <f t="shared" si="15"/>
        <v>11895.49</v>
      </c>
      <c r="K55" s="12">
        <f>(B55-MAX($B$2:B55))/MAX($B$2:B55)</f>
        <v>-2.5875279396406221E-2</v>
      </c>
      <c r="L55" s="12">
        <f t="shared" si="16"/>
        <v>-1.9295161183340515E-2</v>
      </c>
      <c r="M55" s="15">
        <f t="shared" si="10"/>
        <v>43.64758457741933</v>
      </c>
      <c r="N55" s="11">
        <f t="shared" si="3"/>
        <v>11975.818642956387</v>
      </c>
      <c r="O55" s="11">
        <f t="shared" si="4"/>
        <v>11998.804409075065</v>
      </c>
      <c r="P55" s="11">
        <f t="shared" si="0"/>
        <v>-22.98576611867793</v>
      </c>
      <c r="Q55" s="11">
        <f t="shared" si="5"/>
        <v>-17.739019320249604</v>
      </c>
      <c r="R55" s="11">
        <f t="shared" si="1"/>
        <v>-5.246746798428326</v>
      </c>
      <c r="S55" s="9">
        <f t="shared" si="2"/>
        <v>60</v>
      </c>
      <c r="T55" s="14">
        <f t="shared" si="9"/>
        <v>0</v>
      </c>
      <c r="U55" s="14">
        <f t="shared" si="6"/>
        <v>2.6962795515994564E-4</v>
      </c>
      <c r="V55" s="14">
        <f t="shared" si="19"/>
        <v>9.1448031674812302E-4</v>
      </c>
      <c r="W55" s="14">
        <f t="shared" si="19"/>
        <v>1.1806649830475064E-3</v>
      </c>
      <c r="X55" s="16">
        <f t="shared" si="11"/>
        <v>0.77454682732072455</v>
      </c>
    </row>
    <row r="56" spans="1:24" x14ac:dyDescent="0.25">
      <c r="A56" s="10">
        <v>45252</v>
      </c>
      <c r="B56" s="11">
        <v>11999.71</v>
      </c>
      <c r="C56" s="12">
        <f t="shared" si="7"/>
        <v>1.9597135661943987E-3</v>
      </c>
      <c r="D56" s="11">
        <f t="shared" si="17"/>
        <v>11984.238499999998</v>
      </c>
      <c r="E56" s="11">
        <f t="shared" si="20"/>
        <v>11987.484200000001</v>
      </c>
      <c r="F56" s="11"/>
      <c r="G56" s="12">
        <f t="shared" si="8"/>
        <v>1.9577958326272207E-3</v>
      </c>
      <c r="H56" s="19">
        <f t="shared" si="13"/>
        <v>6.5345702933898811E-2</v>
      </c>
      <c r="I56" s="11">
        <f t="shared" si="14"/>
        <v>12141.63</v>
      </c>
      <c r="J56" s="11">
        <f t="shared" si="15"/>
        <v>11895.49</v>
      </c>
      <c r="K56" s="12">
        <f>(B56-MAX($B$2:B56))/MAX($B$2:B56)</f>
        <v>-2.3966273966274085E-2</v>
      </c>
      <c r="L56" s="12">
        <f t="shared" si="16"/>
        <v>-1.1688710659112478E-2</v>
      </c>
      <c r="M56" s="15">
        <f t="shared" si="10"/>
        <v>46.014338515387138</v>
      </c>
      <c r="N56" s="11">
        <f t="shared" si="3"/>
        <v>11979.494236347711</v>
      </c>
      <c r="O56" s="11">
        <f t="shared" si="4"/>
        <v>11998.871489884319</v>
      </c>
      <c r="P56" s="11">
        <f t="shared" si="0"/>
        <v>-19.377253536607896</v>
      </c>
      <c r="Q56" s="11">
        <f t="shared" si="5"/>
        <v>-18.066666163521262</v>
      </c>
      <c r="R56" s="11">
        <f t="shared" si="1"/>
        <v>-1.3105873730866335</v>
      </c>
      <c r="S56" s="9">
        <f t="shared" si="2"/>
        <v>20</v>
      </c>
      <c r="T56" s="14">
        <f t="shared" si="9"/>
        <v>1.9597135661943987E-3</v>
      </c>
      <c r="U56" s="14">
        <f t="shared" si="6"/>
        <v>0</v>
      </c>
      <c r="V56" s="14">
        <f t="shared" si="19"/>
        <v>1.0063323613937073E-3</v>
      </c>
      <c r="W56" s="14">
        <f t="shared" si="19"/>
        <v>1.1806649830475064E-3</v>
      </c>
      <c r="X56" s="16">
        <f t="shared" si="11"/>
        <v>0.85234370108630175</v>
      </c>
    </row>
    <row r="57" spans="1:24" x14ac:dyDescent="0.25">
      <c r="A57" s="10">
        <v>45253</v>
      </c>
      <c r="B57" s="11">
        <v>11976.17</v>
      </c>
      <c r="C57" s="12">
        <f t="shared" si="7"/>
        <v>-1.9617140747567596E-3</v>
      </c>
      <c r="D57" s="11">
        <f t="shared" si="17"/>
        <v>11975.965499999998</v>
      </c>
      <c r="E57" s="11">
        <f t="shared" si="20"/>
        <v>11992.491000000002</v>
      </c>
      <c r="F57" s="11"/>
      <c r="G57" s="12">
        <f t="shared" si="8"/>
        <v>-1.9636407559564077E-3</v>
      </c>
      <c r="H57" s="19">
        <f t="shared" si="13"/>
        <v>6.2918369741343946E-2</v>
      </c>
      <c r="I57" s="11">
        <f t="shared" si="14"/>
        <v>12035.24</v>
      </c>
      <c r="J57" s="11">
        <f t="shared" si="15"/>
        <v>11895.49</v>
      </c>
      <c r="K57" s="12">
        <f>(B57-MAX($B$2:B57))/MAX($B$2:B57)</f>
        <v>-2.5880973064071697E-2</v>
      </c>
      <c r="L57" s="12">
        <f t="shared" si="16"/>
        <v>-4.908086585726612E-3</v>
      </c>
      <c r="M57" s="15">
        <f t="shared" si="10"/>
        <v>45.878703849224273</v>
      </c>
      <c r="N57" s="11">
        <f t="shared" si="3"/>
        <v>11978.982815371139</v>
      </c>
      <c r="O57" s="11">
        <f t="shared" si="4"/>
        <v>11997.189898041037</v>
      </c>
      <c r="P57" s="11">
        <f t="shared" si="0"/>
        <v>-18.207082669898227</v>
      </c>
      <c r="Q57" s="11">
        <f t="shared" si="5"/>
        <v>-18.094749464796656</v>
      </c>
      <c r="R57" s="11">
        <f t="shared" si="1"/>
        <v>-0.11233320510157085</v>
      </c>
      <c r="S57" s="9">
        <f t="shared" si="2"/>
        <v>20</v>
      </c>
      <c r="T57" s="14">
        <f t="shared" si="9"/>
        <v>0</v>
      </c>
      <c r="U57" s="14">
        <f t="shared" si="6"/>
        <v>1.9617140747567596E-3</v>
      </c>
      <c r="V57" s="14">
        <f t="shared" si="19"/>
        <v>1.0063323613937073E-3</v>
      </c>
      <c r="W57" s="14">
        <f t="shared" si="19"/>
        <v>1.1871305679447433E-3</v>
      </c>
      <c r="X57" s="16">
        <f t="shared" si="11"/>
        <v>0.84770149852678078</v>
      </c>
    </row>
    <row r="58" spans="1:24" x14ac:dyDescent="0.25">
      <c r="A58" s="10">
        <v>45254</v>
      </c>
      <c r="B58" s="11">
        <v>11957.67</v>
      </c>
      <c r="C58" s="12">
        <f t="shared" si="7"/>
        <v>-1.5447342514343099E-3</v>
      </c>
      <c r="D58" s="11">
        <f t="shared" si="17"/>
        <v>11972.087</v>
      </c>
      <c r="E58" s="11">
        <f t="shared" si="20"/>
        <v>11996.906800000002</v>
      </c>
      <c r="F58" s="11"/>
      <c r="G58" s="12">
        <f t="shared" si="8"/>
        <v>-1.5459285834969762E-3</v>
      </c>
      <c r="H58" s="19">
        <f t="shared" si="13"/>
        <v>5.5319128562253149E-2</v>
      </c>
      <c r="I58" s="11">
        <f t="shared" si="14"/>
        <v>12029.74</v>
      </c>
      <c r="J58" s="11">
        <f t="shared" si="15"/>
        <v>11895.49</v>
      </c>
      <c r="K58" s="12">
        <f>(B58-MAX($B$2:B58))/MAX($B$2:B58)</f>
        <v>-2.7385728089953484E-2</v>
      </c>
      <c r="L58" s="12">
        <f t="shared" si="16"/>
        <v>-2.51089235112123E-3</v>
      </c>
      <c r="M58" s="15">
        <f t="shared" si="10"/>
        <v>47.336054505157605</v>
      </c>
      <c r="N58" s="11">
        <f t="shared" si="3"/>
        <v>11975.703920698657</v>
      </c>
      <c r="O58" s="11">
        <f t="shared" si="4"/>
        <v>11994.262498186146</v>
      </c>
      <c r="P58" s="11">
        <f t="shared" si="0"/>
        <v>-18.558577487488947</v>
      </c>
      <c r="Q58" s="11">
        <f t="shared" si="5"/>
        <v>-18.187515069335117</v>
      </c>
      <c r="R58" s="11">
        <f t="shared" si="1"/>
        <v>-0.37106241815383001</v>
      </c>
      <c r="S58" s="9">
        <f t="shared" si="2"/>
        <v>20</v>
      </c>
      <c r="T58" s="14">
        <f t="shared" si="9"/>
        <v>0</v>
      </c>
      <c r="U58" s="14">
        <f t="shared" si="6"/>
        <v>1.5447342514343099E-3</v>
      </c>
      <c r="V58" s="14">
        <f t="shared" si="19"/>
        <v>1.0063323613937073E-3</v>
      </c>
      <c r="W58" s="14">
        <f t="shared" si="19"/>
        <v>1.1195997043724839E-3</v>
      </c>
      <c r="X58" s="16">
        <f t="shared" si="11"/>
        <v>0.89883228573889173</v>
      </c>
    </row>
    <row r="59" spans="1:24" x14ac:dyDescent="0.25">
      <c r="A59" s="10">
        <v>45257</v>
      </c>
      <c r="B59" s="11">
        <v>11843.79</v>
      </c>
      <c r="C59" s="12">
        <f t="shared" si="7"/>
        <v>-9.5235944795264427E-3</v>
      </c>
      <c r="D59" s="11">
        <f t="shared" si="17"/>
        <v>11964.888000000001</v>
      </c>
      <c r="E59" s="11">
        <f t="shared" si="20"/>
        <v>11999.087000000001</v>
      </c>
      <c r="F59" s="11"/>
      <c r="G59" s="12">
        <f t="shared" si="8"/>
        <v>-9.5692339041577035E-3</v>
      </c>
      <c r="H59" s="19">
        <f t="shared" si="13"/>
        <v>6.3233419539172137E-2</v>
      </c>
      <c r="I59" s="11">
        <f t="shared" si="14"/>
        <v>12029.74</v>
      </c>
      <c r="J59" s="11">
        <f t="shared" si="15"/>
        <v>11843.79</v>
      </c>
      <c r="K59" s="12">
        <f>(B59-MAX($B$2:B59))/MAX($B$2:B59)</f>
        <v>-3.6648512000624654E-2</v>
      </c>
      <c r="L59" s="12">
        <f t="shared" si="16"/>
        <v>-6.8017341864501368E-3</v>
      </c>
      <c r="M59" s="15">
        <f t="shared" si="10"/>
        <v>34.258682106286628</v>
      </c>
      <c r="N59" s="11">
        <f t="shared" si="3"/>
        <v>11955.409471360403</v>
      </c>
      <c r="O59" s="11">
        <f t="shared" si="4"/>
        <v>11983.116387209395</v>
      </c>
      <c r="P59" s="11">
        <f t="shared" si="0"/>
        <v>-27.706915848992139</v>
      </c>
      <c r="Q59" s="11">
        <f t="shared" si="5"/>
        <v>-20.091395225266524</v>
      </c>
      <c r="R59" s="11">
        <f t="shared" si="1"/>
        <v>-7.6155206237256152</v>
      </c>
      <c r="S59" s="9">
        <f t="shared" si="2"/>
        <v>20</v>
      </c>
      <c r="T59" s="14">
        <f t="shared" si="9"/>
        <v>0</v>
      </c>
      <c r="U59" s="14">
        <f t="shared" si="6"/>
        <v>9.5235944795264427E-3</v>
      </c>
      <c r="V59" s="14">
        <f t="shared" si="19"/>
        <v>9.3792932713768608E-4</v>
      </c>
      <c r="W59" s="14">
        <f t="shared" si="19"/>
        <v>1.7998564529100869E-3</v>
      </c>
      <c r="X59" s="16">
        <f t="shared" si="11"/>
        <v>0.52111340636149106</v>
      </c>
    </row>
    <row r="60" spans="1:24" x14ac:dyDescent="0.25">
      <c r="A60" s="10">
        <v>45258</v>
      </c>
      <c r="B60" s="11">
        <v>11775.17</v>
      </c>
      <c r="C60" s="12">
        <f t="shared" si="7"/>
        <v>-5.7937535197770673E-3</v>
      </c>
      <c r="D60" s="11">
        <f t="shared" si="17"/>
        <v>11957.401500000004</v>
      </c>
      <c r="E60" s="11">
        <f t="shared" si="20"/>
        <v>11999.079800000001</v>
      </c>
      <c r="F60" s="11"/>
      <c r="G60" s="12">
        <f t="shared" si="8"/>
        <v>-5.8106024201365963E-3</v>
      </c>
      <c r="H60" s="19">
        <f t="shared" si="13"/>
        <v>6.3800414907135561E-2</v>
      </c>
      <c r="I60" s="11">
        <f t="shared" si="14"/>
        <v>12029.74</v>
      </c>
      <c r="J60" s="11">
        <f t="shared" si="15"/>
        <v>11775.17</v>
      </c>
      <c r="K60" s="12">
        <f>(B60-MAX($B$2:B60))/MAX($B$2:B60)</f>
        <v>-4.2229933075003535E-2</v>
      </c>
      <c r="L60" s="12">
        <f t="shared" si="16"/>
        <v>-2.0502194376141647E-2</v>
      </c>
      <c r="M60" s="15">
        <f t="shared" si="10"/>
        <v>31.40218061045023</v>
      </c>
      <c r="N60" s="11">
        <f t="shared" si="3"/>
        <v>11927.680321920341</v>
      </c>
      <c r="O60" s="11">
        <f t="shared" si="4"/>
        <v>11967.712951119809</v>
      </c>
      <c r="P60" s="11">
        <f t="shared" si="0"/>
        <v>-40.03262919946792</v>
      </c>
      <c r="Q60" s="11">
        <f t="shared" si="5"/>
        <v>-24.079642020106803</v>
      </c>
      <c r="R60" s="11">
        <f t="shared" si="1"/>
        <v>-15.952987179361116</v>
      </c>
      <c r="S60" s="9">
        <f t="shared" si="2"/>
        <v>20</v>
      </c>
      <c r="T60" s="14">
        <f t="shared" si="9"/>
        <v>0</v>
      </c>
      <c r="U60" s="14">
        <f t="shared" si="6"/>
        <v>5.7937535197770673E-3</v>
      </c>
      <c r="V60" s="14">
        <f t="shared" si="19"/>
        <v>9.3792932713768608E-4</v>
      </c>
      <c r="W60" s="14">
        <f t="shared" si="19"/>
        <v>2.0488993226712876E-3</v>
      </c>
      <c r="X60" s="16">
        <f t="shared" si="11"/>
        <v>0.45777228620235211</v>
      </c>
    </row>
    <row r="61" spans="1:24" x14ac:dyDescent="0.25">
      <c r="A61" s="10">
        <v>45259</v>
      </c>
      <c r="B61" s="11">
        <v>11784.33</v>
      </c>
      <c r="C61" s="12">
        <f t="shared" si="7"/>
        <v>7.7790808964972591E-4</v>
      </c>
      <c r="D61" s="11">
        <f t="shared" si="17"/>
        <v>11945.536000000002</v>
      </c>
      <c r="E61" s="11">
        <f t="shared" si="20"/>
        <v>11999.3802</v>
      </c>
      <c r="F61" s="11"/>
      <c r="G61" s="12">
        <f t="shared" si="8"/>
        <v>7.7760567597495473E-4</v>
      </c>
      <c r="H61" s="19">
        <f t="shared" si="13"/>
        <v>5.5271487119166449E-2</v>
      </c>
      <c r="I61" s="11">
        <f t="shared" si="14"/>
        <v>12029.74</v>
      </c>
      <c r="J61" s="11">
        <f t="shared" si="15"/>
        <v>11775.17</v>
      </c>
      <c r="K61" s="12">
        <f>(B61-MAX($B$2:B61))/MAX($B$2:B61)</f>
        <v>-4.1484875991918295E-2</v>
      </c>
      <c r="L61" s="12">
        <f t="shared" si="16"/>
        <v>-2.0400274652652484E-2</v>
      </c>
      <c r="M61" s="15">
        <f t="shared" si="10"/>
        <v>33.592641278765356</v>
      </c>
      <c r="N61" s="11">
        <f t="shared" si="3"/>
        <v>11905.626426240287</v>
      </c>
      <c r="O61" s="11">
        <f t="shared" si="4"/>
        <v>11954.129028814639</v>
      </c>
      <c r="P61" s="11">
        <f t="shared" si="0"/>
        <v>-48.50260257435184</v>
      </c>
      <c r="Q61" s="11">
        <f t="shared" si="5"/>
        <v>-28.964234130955813</v>
      </c>
      <c r="R61" s="11">
        <f t="shared" si="1"/>
        <v>-19.538368443396028</v>
      </c>
      <c r="S61" s="9">
        <f t="shared" si="2"/>
        <v>20</v>
      </c>
      <c r="T61" s="14">
        <f t="shared" si="9"/>
        <v>7.7790808964972591E-4</v>
      </c>
      <c r="U61" s="14">
        <f t="shared" si="6"/>
        <v>0</v>
      </c>
      <c r="V61" s="14">
        <f t="shared" si="19"/>
        <v>9.9349419068409496E-4</v>
      </c>
      <c r="W61" s="14">
        <f t="shared" si="19"/>
        <v>1.963981473225978E-3</v>
      </c>
      <c r="X61" s="16">
        <f t="shared" si="11"/>
        <v>0.50585721109283721</v>
      </c>
    </row>
    <row r="62" spans="1:24" x14ac:dyDescent="0.25">
      <c r="A62" s="10">
        <v>45260</v>
      </c>
      <c r="B62" s="11">
        <v>11781.56</v>
      </c>
      <c r="C62" s="12">
        <f t="shared" si="7"/>
        <v>-2.350579116504603E-4</v>
      </c>
      <c r="D62" s="11">
        <f t="shared" si="17"/>
        <v>11933.127000000002</v>
      </c>
      <c r="E62" s="11">
        <f t="shared" si="20"/>
        <v>11998.861000000003</v>
      </c>
      <c r="F62" s="11"/>
      <c r="G62" s="12">
        <f t="shared" si="8"/>
        <v>-2.3508554209129568E-4</v>
      </c>
      <c r="H62" s="19">
        <f t="shared" si="13"/>
        <v>5.5000706009730616E-2</v>
      </c>
      <c r="I62" s="11">
        <f t="shared" si="14"/>
        <v>12007.23</v>
      </c>
      <c r="J62" s="11">
        <f t="shared" si="15"/>
        <v>11775.17</v>
      </c>
      <c r="K62" s="12">
        <f>(B62-MAX($B$2:B62))/MAX($B$2:B62)</f>
        <v>-4.1710182555253064E-2</v>
      </c>
      <c r="L62" s="12">
        <f t="shared" si="16"/>
        <v>-1.8794509641274493E-2</v>
      </c>
      <c r="M62" s="15">
        <f t="shared" si="10"/>
        <v>33.17734179271612</v>
      </c>
      <c r="N62" s="11">
        <f t="shared" si="3"/>
        <v>11886.539283741782</v>
      </c>
      <c r="O62" s="11">
        <f t="shared" si="4"/>
        <v>11941.346137791332</v>
      </c>
      <c r="P62" s="11">
        <f t="shared" si="0"/>
        <v>-54.806854049549656</v>
      </c>
      <c r="Q62" s="11">
        <f t="shared" si="5"/>
        <v>-34.13275811467458</v>
      </c>
      <c r="R62" s="11">
        <f t="shared" si="1"/>
        <v>-20.674095934875076</v>
      </c>
      <c r="S62" s="9">
        <f t="shared" si="2"/>
        <v>20</v>
      </c>
      <c r="T62" s="14">
        <f t="shared" si="9"/>
        <v>0</v>
      </c>
      <c r="U62" s="14">
        <f t="shared" si="6"/>
        <v>2.350579116504603E-4</v>
      </c>
      <c r="V62" s="14">
        <f t="shared" si="19"/>
        <v>9.8344976082266806E-4</v>
      </c>
      <c r="W62" s="14">
        <f t="shared" si="19"/>
        <v>1.9807713240581537E-3</v>
      </c>
      <c r="X62" s="16">
        <f t="shared" si="11"/>
        <v>0.4964983836739929</v>
      </c>
    </row>
    <row r="63" spans="1:24" x14ac:dyDescent="0.25">
      <c r="A63" s="10">
        <v>45261</v>
      </c>
      <c r="B63" s="11">
        <v>11748.19</v>
      </c>
      <c r="C63" s="12">
        <f t="shared" si="7"/>
        <v>-2.8323923147697272E-3</v>
      </c>
      <c r="D63" s="11">
        <f t="shared" si="17"/>
        <v>11920.175000000001</v>
      </c>
      <c r="E63" s="11">
        <f t="shared" si="20"/>
        <v>11997.839200000002</v>
      </c>
      <c r="F63" s="11"/>
      <c r="G63" s="12">
        <f t="shared" si="8"/>
        <v>-2.8364111282469101E-3</v>
      </c>
      <c r="H63" s="19">
        <f t="shared" si="13"/>
        <v>5.5299207090237029E-2</v>
      </c>
      <c r="I63" s="11">
        <f t="shared" si="14"/>
        <v>11999.71</v>
      </c>
      <c r="J63" s="11">
        <f t="shared" si="15"/>
        <v>11748.19</v>
      </c>
      <c r="K63" s="12">
        <f>(B63-MAX($B$2:B63))/MAX($B$2:B63)</f>
        <v>-4.4424435269505694E-2</v>
      </c>
      <c r="L63" s="12">
        <f t="shared" si="16"/>
        <v>-1.9131141915602168E-2</v>
      </c>
      <c r="M63" s="15">
        <f t="shared" si="10"/>
        <v>27.912530732628085</v>
      </c>
      <c r="N63" s="11">
        <f t="shared" si="3"/>
        <v>11865.254778550738</v>
      </c>
      <c r="O63" s="11">
        <f t="shared" si="4"/>
        <v>11927.038275732715</v>
      </c>
      <c r="P63" s="11">
        <f t="shared" si="0"/>
        <v>-61.783497181977509</v>
      </c>
      <c r="Q63" s="11">
        <f t="shared" si="5"/>
        <v>-39.662905928135167</v>
      </c>
      <c r="R63" s="11">
        <f t="shared" si="1"/>
        <v>-22.120591253842342</v>
      </c>
      <c r="S63" s="9">
        <f t="shared" si="2"/>
        <v>20</v>
      </c>
      <c r="T63" s="14">
        <f t="shared" si="9"/>
        <v>0</v>
      </c>
      <c r="U63" s="14">
        <f t="shared" si="6"/>
        <v>2.8323923147697272E-3</v>
      </c>
      <c r="V63" s="14">
        <f t="shared" si="19"/>
        <v>8.4529848906579803E-4</v>
      </c>
      <c r="W63" s="14">
        <f t="shared" si="19"/>
        <v>2.1830850608274199E-3</v>
      </c>
      <c r="X63" s="16">
        <f t="shared" si="11"/>
        <v>0.38720364324485734</v>
      </c>
    </row>
    <row r="64" spans="1:24" x14ac:dyDescent="0.25">
      <c r="A64" s="10">
        <v>45264</v>
      </c>
      <c r="B64" s="11">
        <v>11728.06</v>
      </c>
      <c r="C64" s="12">
        <f t="shared" si="7"/>
        <v>-1.7134554344117037E-3</v>
      </c>
      <c r="D64" s="11">
        <f t="shared" si="17"/>
        <v>11907.711500000001</v>
      </c>
      <c r="E64" s="11">
        <f t="shared" si="20"/>
        <v>11996.955600000001</v>
      </c>
      <c r="F64" s="11"/>
      <c r="G64" s="12">
        <f t="shared" si="8"/>
        <v>-1.7149250781939068E-3</v>
      </c>
      <c r="H64" s="19">
        <f t="shared" si="13"/>
        <v>5.5106014949301632E-2</v>
      </c>
      <c r="I64" s="11">
        <f t="shared" si="14"/>
        <v>11999.71</v>
      </c>
      <c r="J64" s="11">
        <f t="shared" si="15"/>
        <v>11728.06</v>
      </c>
      <c r="K64" s="12">
        <f>(B64-MAX($B$2:B64))/MAX($B$2:B64)</f>
        <v>-4.6061771413884178E-2</v>
      </c>
      <c r="L64" s="12">
        <f t="shared" si="16"/>
        <v>-2.174863205658617E-2</v>
      </c>
      <c r="M64" s="15">
        <f t="shared" si="10"/>
        <v>26.545922372176022</v>
      </c>
      <c r="N64" s="11">
        <f t="shared" si="3"/>
        <v>11844.147889542932</v>
      </c>
      <c r="O64" s="11">
        <f t="shared" si="4"/>
        <v>11912.299144196959</v>
      </c>
      <c r="P64" s="11">
        <f t="shared" si="0"/>
        <v>-68.151254654027071</v>
      </c>
      <c r="Q64" s="11">
        <f t="shared" si="5"/>
        <v>-45.360575673313548</v>
      </c>
      <c r="R64" s="11">
        <f t="shared" si="1"/>
        <v>-22.790678980713523</v>
      </c>
      <c r="S64" s="9">
        <f t="shared" si="2"/>
        <v>20</v>
      </c>
      <c r="T64" s="14">
        <f t="shared" si="9"/>
        <v>0</v>
      </c>
      <c r="U64" s="14">
        <f t="shared" si="6"/>
        <v>1.7134554344117037E-3</v>
      </c>
      <c r="V64" s="14">
        <f t="shared" ref="V64:W79" si="21">AVERAGE(T51:T64)</f>
        <v>8.331866019586036E-4</v>
      </c>
      <c r="W64" s="14">
        <f t="shared" si="21"/>
        <v>2.3054747347139698E-3</v>
      </c>
      <c r="X64" s="16">
        <f t="shared" si="11"/>
        <v>0.36139480923957007</v>
      </c>
    </row>
    <row r="65" spans="1:24" x14ac:dyDescent="0.25">
      <c r="A65" s="10">
        <v>45265</v>
      </c>
      <c r="B65" s="11">
        <v>11759.51</v>
      </c>
      <c r="C65" s="12">
        <f t="shared" si="7"/>
        <v>2.6816029249510098E-3</v>
      </c>
      <c r="D65" s="11">
        <f t="shared" si="17"/>
        <v>11896.247000000001</v>
      </c>
      <c r="E65" s="11">
        <f t="shared" si="20"/>
        <v>11996.7554</v>
      </c>
      <c r="F65" s="11"/>
      <c r="G65" s="12">
        <f t="shared" si="8"/>
        <v>2.6780138427245975E-3</v>
      </c>
      <c r="H65" s="19">
        <f t="shared" si="13"/>
        <v>5.6264366321793276E-2</v>
      </c>
      <c r="I65" s="11">
        <f t="shared" si="14"/>
        <v>11999.71</v>
      </c>
      <c r="J65" s="11">
        <f t="shared" si="15"/>
        <v>11728.06</v>
      </c>
      <c r="K65" s="12">
        <f>(B65-MAX($B$2:B65))/MAX($B$2:B65)</f>
        <v>-4.350368786988508E-2</v>
      </c>
      <c r="L65" s="12">
        <f t="shared" si="16"/>
        <v>-1.6857088872799686E-2</v>
      </c>
      <c r="M65" s="15">
        <f t="shared" si="10"/>
        <v>35.787050889581181</v>
      </c>
      <c r="N65" s="11">
        <f t="shared" si="3"/>
        <v>11831.126675767096</v>
      </c>
      <c r="O65" s="11">
        <f t="shared" si="4"/>
        <v>11900.981429811998</v>
      </c>
      <c r="P65" s="11">
        <f t="shared" si="0"/>
        <v>-69.854754044901711</v>
      </c>
      <c r="Q65" s="11">
        <f t="shared" si="5"/>
        <v>-50.259411347631179</v>
      </c>
      <c r="R65" s="11">
        <f t="shared" si="1"/>
        <v>-19.595342697270532</v>
      </c>
      <c r="S65" s="9">
        <f t="shared" si="2"/>
        <v>20</v>
      </c>
      <c r="T65" s="14">
        <f t="shared" si="9"/>
        <v>2.6816029249510098E-3</v>
      </c>
      <c r="U65" s="14">
        <f t="shared" si="6"/>
        <v>0</v>
      </c>
      <c r="V65" s="14">
        <f t="shared" si="21"/>
        <v>1.024729668026533E-3</v>
      </c>
      <c r="W65" s="14">
        <f t="shared" si="21"/>
        <v>1.8386794214462923E-3</v>
      </c>
      <c r="X65" s="16">
        <f t="shared" si="11"/>
        <v>0.5573182883726886</v>
      </c>
    </row>
    <row r="66" spans="1:24" x14ac:dyDescent="0.25">
      <c r="A66" s="10">
        <v>45266</v>
      </c>
      <c r="B66" s="11">
        <v>11757.6</v>
      </c>
      <c r="C66" s="12">
        <f t="shared" si="7"/>
        <v>-1.6242173355862644E-4</v>
      </c>
      <c r="D66" s="11">
        <f t="shared" si="17"/>
        <v>11886.070000000003</v>
      </c>
      <c r="E66" s="11">
        <f t="shared" si="20"/>
        <v>11996.344799999999</v>
      </c>
      <c r="F66" s="11"/>
      <c r="G66" s="12">
        <f t="shared" si="8"/>
        <v>-1.6243492539683935E-4</v>
      </c>
      <c r="H66" s="19">
        <f t="shared" si="13"/>
        <v>5.6099974592962433E-2</v>
      </c>
      <c r="I66" s="11">
        <f t="shared" si="14"/>
        <v>11999.71</v>
      </c>
      <c r="J66" s="11">
        <f t="shared" si="15"/>
        <v>11728.06</v>
      </c>
      <c r="K66" s="12">
        <f>(B66-MAX($B$2:B66))/MAX($B$2:B66)</f>
        <v>-4.3659043659043675E-2</v>
      </c>
      <c r="L66" s="12">
        <f t="shared" si="16"/>
        <v>-1.5846762178034157E-2</v>
      </c>
      <c r="M66" s="15">
        <f t="shared" si="10"/>
        <v>23.798504608817751</v>
      </c>
      <c r="N66" s="11">
        <f t="shared" si="3"/>
        <v>11819.814879495236</v>
      </c>
      <c r="O66" s="11">
        <f t="shared" si="4"/>
        <v>11890.360583159258</v>
      </c>
      <c r="P66" s="11">
        <f t="shared" ref="P66:P129" si="22">N66-O66</f>
        <v>-70.545703664021858</v>
      </c>
      <c r="Q66" s="11">
        <f t="shared" si="5"/>
        <v>-54.316669810909318</v>
      </c>
      <c r="R66" s="11">
        <f t="shared" ref="R66:R129" si="23">P66-Q66</f>
        <v>-16.22903385311254</v>
      </c>
      <c r="S66" s="9">
        <f t="shared" ref="S66:S129" si="24">IF(AND(D66&gt;E66,P66&gt;Q66),100,IF(OR(D66&gt;E66,P66&gt;Q66),60,20))</f>
        <v>20</v>
      </c>
      <c r="T66" s="14">
        <f t="shared" si="9"/>
        <v>0</v>
      </c>
      <c r="U66" s="14">
        <f t="shared" si="6"/>
        <v>1.6242173355862644E-4</v>
      </c>
      <c r="V66" s="14">
        <f t="shared" si="21"/>
        <v>5.7786162932327301E-4</v>
      </c>
      <c r="W66" s="14">
        <f t="shared" si="21"/>
        <v>1.8502809738433371E-3</v>
      </c>
      <c r="X66" s="16">
        <f t="shared" si="11"/>
        <v>0.31231020449989261</v>
      </c>
    </row>
    <row r="67" spans="1:24" x14ac:dyDescent="0.25">
      <c r="A67" s="10">
        <v>45267</v>
      </c>
      <c r="B67" s="11">
        <v>11827.02</v>
      </c>
      <c r="C67" s="12">
        <f t="shared" si="7"/>
        <v>5.904266176770756E-3</v>
      </c>
      <c r="D67" s="11">
        <f t="shared" si="17"/>
        <v>11880.075000000001</v>
      </c>
      <c r="E67" s="11">
        <f t="shared" si="20"/>
        <v>11996.556999999999</v>
      </c>
      <c r="F67" s="11"/>
      <c r="G67" s="12">
        <f t="shared" si="8"/>
        <v>5.8869043031242055E-3</v>
      </c>
      <c r="H67" s="19">
        <f t="shared" si="13"/>
        <v>6.0958686389069767E-2</v>
      </c>
      <c r="I67" s="11">
        <f t="shared" si="14"/>
        <v>11999.71</v>
      </c>
      <c r="J67" s="11">
        <f t="shared" si="15"/>
        <v>11728.06</v>
      </c>
      <c r="K67" s="12">
        <f>(B67-MAX($B$2:B67))/MAX($B$2:B67)</f>
        <v>-3.801255209705915E-2</v>
      </c>
      <c r="L67" s="12">
        <f t="shared" si="16"/>
        <v>-1.0175250656980772E-2</v>
      </c>
      <c r="M67" s="15">
        <f t="shared" si="10"/>
        <v>36.797084762184426</v>
      </c>
      <c r="N67" s="11">
        <f t="shared" ref="N67:N130" si="25">(B67*(2/13))+N66*(1-2/13)</f>
        <v>11820.923359572893</v>
      </c>
      <c r="O67" s="11">
        <f t="shared" ref="O67:O130" si="26">(B67*(2/27))+O66*(1-2/27)</f>
        <v>11885.668688110423</v>
      </c>
      <c r="P67" s="11">
        <f t="shared" si="22"/>
        <v>-64.74532853753044</v>
      </c>
      <c r="Q67" s="11">
        <f t="shared" ref="Q67:Q130" si="27">(P67*(2/10))+Q66*(1-2/10)</f>
        <v>-56.402401556233542</v>
      </c>
      <c r="R67" s="11">
        <f t="shared" si="23"/>
        <v>-8.3429269812968982</v>
      </c>
      <c r="S67" s="9">
        <f t="shared" si="24"/>
        <v>20</v>
      </c>
      <c r="T67" s="14">
        <f t="shared" si="9"/>
        <v>5.904266176770756E-3</v>
      </c>
      <c r="U67" s="14">
        <f t="shared" ref="U67:U130" si="28">ABS(MIN(C67,0))</f>
        <v>0</v>
      </c>
      <c r="V67" s="14">
        <f t="shared" si="21"/>
        <v>9.995949276640412E-4</v>
      </c>
      <c r="W67" s="14">
        <f t="shared" si="21"/>
        <v>1.7169108339317887E-3</v>
      </c>
      <c r="X67" s="16">
        <f t="shared" si="11"/>
        <v>0.58220549833384894</v>
      </c>
    </row>
    <row r="68" spans="1:24" x14ac:dyDescent="0.25">
      <c r="A68" s="10">
        <v>45268</v>
      </c>
      <c r="B68" s="11">
        <v>11885.32</v>
      </c>
      <c r="C68" s="12">
        <f t="shared" ref="C68:C131" si="29">(B68/B67)-1</f>
        <v>4.929390497352637E-3</v>
      </c>
      <c r="D68" s="11">
        <f t="shared" si="17"/>
        <v>11876.911</v>
      </c>
      <c r="E68" s="11">
        <f t="shared" si="20"/>
        <v>11997.186599999997</v>
      </c>
      <c r="F68" s="11"/>
      <c r="G68" s="12">
        <f t="shared" ref="G68:G131" si="30">LN(B68/B67)</f>
        <v>4.9172808312259002E-3</v>
      </c>
      <c r="H68" s="19">
        <f t="shared" si="13"/>
        <v>6.3915335572461637E-2</v>
      </c>
      <c r="I68" s="11">
        <f t="shared" si="14"/>
        <v>11999.71</v>
      </c>
      <c r="J68" s="11">
        <f t="shared" si="15"/>
        <v>11728.06</v>
      </c>
      <c r="K68" s="12">
        <f>(B68-MAX($B$2:B68))/MAX($B$2:B68)</f>
        <v>-3.3270540312793903E-2</v>
      </c>
      <c r="L68" s="12">
        <f t="shared" si="16"/>
        <v>-7.2161788082070188E-3</v>
      </c>
      <c r="M68" s="15">
        <f t="shared" si="10"/>
        <v>40.34010754868703</v>
      </c>
      <c r="N68" s="11">
        <f t="shared" si="25"/>
        <v>11830.830535023219</v>
      </c>
      <c r="O68" s="11">
        <f t="shared" si="26"/>
        <v>11885.642859361504</v>
      </c>
      <c r="P68" s="11">
        <f t="shared" si="22"/>
        <v>-54.81232433828518</v>
      </c>
      <c r="Q68" s="11">
        <f t="shared" si="27"/>
        <v>-56.08438611264387</v>
      </c>
      <c r="R68" s="11">
        <f t="shared" si="23"/>
        <v>1.2720617743586899</v>
      </c>
      <c r="S68" s="9">
        <f t="shared" si="24"/>
        <v>60</v>
      </c>
      <c r="T68" s="14">
        <f t="shared" ref="T68:T131" si="31">MAX(C68,0)</f>
        <v>4.929390497352637E-3</v>
      </c>
      <c r="U68" s="14">
        <f t="shared" si="28"/>
        <v>0</v>
      </c>
      <c r="V68" s="14">
        <f t="shared" si="21"/>
        <v>1.1609200896370378E-3</v>
      </c>
      <c r="W68" s="14">
        <f t="shared" si="21"/>
        <v>1.7169108339317887E-3</v>
      </c>
      <c r="X68" s="16">
        <f t="shared" si="11"/>
        <v>0.67616795624644543</v>
      </c>
    </row>
    <row r="69" spans="1:24" x14ac:dyDescent="0.25">
      <c r="A69" s="10">
        <v>45271</v>
      </c>
      <c r="B69" s="11">
        <v>11952.37</v>
      </c>
      <c r="C69" s="12">
        <f t="shared" si="29"/>
        <v>5.6414131045694482E-3</v>
      </c>
      <c r="D69" s="11">
        <f t="shared" si="17"/>
        <v>11875.944</v>
      </c>
      <c r="E69" s="11">
        <f t="shared" si="20"/>
        <v>11998.927599999995</v>
      </c>
      <c r="F69" s="11"/>
      <c r="G69" s="12">
        <f t="shared" si="30"/>
        <v>5.625559928591972E-3</v>
      </c>
      <c r="H69" s="19">
        <f t="shared" si="13"/>
        <v>6.6875666139338943E-2</v>
      </c>
      <c r="I69" s="11">
        <f t="shared" si="14"/>
        <v>11999.71</v>
      </c>
      <c r="J69" s="11">
        <f t="shared" si="15"/>
        <v>11728.06</v>
      </c>
      <c r="K69" s="12">
        <f>(B69-MAX($B$2:B69))/MAX($B$2:B69)</f>
        <v>-2.7816820070341176E-2</v>
      </c>
      <c r="L69" s="12">
        <f t="shared" si="16"/>
        <v>-1.7847389370404532E-3</v>
      </c>
      <c r="M69" s="15">
        <f t="shared" si="10"/>
        <v>47.949221203400221</v>
      </c>
      <c r="N69" s="11">
        <f t="shared" si="25"/>
        <v>11849.528914250415</v>
      </c>
      <c r="O69" s="11">
        <f t="shared" si="26"/>
        <v>11890.585610519913</v>
      </c>
      <c r="P69" s="11">
        <f t="shared" si="22"/>
        <v>-41.056696269497479</v>
      </c>
      <c r="Q69" s="11">
        <f t="shared" si="27"/>
        <v>-53.078848144014593</v>
      </c>
      <c r="R69" s="11">
        <f t="shared" si="23"/>
        <v>12.022151874517114</v>
      </c>
      <c r="S69" s="9">
        <f t="shared" si="24"/>
        <v>60</v>
      </c>
      <c r="T69" s="14">
        <f t="shared" si="31"/>
        <v>5.6414131045694482E-3</v>
      </c>
      <c r="U69" s="14">
        <f t="shared" si="28"/>
        <v>0</v>
      </c>
      <c r="V69" s="14">
        <f t="shared" si="21"/>
        <v>1.5638781685348554E-3</v>
      </c>
      <c r="W69" s="14">
        <f t="shared" si="21"/>
        <v>1.6976516942775069E-3</v>
      </c>
      <c r="X69" s="16">
        <f t="shared" si="11"/>
        <v>0.92120084102435196</v>
      </c>
    </row>
    <row r="70" spans="1:24" x14ac:dyDescent="0.25">
      <c r="A70" s="10">
        <v>45272</v>
      </c>
      <c r="B70" s="11">
        <v>11995.29</v>
      </c>
      <c r="C70" s="12">
        <f t="shared" si="29"/>
        <v>3.5909196251455722E-3</v>
      </c>
      <c r="D70" s="11">
        <f t="shared" si="17"/>
        <v>11877.021500000001</v>
      </c>
      <c r="E70" s="11">
        <f t="shared" si="20"/>
        <v>12003.051599999997</v>
      </c>
      <c r="F70" s="11"/>
      <c r="G70" s="12">
        <f t="shared" si="30"/>
        <v>3.5844876664340806E-3</v>
      </c>
      <c r="H70" s="19">
        <f t="shared" si="13"/>
        <v>6.8132041368885371E-2</v>
      </c>
      <c r="I70" s="11">
        <f t="shared" si="14"/>
        <v>11999.71</v>
      </c>
      <c r="J70" s="11">
        <f t="shared" si="15"/>
        <v>11728.06</v>
      </c>
      <c r="K70" s="12">
        <f>(B70-MAX($B$2:B70))/MAX($B$2:B70)</f>
        <v>-2.4325788410295427E-2</v>
      </c>
      <c r="L70" s="12">
        <f t="shared" si="16"/>
        <v>8.3897342606316094E-3</v>
      </c>
      <c r="M70" s="15">
        <f t="shared" si="10"/>
        <v>49.744544412740524</v>
      </c>
      <c r="N70" s="11">
        <f t="shared" si="25"/>
        <v>11871.953696673429</v>
      </c>
      <c r="O70" s="11">
        <f t="shared" si="26"/>
        <v>11898.341491222141</v>
      </c>
      <c r="P70" s="11">
        <f t="shared" si="22"/>
        <v>-26.387794548712918</v>
      </c>
      <c r="Q70" s="11">
        <f t="shared" si="27"/>
        <v>-47.740637424954258</v>
      </c>
      <c r="R70" s="11">
        <f t="shared" si="23"/>
        <v>21.35284287624134</v>
      </c>
      <c r="S70" s="9">
        <f t="shared" si="24"/>
        <v>60</v>
      </c>
      <c r="T70" s="14">
        <f t="shared" si="31"/>
        <v>3.5909196251455722E-3</v>
      </c>
      <c r="U70" s="14">
        <f t="shared" si="28"/>
        <v>0</v>
      </c>
      <c r="V70" s="14">
        <f t="shared" si="21"/>
        <v>1.6803928870313678E-3</v>
      </c>
      <c r="W70" s="14">
        <f t="shared" si="21"/>
        <v>1.6976516942775069E-3</v>
      </c>
      <c r="X70" s="16">
        <f t="shared" si="11"/>
        <v>0.98983371718455815</v>
      </c>
    </row>
    <row r="71" spans="1:24" x14ac:dyDescent="0.25">
      <c r="A71" s="10">
        <v>45273</v>
      </c>
      <c r="B71" s="11">
        <v>12115.02</v>
      </c>
      <c r="C71" s="12">
        <f t="shared" si="29"/>
        <v>9.981417706449669E-3</v>
      </c>
      <c r="D71" s="11">
        <f t="shared" si="17"/>
        <v>11887.998</v>
      </c>
      <c r="E71" s="11">
        <f t="shared" si="20"/>
        <v>12011.042999999996</v>
      </c>
      <c r="F71" s="11"/>
      <c r="G71" s="12">
        <f t="shared" si="30"/>
        <v>9.9319323734712202E-3</v>
      </c>
      <c r="H71" s="19">
        <f t="shared" si="13"/>
        <v>7.1836706631037542E-2</v>
      </c>
      <c r="I71" s="11">
        <f t="shared" si="14"/>
        <v>12115.02</v>
      </c>
      <c r="J71" s="11">
        <f t="shared" si="15"/>
        <v>11728.06</v>
      </c>
      <c r="K71" s="12">
        <f>(B71-MAX($B$2:B71))/MAX($B$2:B71)</f>
        <v>-1.4587176559007556E-2</v>
      </c>
      <c r="L71" s="12">
        <f t="shared" si="16"/>
        <v>1.2122898167154172E-2</v>
      </c>
      <c r="M71" s="15">
        <f t="shared" si="10"/>
        <v>60.57766772030832</v>
      </c>
      <c r="N71" s="11">
        <f t="shared" si="25"/>
        <v>11909.348512569824</v>
      </c>
      <c r="O71" s="11">
        <f t="shared" si="26"/>
        <v>11914.391751131612</v>
      </c>
      <c r="P71" s="11">
        <f t="shared" si="22"/>
        <v>-5.0432385617878026</v>
      </c>
      <c r="Q71" s="11">
        <f t="shared" si="27"/>
        <v>-39.201157652320965</v>
      </c>
      <c r="R71" s="11">
        <f t="shared" si="23"/>
        <v>34.157919090533163</v>
      </c>
      <c r="S71" s="9">
        <f t="shared" si="24"/>
        <v>60</v>
      </c>
      <c r="T71" s="14">
        <f t="shared" si="31"/>
        <v>9.981417706449669E-3</v>
      </c>
      <c r="U71" s="14">
        <f t="shared" si="28"/>
        <v>0</v>
      </c>
      <c r="V71" s="14">
        <f t="shared" si="21"/>
        <v>2.3933512946349156E-3</v>
      </c>
      <c r="W71" s="14">
        <f t="shared" si="21"/>
        <v>1.5575292603663099E-3</v>
      </c>
      <c r="X71" s="16">
        <f t="shared" si="11"/>
        <v>1.5366332790897499</v>
      </c>
    </row>
    <row r="72" spans="1:24" x14ac:dyDescent="0.25">
      <c r="A72" s="10">
        <v>45274</v>
      </c>
      <c r="B72" s="11">
        <v>12134.19</v>
      </c>
      <c r="C72" s="12">
        <f t="shared" si="29"/>
        <v>1.5823333349842539E-3</v>
      </c>
      <c r="D72" s="11">
        <f t="shared" si="17"/>
        <v>11896.212</v>
      </c>
      <c r="E72" s="11">
        <f t="shared" si="20"/>
        <v>12020.522599999995</v>
      </c>
      <c r="F72" s="11"/>
      <c r="G72" s="12">
        <f t="shared" si="30"/>
        <v>1.5810827646317175E-3</v>
      </c>
      <c r="H72" s="19">
        <f t="shared" si="13"/>
        <v>6.9110975053183837E-2</v>
      </c>
      <c r="I72" s="11">
        <f t="shared" si="14"/>
        <v>12134.19</v>
      </c>
      <c r="J72" s="11">
        <f t="shared" si="15"/>
        <v>11728.06</v>
      </c>
      <c r="K72" s="12">
        <f>(B72-MAX($B$2:B72))/MAX($B$2:B72)</f>
        <v>-1.3027924999755991E-2</v>
      </c>
      <c r="L72" s="12">
        <f t="shared" si="16"/>
        <v>1.5620762733143945E-2</v>
      </c>
      <c r="M72" s="15">
        <f t="shared" si="10"/>
        <v>63.395298701486354</v>
      </c>
      <c r="N72" s="11">
        <f t="shared" si="25"/>
        <v>11943.939510636004</v>
      </c>
      <c r="O72" s="11">
        <f t="shared" si="26"/>
        <v>11930.673102899642</v>
      </c>
      <c r="P72" s="11">
        <f t="shared" si="22"/>
        <v>13.266407736362453</v>
      </c>
      <c r="Q72" s="11">
        <f t="shared" si="27"/>
        <v>-28.707644574584283</v>
      </c>
      <c r="R72" s="11">
        <f t="shared" si="23"/>
        <v>41.974052310946732</v>
      </c>
      <c r="S72" s="9">
        <f t="shared" si="24"/>
        <v>60</v>
      </c>
      <c r="T72" s="14">
        <f t="shared" si="31"/>
        <v>1.5823333349842539E-3</v>
      </c>
      <c r="U72" s="14">
        <f t="shared" si="28"/>
        <v>0</v>
      </c>
      <c r="V72" s="14">
        <f t="shared" si="21"/>
        <v>2.506375104276648E-3</v>
      </c>
      <c r="W72" s="14">
        <f t="shared" si="21"/>
        <v>1.4471910995495735E-3</v>
      </c>
      <c r="X72" s="16">
        <f t="shared" si="11"/>
        <v>1.7318895238208258</v>
      </c>
    </row>
    <row r="73" spans="1:24" x14ac:dyDescent="0.25">
      <c r="A73" s="10">
        <v>45275</v>
      </c>
      <c r="B73" s="11">
        <v>12126.34</v>
      </c>
      <c r="C73" s="12">
        <f t="shared" si="29"/>
        <v>-6.4693234571078229E-4</v>
      </c>
      <c r="D73" s="11">
        <f t="shared" si="17"/>
        <v>11905.151</v>
      </c>
      <c r="E73" s="11">
        <f t="shared" si="20"/>
        <v>12018.003399999994</v>
      </c>
      <c r="F73" s="11"/>
      <c r="G73" s="12">
        <f t="shared" si="30"/>
        <v>-6.471416967362484E-4</v>
      </c>
      <c r="H73" s="19">
        <f t="shared" si="13"/>
        <v>6.8647475465860641E-2</v>
      </c>
      <c r="I73" s="11">
        <f t="shared" si="14"/>
        <v>12134.19</v>
      </c>
      <c r="J73" s="11">
        <f t="shared" si="15"/>
        <v>11728.06</v>
      </c>
      <c r="K73" s="12">
        <f>(B73-MAX($B$2:B73))/MAX($B$2:B73)</f>
        <v>-1.366642915938694E-2</v>
      </c>
      <c r="L73" s="12">
        <f t="shared" si="16"/>
        <v>1.2260141725802587E-2</v>
      </c>
      <c r="M73" s="15">
        <f t="shared" si="10"/>
        <v>75.504167119466246</v>
      </c>
      <c r="N73" s="11">
        <f t="shared" si="25"/>
        <v>11972.001124384313</v>
      </c>
      <c r="O73" s="11">
        <f t="shared" si="26"/>
        <v>11945.166947129297</v>
      </c>
      <c r="P73" s="11">
        <f t="shared" si="22"/>
        <v>26.834177255015675</v>
      </c>
      <c r="Q73" s="11">
        <f t="shared" si="27"/>
        <v>-17.59928020866429</v>
      </c>
      <c r="R73" s="11">
        <f t="shared" si="23"/>
        <v>44.433457463679964</v>
      </c>
      <c r="S73" s="9">
        <f t="shared" si="24"/>
        <v>60</v>
      </c>
      <c r="T73" s="14">
        <f t="shared" si="31"/>
        <v>0</v>
      </c>
      <c r="U73" s="14">
        <f t="shared" si="28"/>
        <v>6.4693234571078229E-4</v>
      </c>
      <c r="V73" s="14">
        <f t="shared" si="21"/>
        <v>2.506375104276648E-3</v>
      </c>
      <c r="W73" s="14">
        <f t="shared" si="21"/>
        <v>8.1314380427702628E-4</v>
      </c>
      <c r="X73" s="16">
        <f t="shared" si="11"/>
        <v>3.0823270018088489</v>
      </c>
    </row>
    <row r="74" spans="1:24" x14ac:dyDescent="0.25">
      <c r="A74" s="10">
        <v>45278</v>
      </c>
      <c r="B74" s="11">
        <v>12171.59</v>
      </c>
      <c r="C74" s="12">
        <f t="shared" si="29"/>
        <v>3.7315463693083917E-3</v>
      </c>
      <c r="D74" s="11">
        <f t="shared" si="17"/>
        <v>11914.757</v>
      </c>
      <c r="E74" s="11">
        <f t="shared" si="20"/>
        <v>12015.547999999995</v>
      </c>
      <c r="F74" s="11"/>
      <c r="G74" s="12">
        <f t="shared" si="30"/>
        <v>3.7246014217227359E-3</v>
      </c>
      <c r="H74" s="19">
        <f t="shared" si="13"/>
        <v>6.9141462706295023E-2</v>
      </c>
      <c r="I74" s="11">
        <f t="shared" si="14"/>
        <v>12171.59</v>
      </c>
      <c r="J74" s="11">
        <f t="shared" si="15"/>
        <v>11728.06</v>
      </c>
      <c r="K74" s="12">
        <f>(B74-MAX($B$2:B74))/MAX($B$2:B74)</f>
        <v>-9.9858797041895986E-3</v>
      </c>
      <c r="L74" s="12">
        <f t="shared" si="16"/>
        <v>1.6311463364127698E-2</v>
      </c>
      <c r="M74" s="15">
        <f t="shared" si="10"/>
        <v>87.412459765498028</v>
      </c>
      <c r="N74" s="11">
        <f t="shared" si="25"/>
        <v>12002.707105248264</v>
      </c>
      <c r="O74" s="11">
        <f t="shared" si="26"/>
        <v>11961.93902511972</v>
      </c>
      <c r="P74" s="11">
        <f t="shared" si="22"/>
        <v>40.76808012854417</v>
      </c>
      <c r="Q74" s="11">
        <f t="shared" si="27"/>
        <v>-5.925808141222598</v>
      </c>
      <c r="R74" s="11">
        <f t="shared" si="23"/>
        <v>46.693888269766767</v>
      </c>
      <c r="S74" s="9">
        <f t="shared" si="24"/>
        <v>60</v>
      </c>
      <c r="T74" s="14">
        <f t="shared" si="31"/>
        <v>3.7315463693083917E-3</v>
      </c>
      <c r="U74" s="14">
        <f t="shared" si="28"/>
        <v>0</v>
      </c>
      <c r="V74" s="14">
        <f t="shared" si="21"/>
        <v>2.7729141306558187E-3</v>
      </c>
      <c r="W74" s="14">
        <f t="shared" si="21"/>
        <v>3.9930426715009286E-4</v>
      </c>
      <c r="X74" s="16">
        <f t="shared" si="11"/>
        <v>6.9443638818252831</v>
      </c>
    </row>
    <row r="75" spans="1:24" x14ac:dyDescent="0.25">
      <c r="A75" s="10">
        <v>45279</v>
      </c>
      <c r="B75" s="11">
        <v>12211.46</v>
      </c>
      <c r="C75" s="12">
        <f t="shared" si="29"/>
        <v>3.2756607805553006E-3</v>
      </c>
      <c r="D75" s="11">
        <f t="shared" si="17"/>
        <v>11926.518</v>
      </c>
      <c r="E75" s="11">
        <f t="shared" si="20"/>
        <v>12015.188399999995</v>
      </c>
      <c r="F75" s="11"/>
      <c r="G75" s="12">
        <f t="shared" si="30"/>
        <v>3.2703074909689184E-3</v>
      </c>
      <c r="H75" s="19">
        <f t="shared" si="13"/>
        <v>6.9558716867840889E-2</v>
      </c>
      <c r="I75" s="11">
        <f t="shared" si="14"/>
        <v>12211.46</v>
      </c>
      <c r="J75" s="11">
        <f t="shared" si="15"/>
        <v>11728.06</v>
      </c>
      <c r="K75" s="12">
        <f>(B75-MAX($B$2:B75))/MAX($B$2:B75)</f>
        <v>-6.7429292781406641E-3</v>
      </c>
      <c r="L75" s="12">
        <f t="shared" si="16"/>
        <v>1.7646259784611429E-2</v>
      </c>
      <c r="M75" s="15">
        <f t="shared" si="10"/>
        <v>88.082708324739215</v>
      </c>
      <c r="N75" s="11">
        <f t="shared" si="25"/>
        <v>12034.82293521007</v>
      </c>
      <c r="O75" s="11">
        <f t="shared" si="26"/>
        <v>11980.422060296038</v>
      </c>
      <c r="P75" s="11">
        <f t="shared" si="22"/>
        <v>54.400874914032102</v>
      </c>
      <c r="Q75" s="11">
        <f t="shared" si="27"/>
        <v>6.1395284698283428</v>
      </c>
      <c r="R75" s="11">
        <f t="shared" si="23"/>
        <v>48.26134644420376</v>
      </c>
      <c r="S75" s="9">
        <f t="shared" si="24"/>
        <v>60</v>
      </c>
      <c r="T75" s="14">
        <f t="shared" si="31"/>
        <v>3.2756607805553006E-3</v>
      </c>
      <c r="U75" s="14">
        <f t="shared" si="28"/>
        <v>0</v>
      </c>
      <c r="V75" s="14">
        <f t="shared" si="21"/>
        <v>2.9513250371490741E-3</v>
      </c>
      <c r="W75" s="14">
        <f t="shared" si="21"/>
        <v>3.9930426715009286E-4</v>
      </c>
      <c r="X75" s="16">
        <f t="shared" si="11"/>
        <v>7.3911682893178607</v>
      </c>
    </row>
    <row r="76" spans="1:24" x14ac:dyDescent="0.25">
      <c r="A76" s="10">
        <v>45280</v>
      </c>
      <c r="B76" s="11">
        <v>12246.01</v>
      </c>
      <c r="C76" s="12">
        <f t="shared" si="29"/>
        <v>2.8293095174534155E-3</v>
      </c>
      <c r="D76" s="11">
        <f t="shared" si="17"/>
        <v>11938.833000000001</v>
      </c>
      <c r="E76" s="11">
        <f t="shared" si="20"/>
        <v>12015.601399999994</v>
      </c>
      <c r="F76" s="11"/>
      <c r="G76" s="12">
        <f t="shared" si="30"/>
        <v>2.8253145548305155E-3</v>
      </c>
      <c r="H76" s="19">
        <f t="shared" si="13"/>
        <v>6.9789477853723469E-2</v>
      </c>
      <c r="I76" s="11">
        <f t="shared" si="14"/>
        <v>12246.01</v>
      </c>
      <c r="J76" s="11">
        <f t="shared" si="15"/>
        <v>11728.06</v>
      </c>
      <c r="K76" s="12">
        <f>(B76-MAX($B$2:B76))/MAX($B$2:B76)</f>
        <v>-3.9326975946694549E-3</v>
      </c>
      <c r="L76" s="12">
        <f t="shared" si="16"/>
        <v>2.2531410292272014E-2</v>
      </c>
      <c r="M76" s="15">
        <f t="shared" si="10"/>
        <v>89.18207959954519</v>
      </c>
      <c r="N76" s="11">
        <f t="shared" si="25"/>
        <v>12067.313252870059</v>
      </c>
      <c r="O76" s="11">
        <f t="shared" si="26"/>
        <v>12000.095241014851</v>
      </c>
      <c r="P76" s="11">
        <f t="shared" si="22"/>
        <v>67.218011855207806</v>
      </c>
      <c r="Q76" s="11">
        <f t="shared" si="27"/>
        <v>18.355225146904239</v>
      </c>
      <c r="R76" s="11">
        <f t="shared" si="23"/>
        <v>48.862786708303567</v>
      </c>
      <c r="S76" s="9">
        <f t="shared" si="24"/>
        <v>60</v>
      </c>
      <c r="T76" s="14">
        <f t="shared" si="31"/>
        <v>2.8293095174534155E-3</v>
      </c>
      <c r="U76" s="14">
        <f t="shared" si="28"/>
        <v>0</v>
      </c>
      <c r="V76" s="14">
        <f t="shared" si="21"/>
        <v>3.1534185741100324E-3</v>
      </c>
      <c r="W76" s="14">
        <f t="shared" si="21"/>
        <v>3.8251441631791713E-4</v>
      </c>
      <c r="X76" s="16">
        <f t="shared" si="11"/>
        <v>8.2439208552316323</v>
      </c>
    </row>
    <row r="77" spans="1:24" x14ac:dyDescent="0.25">
      <c r="A77" s="10">
        <v>45281</v>
      </c>
      <c r="B77" s="11">
        <v>12182.82</v>
      </c>
      <c r="C77" s="12">
        <f t="shared" si="29"/>
        <v>-5.1600480483031674E-3</v>
      </c>
      <c r="D77" s="11">
        <f t="shared" si="17"/>
        <v>11949.165499999999</v>
      </c>
      <c r="E77" s="11">
        <f t="shared" si="20"/>
        <v>12013.686599999994</v>
      </c>
      <c r="F77" s="11"/>
      <c r="G77" s="12">
        <f t="shared" si="30"/>
        <v>-5.1734070715169405E-3</v>
      </c>
      <c r="H77" s="19">
        <f t="shared" si="13"/>
        <v>7.2484967413742482E-2</v>
      </c>
      <c r="I77" s="11">
        <f t="shared" si="14"/>
        <v>12246.01</v>
      </c>
      <c r="J77" s="11">
        <f t="shared" si="15"/>
        <v>11728.06</v>
      </c>
      <c r="K77" s="12">
        <f>(B77-MAX($B$2:B77))/MAX($B$2:B77)</f>
        <v>-9.0724527344246356E-3</v>
      </c>
      <c r="L77" s="12">
        <f t="shared" si="16"/>
        <v>1.8828919011814049E-2</v>
      </c>
      <c r="M77" s="15">
        <f t="shared" si="10"/>
        <v>85.177018729806804</v>
      </c>
      <c r="N77" s="11">
        <f t="shared" si="25"/>
        <v>12085.08352165928</v>
      </c>
      <c r="O77" s="11">
        <f t="shared" si="26"/>
        <v>12013.630408347084</v>
      </c>
      <c r="P77" s="11">
        <f t="shared" si="22"/>
        <v>71.453113312196365</v>
      </c>
      <c r="Q77" s="11">
        <f t="shared" si="27"/>
        <v>28.974802779962666</v>
      </c>
      <c r="R77" s="11">
        <f t="shared" si="23"/>
        <v>42.478310532233699</v>
      </c>
      <c r="S77" s="9">
        <f t="shared" si="24"/>
        <v>60</v>
      </c>
      <c r="T77" s="14">
        <f t="shared" si="31"/>
        <v>0</v>
      </c>
      <c r="U77" s="14">
        <f t="shared" si="28"/>
        <v>5.1600480483031674E-3</v>
      </c>
      <c r="V77" s="14">
        <f t="shared" si="21"/>
        <v>3.1534185741100324E-3</v>
      </c>
      <c r="W77" s="14">
        <f t="shared" si="21"/>
        <v>5.4877554014173423E-4</v>
      </c>
      <c r="X77" s="16">
        <f t="shared" si="11"/>
        <v>5.7462812086988926</v>
      </c>
    </row>
    <row r="78" spans="1:24" x14ac:dyDescent="0.25">
      <c r="A78" s="10">
        <v>45282</v>
      </c>
      <c r="B78" s="11">
        <v>12182.1</v>
      </c>
      <c r="C78" s="12">
        <f t="shared" si="29"/>
        <v>-5.9099617329971821E-5</v>
      </c>
      <c r="D78" s="11">
        <f t="shared" si="17"/>
        <v>11960.387000000001</v>
      </c>
      <c r="E78" s="11">
        <f t="shared" si="20"/>
        <v>12011.943999999994</v>
      </c>
      <c r="F78" s="11"/>
      <c r="G78" s="12">
        <f t="shared" si="30"/>
        <v>-5.9101363781166163E-5</v>
      </c>
      <c r="H78" s="19">
        <f t="shared" si="13"/>
        <v>7.2022332630747615E-2</v>
      </c>
      <c r="I78" s="11">
        <f t="shared" si="14"/>
        <v>12246.01</v>
      </c>
      <c r="J78" s="11">
        <f t="shared" si="15"/>
        <v>11728.06</v>
      </c>
      <c r="K78" s="12">
        <f>(B78-MAX($B$2:B78))/MAX($B$2:B78)</f>
        <v>-9.1310161732697116E-3</v>
      </c>
      <c r="L78" s="12">
        <f t="shared" si="16"/>
        <v>2.8564336247096644E-2</v>
      </c>
      <c r="M78" s="15">
        <f t="shared" si="10"/>
        <v>87.985374924070413</v>
      </c>
      <c r="N78" s="11">
        <f t="shared" si="25"/>
        <v>12100.009133711697</v>
      </c>
      <c r="O78" s="11">
        <f t="shared" si="26"/>
        <v>12026.109637358411</v>
      </c>
      <c r="P78" s="11">
        <f t="shared" si="22"/>
        <v>73.89949635328594</v>
      </c>
      <c r="Q78" s="11">
        <f t="shared" si="27"/>
        <v>37.959741494627323</v>
      </c>
      <c r="R78" s="11">
        <f t="shared" si="23"/>
        <v>35.939754858658617</v>
      </c>
      <c r="S78" s="9">
        <f t="shared" si="24"/>
        <v>60</v>
      </c>
      <c r="T78" s="14">
        <f t="shared" si="31"/>
        <v>0</v>
      </c>
      <c r="U78" s="14">
        <f t="shared" si="28"/>
        <v>5.9099617329971821E-5</v>
      </c>
      <c r="V78" s="14">
        <f t="shared" si="21"/>
        <v>3.1534185741100324E-3</v>
      </c>
      <c r="W78" s="14">
        <f t="shared" si="21"/>
        <v>4.3060726749303912E-4</v>
      </c>
      <c r="X78" s="16">
        <f t="shared" si="11"/>
        <v>7.3231893935951931</v>
      </c>
    </row>
    <row r="79" spans="1:24" x14ac:dyDescent="0.25">
      <c r="A79" s="10">
        <v>45285</v>
      </c>
      <c r="B79" s="11">
        <v>12147.19</v>
      </c>
      <c r="C79" s="12">
        <f t="shared" si="29"/>
        <v>-2.8656799730751858E-3</v>
      </c>
      <c r="D79" s="11">
        <f t="shared" si="17"/>
        <v>11975.557000000001</v>
      </c>
      <c r="E79" s="11">
        <f t="shared" si="20"/>
        <v>12010.145599999996</v>
      </c>
      <c r="F79" s="11"/>
      <c r="G79" s="12">
        <f t="shared" si="30"/>
        <v>-2.8697938952652797E-3</v>
      </c>
      <c r="H79" s="19">
        <f t="shared" si="13"/>
        <v>6.2345395360010353E-2</v>
      </c>
      <c r="I79" s="11">
        <f t="shared" si="14"/>
        <v>12246.01</v>
      </c>
      <c r="J79" s="11">
        <f t="shared" si="15"/>
        <v>11728.06</v>
      </c>
      <c r="K79" s="12">
        <f>(B79-MAX($B$2:B79))/MAX($B$2:B79)</f>
        <v>-1.1970529576163385E-2</v>
      </c>
      <c r="L79" s="12">
        <f t="shared" si="16"/>
        <v>3.1593599073304279E-2</v>
      </c>
      <c r="M79" s="15">
        <f t="shared" si="10"/>
        <v>82.338951120141445</v>
      </c>
      <c r="N79" s="11">
        <f t="shared" si="25"/>
        <v>12107.267728525281</v>
      </c>
      <c r="O79" s="11">
        <f t="shared" si="26"/>
        <v>12035.078553109641</v>
      </c>
      <c r="P79" s="11">
        <f t="shared" si="22"/>
        <v>72.18917541564042</v>
      </c>
      <c r="Q79" s="11">
        <f t="shared" si="27"/>
        <v>44.805628278829943</v>
      </c>
      <c r="R79" s="11">
        <f t="shared" si="23"/>
        <v>27.383547136810478</v>
      </c>
      <c r="S79" s="9">
        <f t="shared" si="24"/>
        <v>60</v>
      </c>
      <c r="T79" s="14">
        <f t="shared" si="31"/>
        <v>0</v>
      </c>
      <c r="U79" s="14">
        <f t="shared" si="28"/>
        <v>2.8656799730751858E-3</v>
      </c>
      <c r="V79" s="14">
        <f t="shared" si="21"/>
        <v>2.9618755080421033E-3</v>
      </c>
      <c r="W79" s="14">
        <f t="shared" si="21"/>
        <v>6.3529869414126667E-4</v>
      </c>
      <c r="X79" s="16">
        <f t="shared" si="11"/>
        <v>4.6621778627227792</v>
      </c>
    </row>
    <row r="80" spans="1:24" x14ac:dyDescent="0.25">
      <c r="A80" s="10">
        <v>45286</v>
      </c>
      <c r="B80" s="11">
        <v>12085.31</v>
      </c>
      <c r="C80" s="12">
        <f t="shared" si="29"/>
        <v>-5.0941822759009714E-3</v>
      </c>
      <c r="D80" s="11">
        <f t="shared" si="17"/>
        <v>11991.064</v>
      </c>
      <c r="E80" s="11">
        <f t="shared" si="20"/>
        <v>12007.991999999997</v>
      </c>
      <c r="F80" s="11"/>
      <c r="G80" s="12">
        <f t="shared" si="30"/>
        <v>-5.1072018573332344E-3</v>
      </c>
      <c r="H80" s="19">
        <f t="shared" si="13"/>
        <v>6.1328352833298773E-2</v>
      </c>
      <c r="I80" s="11">
        <f t="shared" si="14"/>
        <v>12246.01</v>
      </c>
      <c r="J80" s="11">
        <f t="shared" si="15"/>
        <v>11728.06</v>
      </c>
      <c r="K80" s="12">
        <f>(B80-MAX($B$2:B80))/MAX($B$2:B80)</f>
        <v>-1.7003731792464276E-2</v>
      </c>
      <c r="L80" s="12">
        <f t="shared" si="16"/>
        <v>2.5540696840634869E-2</v>
      </c>
      <c r="M80" s="15">
        <f t="shared" ref="M80:M143" si="32">IF(X80=0,100,100-(100/(1+X80)))</f>
        <v>74.994768851437456</v>
      </c>
      <c r="N80" s="11">
        <f t="shared" si="25"/>
        <v>12103.88961644447</v>
      </c>
      <c r="O80" s="11">
        <f t="shared" si="26"/>
        <v>12038.799401027445</v>
      </c>
      <c r="P80" s="11">
        <f t="shared" si="22"/>
        <v>65.09021541702532</v>
      </c>
      <c r="Q80" s="11">
        <f t="shared" si="27"/>
        <v>48.862545706469021</v>
      </c>
      <c r="R80" s="11">
        <f t="shared" si="23"/>
        <v>16.227669710556299</v>
      </c>
      <c r="S80" s="9">
        <f t="shared" si="24"/>
        <v>60</v>
      </c>
      <c r="T80" s="14">
        <f t="shared" si="31"/>
        <v>0</v>
      </c>
      <c r="U80" s="14">
        <f t="shared" si="28"/>
        <v>5.0941822759009714E-3</v>
      </c>
      <c r="V80" s="14">
        <f t="shared" ref="V80:W95" si="33">AVERAGE(T67:T80)</f>
        <v>2.9618755080421033E-3</v>
      </c>
      <c r="W80" s="14">
        <f t="shared" si="33"/>
        <v>9.8756730430857699E-4</v>
      </c>
      <c r="X80" s="16">
        <f t="shared" ref="X80:X143" si="34">IF(W80=0,0,V80/W80)</f>
        <v>2.9991631913288113</v>
      </c>
    </row>
    <row r="81" spans="1:24" x14ac:dyDescent="0.25">
      <c r="A81" s="10">
        <v>45287</v>
      </c>
      <c r="B81" s="11">
        <v>12103.96</v>
      </c>
      <c r="C81" s="12">
        <f t="shared" si="29"/>
        <v>1.5431958303095961E-3</v>
      </c>
      <c r="D81" s="11">
        <f t="shared" si="17"/>
        <v>12007.045500000002</v>
      </c>
      <c r="E81" s="11">
        <f t="shared" si="20"/>
        <v>12007.341399999998</v>
      </c>
      <c r="F81" s="11"/>
      <c r="G81" s="12">
        <f t="shared" si="30"/>
        <v>1.5420063272244757E-3</v>
      </c>
      <c r="H81" s="19">
        <f t="shared" si="13"/>
        <v>6.1302032114266276E-2</v>
      </c>
      <c r="I81" s="11">
        <f t="shared" si="14"/>
        <v>12246.01</v>
      </c>
      <c r="J81" s="11">
        <f t="shared" si="15"/>
        <v>11728.06</v>
      </c>
      <c r="K81" s="12">
        <f>(B81-MAX($B$2:B81))/MAX($B$2:B81)</f>
        <v>-1.5486776050156449E-2</v>
      </c>
      <c r="L81" s="12">
        <f t="shared" si="16"/>
        <v>2.7364797191543389E-2</v>
      </c>
      <c r="M81" s="15">
        <f t="shared" si="32"/>
        <v>72.853650557912601</v>
      </c>
      <c r="N81" s="11">
        <f t="shared" si="25"/>
        <v>12103.900444683783</v>
      </c>
      <c r="O81" s="11">
        <f t="shared" si="26"/>
        <v>12043.626112062448</v>
      </c>
      <c r="P81" s="11">
        <f t="shared" si="22"/>
        <v>60.274332621334906</v>
      </c>
      <c r="Q81" s="11">
        <f t="shared" si="27"/>
        <v>51.144903089442202</v>
      </c>
      <c r="R81" s="11">
        <f t="shared" si="23"/>
        <v>9.1294295318927041</v>
      </c>
      <c r="S81" s="9">
        <f t="shared" si="24"/>
        <v>60</v>
      </c>
      <c r="T81" s="14">
        <f t="shared" si="31"/>
        <v>1.5431958303095961E-3</v>
      </c>
      <c r="U81" s="14">
        <f t="shared" si="28"/>
        <v>0</v>
      </c>
      <c r="V81" s="14">
        <f t="shared" si="33"/>
        <v>2.6503704832948776E-3</v>
      </c>
      <c r="W81" s="14">
        <f t="shared" si="33"/>
        <v>9.8756730430857699E-4</v>
      </c>
      <c r="X81" s="16">
        <f t="shared" si="34"/>
        <v>2.6837365633023613</v>
      </c>
    </row>
    <row r="82" spans="1:24" x14ac:dyDescent="0.25">
      <c r="A82" s="10">
        <v>45288</v>
      </c>
      <c r="B82" s="11">
        <v>12046.61</v>
      </c>
      <c r="C82" s="12">
        <f t="shared" si="29"/>
        <v>-4.7381187644373046E-3</v>
      </c>
      <c r="D82" s="11">
        <f t="shared" si="17"/>
        <v>12020.298000000001</v>
      </c>
      <c r="E82" s="11">
        <f t="shared" si="20"/>
        <v>12003.274599999997</v>
      </c>
      <c r="F82" s="11"/>
      <c r="G82" s="12">
        <f t="shared" si="30"/>
        <v>-4.7493792321857114E-3</v>
      </c>
      <c r="H82" s="19">
        <f t="shared" si="13"/>
        <v>6.4831301972536642E-2</v>
      </c>
      <c r="I82" s="11">
        <f t="shared" si="14"/>
        <v>12246.01</v>
      </c>
      <c r="J82" s="11">
        <f t="shared" si="15"/>
        <v>11728.06</v>
      </c>
      <c r="K82" s="12">
        <f>(B82-MAX($B$2:B82))/MAX($B$2:B82)</f>
        <v>-2.015151663038987E-2</v>
      </c>
      <c r="L82" s="12">
        <f t="shared" si="16"/>
        <v>2.5401359698813186E-2</v>
      </c>
      <c r="M82" s="15">
        <f t="shared" si="32"/>
        <v>63.413257318870237</v>
      </c>
      <c r="N82" s="11">
        <f t="shared" si="25"/>
        <v>12095.086530117047</v>
      </c>
      <c r="O82" s="11">
        <f t="shared" si="26"/>
        <v>12043.847140798563</v>
      </c>
      <c r="P82" s="11">
        <f t="shared" si="22"/>
        <v>51.239389318483518</v>
      </c>
      <c r="Q82" s="11">
        <f t="shared" si="27"/>
        <v>51.163800335250471</v>
      </c>
      <c r="R82" s="11">
        <f t="shared" si="23"/>
        <v>7.5588983233046747E-2</v>
      </c>
      <c r="S82" s="9">
        <f t="shared" si="24"/>
        <v>100</v>
      </c>
      <c r="T82" s="14">
        <f t="shared" si="31"/>
        <v>0</v>
      </c>
      <c r="U82" s="14">
        <f t="shared" si="28"/>
        <v>4.7381187644373046E-3</v>
      </c>
      <c r="V82" s="14">
        <f t="shared" si="33"/>
        <v>2.2982711620554036E-3</v>
      </c>
      <c r="W82" s="14">
        <f t="shared" si="33"/>
        <v>1.3260043589112416E-3</v>
      </c>
      <c r="X82" s="16">
        <f t="shared" si="34"/>
        <v>1.7332304728941259</v>
      </c>
    </row>
    <row r="83" spans="1:24" x14ac:dyDescent="0.25">
      <c r="A83" s="10">
        <v>45289</v>
      </c>
      <c r="B83" s="11">
        <v>12092.88</v>
      </c>
      <c r="C83" s="12">
        <f t="shared" si="29"/>
        <v>3.8409145809483736E-3</v>
      </c>
      <c r="D83" s="11">
        <f t="shared" si="17"/>
        <v>12037.532500000001</v>
      </c>
      <c r="E83" s="11">
        <f t="shared" si="20"/>
        <v>11999.878399999998</v>
      </c>
      <c r="F83" s="11"/>
      <c r="G83" s="12">
        <f t="shared" si="30"/>
        <v>3.833557102153229E-3</v>
      </c>
      <c r="H83" s="19">
        <f t="shared" si="13"/>
        <v>6.3757300036598644E-2</v>
      </c>
      <c r="I83" s="11">
        <f t="shared" si="14"/>
        <v>12246.01</v>
      </c>
      <c r="J83" s="11">
        <f t="shared" si="15"/>
        <v>11728.06</v>
      </c>
      <c r="K83" s="12">
        <f>(B83-MAX($B$2:B83))/MAX($B$2:B83)</f>
        <v>-1.6388002303495373E-2</v>
      </c>
      <c r="L83" s="12">
        <f t="shared" si="16"/>
        <v>3.1106593929430826E-2</v>
      </c>
      <c r="M83" s="15">
        <f t="shared" si="32"/>
        <v>62.067216466737577</v>
      </c>
      <c r="N83" s="11">
        <f t="shared" si="25"/>
        <v>12094.747063945193</v>
      </c>
      <c r="O83" s="11">
        <f t="shared" si="26"/>
        <v>12047.479204443116</v>
      </c>
      <c r="P83" s="11">
        <f t="shared" si="22"/>
        <v>47.267859502077044</v>
      </c>
      <c r="Q83" s="11">
        <f t="shared" si="27"/>
        <v>50.384612168615789</v>
      </c>
      <c r="R83" s="11">
        <f t="shared" si="23"/>
        <v>-3.1167526665387442</v>
      </c>
      <c r="S83" s="9">
        <f t="shared" si="24"/>
        <v>60</v>
      </c>
      <c r="T83" s="14">
        <f t="shared" si="31"/>
        <v>3.8409145809483736E-3</v>
      </c>
      <c r="U83" s="14">
        <f t="shared" si="28"/>
        <v>0</v>
      </c>
      <c r="V83" s="14">
        <f t="shared" si="33"/>
        <v>2.1696641246538978E-3</v>
      </c>
      <c r="W83" s="14">
        <f t="shared" si="33"/>
        <v>1.3260043589112416E-3</v>
      </c>
      <c r="X83" s="16">
        <f t="shared" si="34"/>
        <v>1.6362420757314631</v>
      </c>
    </row>
    <row r="84" spans="1:24" x14ac:dyDescent="0.25">
      <c r="A84" s="10">
        <v>45293</v>
      </c>
      <c r="B84" s="11">
        <v>12141.7</v>
      </c>
      <c r="C84" s="12">
        <f t="shared" si="29"/>
        <v>4.0370862854837153E-3</v>
      </c>
      <c r="D84" s="11">
        <f t="shared" si="17"/>
        <v>12058.214500000002</v>
      </c>
      <c r="E84" s="11">
        <f t="shared" si="20"/>
        <v>11997.987999999998</v>
      </c>
      <c r="F84" s="11"/>
      <c r="G84" s="12">
        <f t="shared" si="30"/>
        <v>4.0289591186849858E-3</v>
      </c>
      <c r="H84" s="19">
        <f t="shared" si="13"/>
        <v>6.3238449053887452E-2</v>
      </c>
      <c r="I84" s="11">
        <f t="shared" si="14"/>
        <v>12246.01</v>
      </c>
      <c r="J84" s="11">
        <f t="shared" si="15"/>
        <v>11757.6</v>
      </c>
      <c r="K84" s="12">
        <f>(B84-MAX($B$2:B84))/MAX($B$2:B84)</f>
        <v>-1.2417075797357475E-2</v>
      </c>
      <c r="L84" s="12">
        <f t="shared" si="16"/>
        <v>3.2500503847524342E-2</v>
      </c>
      <c r="M84" s="15">
        <f t="shared" si="32"/>
        <v>62.409914923399107</v>
      </c>
      <c r="N84" s="11">
        <f t="shared" si="25"/>
        <v>12101.97059256901</v>
      </c>
      <c r="O84" s="11">
        <f t="shared" si="26"/>
        <v>12054.458522632514</v>
      </c>
      <c r="P84" s="11">
        <f t="shared" si="22"/>
        <v>47.512069936496118</v>
      </c>
      <c r="Q84" s="11">
        <f t="shared" si="27"/>
        <v>49.810103722191855</v>
      </c>
      <c r="R84" s="11">
        <f t="shared" si="23"/>
        <v>-2.2980337856957362</v>
      </c>
      <c r="S84" s="9">
        <f t="shared" si="24"/>
        <v>60</v>
      </c>
      <c r="T84" s="14">
        <f t="shared" si="31"/>
        <v>4.0370862854837153E-3</v>
      </c>
      <c r="U84" s="14">
        <f t="shared" si="28"/>
        <v>0</v>
      </c>
      <c r="V84" s="14">
        <f t="shared" si="33"/>
        <v>2.2015331718209081E-3</v>
      </c>
      <c r="W84" s="14">
        <f t="shared" si="33"/>
        <v>1.3260043589112416E-3</v>
      </c>
      <c r="X84" s="16">
        <f t="shared" si="34"/>
        <v>1.6602759689482072</v>
      </c>
    </row>
    <row r="85" spans="1:24" x14ac:dyDescent="0.25">
      <c r="A85" s="10">
        <v>45294</v>
      </c>
      <c r="B85" s="11">
        <v>12230.48</v>
      </c>
      <c r="C85" s="12">
        <f t="shared" si="29"/>
        <v>7.3119909073686706E-3</v>
      </c>
      <c r="D85" s="11">
        <f t="shared" si="17"/>
        <v>12081.763000000003</v>
      </c>
      <c r="E85" s="11">
        <f t="shared" si="20"/>
        <v>11997.726999999997</v>
      </c>
      <c r="F85" s="11"/>
      <c r="G85" s="12">
        <f t="shared" si="30"/>
        <v>7.2853879037557152E-3</v>
      </c>
      <c r="H85" s="19">
        <f t="shared" ref="H85:H148" si="35">STDEV(G66:G85)*SQRT(252)</f>
        <v>6.6197129108900563E-2</v>
      </c>
      <c r="I85" s="11">
        <f t="shared" ref="I85:I148" si="36">MAX(B66:B85)</f>
        <v>12246.01</v>
      </c>
      <c r="J85" s="11">
        <f t="shared" ref="J85:J148" si="37">MIN(B66:B85)</f>
        <v>11757.6</v>
      </c>
      <c r="K85" s="12">
        <f>(B85-MAX($B$2:B85))/MAX($B$2:B85)</f>
        <v>-5.1958784353151374E-3</v>
      </c>
      <c r="L85" s="12">
        <f t="shared" ref="L85:L148" si="38">(B85/B66)-1</f>
        <v>4.0219092331768236E-2</v>
      </c>
      <c r="M85" s="15">
        <f t="shared" si="32"/>
        <v>60.261962003026945</v>
      </c>
      <c r="N85" s="11">
        <f t="shared" si="25"/>
        <v>12121.741270635317</v>
      </c>
      <c r="O85" s="11">
        <f t="shared" si="26"/>
        <v>12067.497150585661</v>
      </c>
      <c r="P85" s="11">
        <f t="shared" si="22"/>
        <v>54.244120049655976</v>
      </c>
      <c r="Q85" s="11">
        <f t="shared" si="27"/>
        <v>50.696906987684685</v>
      </c>
      <c r="R85" s="11">
        <f t="shared" si="23"/>
        <v>3.5472130619712914</v>
      </c>
      <c r="S85" s="9">
        <f t="shared" si="24"/>
        <v>100</v>
      </c>
      <c r="T85" s="14">
        <f t="shared" si="31"/>
        <v>7.3119909073686706E-3</v>
      </c>
      <c r="U85" s="14">
        <f t="shared" si="28"/>
        <v>0</v>
      </c>
      <c r="V85" s="14">
        <f t="shared" si="33"/>
        <v>2.0108598290294083E-3</v>
      </c>
      <c r="W85" s="14">
        <f t="shared" si="33"/>
        <v>1.3260043589112416E-3</v>
      </c>
      <c r="X85" s="16">
        <f t="shared" si="34"/>
        <v>1.5164805571834539</v>
      </c>
    </row>
    <row r="86" spans="1:24" x14ac:dyDescent="0.25">
      <c r="A86" s="10">
        <v>45295</v>
      </c>
      <c r="B86" s="11">
        <v>12280.03</v>
      </c>
      <c r="C86" s="12">
        <f t="shared" si="29"/>
        <v>4.0513536672315276E-3</v>
      </c>
      <c r="D86" s="11">
        <f t="shared" ref="D86:D149" si="39">AVERAGE(B67:B86)</f>
        <v>12107.8845</v>
      </c>
      <c r="E86" s="11">
        <f t="shared" si="20"/>
        <v>11999.090200000001</v>
      </c>
      <c r="F86" s="11"/>
      <c r="G86" s="12">
        <f t="shared" si="30"/>
        <v>4.0431690324160647E-3</v>
      </c>
      <c r="H86" s="19">
        <f t="shared" si="35"/>
        <v>6.608899969836439E-2</v>
      </c>
      <c r="I86" s="11">
        <f t="shared" si="36"/>
        <v>12280.03</v>
      </c>
      <c r="J86" s="11">
        <f t="shared" si="37"/>
        <v>11827.02</v>
      </c>
      <c r="K86" s="12">
        <f>(B86-MAX($B$2:B86))/MAX($B$2:B86)</f>
        <v>-1.1655751092370752E-3</v>
      </c>
      <c r="L86" s="12">
        <f t="shared" si="38"/>
        <v>3.8302970655329949E-2</v>
      </c>
      <c r="M86" s="15">
        <f t="shared" si="32"/>
        <v>62.256752822809609</v>
      </c>
      <c r="N86" s="11">
        <f t="shared" si="25"/>
        <v>12146.093382845269</v>
      </c>
      <c r="O86" s="11">
        <f t="shared" si="26"/>
        <v>12083.240324616352</v>
      </c>
      <c r="P86" s="11">
        <f t="shared" si="22"/>
        <v>62.85305822891678</v>
      </c>
      <c r="Q86" s="11">
        <f t="shared" si="27"/>
        <v>53.128137235931106</v>
      </c>
      <c r="R86" s="11">
        <f t="shared" si="23"/>
        <v>9.7249209929856733</v>
      </c>
      <c r="S86" s="9">
        <f t="shared" si="24"/>
        <v>100</v>
      </c>
      <c r="T86" s="14">
        <f t="shared" si="31"/>
        <v>4.0513536672315276E-3</v>
      </c>
      <c r="U86" s="14">
        <f t="shared" si="28"/>
        <v>0</v>
      </c>
      <c r="V86" s="14">
        <f t="shared" si="33"/>
        <v>2.1872184241899279E-3</v>
      </c>
      <c r="W86" s="14">
        <f t="shared" si="33"/>
        <v>1.3260043589112416E-3</v>
      </c>
      <c r="X86" s="16">
        <f t="shared" si="34"/>
        <v>1.6494805688163903</v>
      </c>
    </row>
    <row r="87" spans="1:24" x14ac:dyDescent="0.25">
      <c r="A87" s="10">
        <v>45296</v>
      </c>
      <c r="B87" s="11">
        <v>12368.94</v>
      </c>
      <c r="C87" s="12">
        <f t="shared" si="29"/>
        <v>7.2402103252191541E-3</v>
      </c>
      <c r="D87" s="11">
        <f t="shared" si="39"/>
        <v>12134.9805</v>
      </c>
      <c r="E87" s="11">
        <f t="shared" si="20"/>
        <v>12003.636399999999</v>
      </c>
      <c r="F87" s="11"/>
      <c r="G87" s="12">
        <f t="shared" si="30"/>
        <v>7.2141258315830759E-3</v>
      </c>
      <c r="H87" s="19">
        <f t="shared" si="35"/>
        <v>6.7235989207416483E-2</v>
      </c>
      <c r="I87" s="11">
        <f t="shared" si="36"/>
        <v>12368.94</v>
      </c>
      <c r="J87" s="11">
        <f t="shared" si="37"/>
        <v>11885.32</v>
      </c>
      <c r="K87" s="12">
        <f>(B87-MAX($B$2:B87))/MAX($B$2:B87)</f>
        <v>0</v>
      </c>
      <c r="L87" s="12">
        <f t="shared" si="38"/>
        <v>4.0690532522473122E-2</v>
      </c>
      <c r="M87" s="15">
        <f t="shared" si="32"/>
        <v>67.878014319091477</v>
      </c>
      <c r="N87" s="11">
        <f t="shared" si="25"/>
        <v>12180.37747779215</v>
      </c>
      <c r="O87" s="11">
        <f t="shared" si="26"/>
        <v>12104.403263533659</v>
      </c>
      <c r="P87" s="11">
        <f t="shared" si="22"/>
        <v>75.974214258490974</v>
      </c>
      <c r="Q87" s="11">
        <f t="shared" si="27"/>
        <v>57.697352640443086</v>
      </c>
      <c r="R87" s="11">
        <f t="shared" si="23"/>
        <v>18.276861618047889</v>
      </c>
      <c r="S87" s="9">
        <f t="shared" si="24"/>
        <v>100</v>
      </c>
      <c r="T87" s="14">
        <f t="shared" si="31"/>
        <v>7.2402103252191541E-3</v>
      </c>
      <c r="U87" s="14">
        <f t="shared" si="28"/>
        <v>0</v>
      </c>
      <c r="V87" s="14">
        <f t="shared" si="33"/>
        <v>2.7043763045627245E-3</v>
      </c>
      <c r="W87" s="14">
        <f t="shared" si="33"/>
        <v>1.2797949056461858E-3</v>
      </c>
      <c r="X87" s="16">
        <f t="shared" si="34"/>
        <v>2.1131325750958889</v>
      </c>
    </row>
    <row r="88" spans="1:24" x14ac:dyDescent="0.25">
      <c r="A88" s="10">
        <v>45299</v>
      </c>
      <c r="B88" s="11">
        <v>12382.02</v>
      </c>
      <c r="C88" s="12">
        <f t="shared" si="29"/>
        <v>1.0574875454161248E-3</v>
      </c>
      <c r="D88" s="11">
        <f t="shared" si="39"/>
        <v>12159.815500000001</v>
      </c>
      <c r="E88" s="11">
        <f t="shared" si="20"/>
        <v>12010.572000000002</v>
      </c>
      <c r="F88" s="11"/>
      <c r="G88" s="12">
        <f t="shared" si="30"/>
        <v>1.0569287993384218E-3</v>
      </c>
      <c r="H88" s="19">
        <f t="shared" si="35"/>
        <v>6.6590542742000894E-2</v>
      </c>
      <c r="I88" s="11">
        <f t="shared" si="36"/>
        <v>12382.02</v>
      </c>
      <c r="J88" s="11">
        <f t="shared" si="37"/>
        <v>11952.37</v>
      </c>
      <c r="K88" s="12">
        <f>(B88-MAX($B$2:B88))/MAX($B$2:B88)</f>
        <v>0</v>
      </c>
      <c r="L88" s="12">
        <f t="shared" si="38"/>
        <v>3.594684568834472E-2</v>
      </c>
      <c r="M88" s="15">
        <f t="shared" si="32"/>
        <v>66.260517852824648</v>
      </c>
      <c r="N88" s="11">
        <f t="shared" si="25"/>
        <v>12211.399404285665</v>
      </c>
      <c r="O88" s="11">
        <f t="shared" si="26"/>
        <v>12124.96746623487</v>
      </c>
      <c r="P88" s="11">
        <f t="shared" si="22"/>
        <v>86.431938050794997</v>
      </c>
      <c r="Q88" s="11">
        <f t="shared" si="27"/>
        <v>63.444269722513468</v>
      </c>
      <c r="R88" s="11">
        <f t="shared" si="23"/>
        <v>22.987668328281529</v>
      </c>
      <c r="S88" s="9">
        <f t="shared" si="24"/>
        <v>100</v>
      </c>
      <c r="T88" s="14">
        <f t="shared" si="31"/>
        <v>1.0574875454161248E-3</v>
      </c>
      <c r="U88" s="14">
        <f t="shared" si="28"/>
        <v>0</v>
      </c>
      <c r="V88" s="14">
        <f t="shared" si="33"/>
        <v>2.513372102856134E-3</v>
      </c>
      <c r="W88" s="14">
        <f t="shared" si="33"/>
        <v>1.2797949056461858E-3</v>
      </c>
      <c r="X88" s="16">
        <f t="shared" si="34"/>
        <v>1.9638866288400316</v>
      </c>
    </row>
    <row r="89" spans="1:24" x14ac:dyDescent="0.25">
      <c r="A89" s="10">
        <v>45300</v>
      </c>
      <c r="B89" s="11">
        <v>12437.39</v>
      </c>
      <c r="C89" s="12">
        <f t="shared" si="29"/>
        <v>4.4718067003606254E-3</v>
      </c>
      <c r="D89" s="11">
        <f t="shared" si="39"/>
        <v>12184.066499999997</v>
      </c>
      <c r="E89" s="11">
        <f t="shared" si="20"/>
        <v>12019.564399999999</v>
      </c>
      <c r="F89" s="11"/>
      <c r="G89" s="12">
        <f t="shared" si="30"/>
        <v>4.4618378808187805E-3</v>
      </c>
      <c r="H89" s="19">
        <f t="shared" si="35"/>
        <v>6.5885495990895257E-2</v>
      </c>
      <c r="I89" s="11">
        <f t="shared" si="36"/>
        <v>12437.39</v>
      </c>
      <c r="J89" s="11">
        <f t="shared" si="37"/>
        <v>11995.29</v>
      </c>
      <c r="K89" s="12">
        <f>(B89-MAX($B$2:B89))/MAX($B$2:B89)</f>
        <v>0</v>
      </c>
      <c r="L89" s="12">
        <f t="shared" si="38"/>
        <v>3.6856132698750876E-2</v>
      </c>
      <c r="M89" s="15">
        <f t="shared" si="32"/>
        <v>67.003740397172919</v>
      </c>
      <c r="N89" s="11">
        <f t="shared" si="25"/>
        <v>12246.167188241716</v>
      </c>
      <c r="O89" s="11">
        <f t="shared" si="26"/>
        <v>12148.109876143397</v>
      </c>
      <c r="P89" s="11">
        <f t="shared" si="22"/>
        <v>98.057312098319017</v>
      </c>
      <c r="Q89" s="11">
        <f t="shared" si="27"/>
        <v>70.366878197674581</v>
      </c>
      <c r="R89" s="11">
        <f t="shared" si="23"/>
        <v>27.690433900644436</v>
      </c>
      <c r="S89" s="9">
        <f t="shared" si="24"/>
        <v>100</v>
      </c>
      <c r="T89" s="14">
        <f t="shared" si="31"/>
        <v>4.4718067003606254E-3</v>
      </c>
      <c r="U89" s="14">
        <f t="shared" si="28"/>
        <v>0</v>
      </c>
      <c r="V89" s="14">
        <f t="shared" si="33"/>
        <v>2.5988110971279432E-3</v>
      </c>
      <c r="W89" s="14">
        <f t="shared" si="33"/>
        <v>1.2797949056461858E-3</v>
      </c>
      <c r="X89" s="16">
        <f t="shared" si="34"/>
        <v>2.0306465400530471</v>
      </c>
    </row>
    <row r="90" spans="1:24" x14ac:dyDescent="0.25">
      <c r="A90" s="10">
        <v>45301</v>
      </c>
      <c r="B90" s="11">
        <v>12480.21</v>
      </c>
      <c r="C90" s="12">
        <f t="shared" si="29"/>
        <v>3.4428445196299506E-3</v>
      </c>
      <c r="D90" s="11">
        <f t="shared" si="39"/>
        <v>12208.312499999998</v>
      </c>
      <c r="E90" s="11">
        <f t="shared" si="20"/>
        <v>12030.670600000001</v>
      </c>
      <c r="F90" s="11"/>
      <c r="G90" s="12">
        <f t="shared" si="30"/>
        <v>3.4369314982921999E-3</v>
      </c>
      <c r="H90" s="19">
        <f t="shared" si="35"/>
        <v>6.5840166551702647E-2</v>
      </c>
      <c r="I90" s="11">
        <f t="shared" si="36"/>
        <v>12480.21</v>
      </c>
      <c r="J90" s="11">
        <f t="shared" si="37"/>
        <v>12046.61</v>
      </c>
      <c r="K90" s="12">
        <f>(B90-MAX($B$2:B90))/MAX($B$2:B90)</f>
        <v>0</v>
      </c>
      <c r="L90" s="12">
        <f t="shared" si="38"/>
        <v>3.0143573844698457E-2</v>
      </c>
      <c r="M90" s="15">
        <f t="shared" si="32"/>
        <v>67.37239598932905</v>
      </c>
      <c r="N90" s="11">
        <f t="shared" si="25"/>
        <v>12282.173774666066</v>
      </c>
      <c r="O90" s="11">
        <f t="shared" si="26"/>
        <v>12172.70988531796</v>
      </c>
      <c r="P90" s="11">
        <f t="shared" si="22"/>
        <v>109.46388934810602</v>
      </c>
      <c r="Q90" s="11">
        <f t="shared" si="27"/>
        <v>78.186280427760863</v>
      </c>
      <c r="R90" s="11">
        <f t="shared" si="23"/>
        <v>31.277608920345159</v>
      </c>
      <c r="S90" s="9">
        <f t="shared" si="24"/>
        <v>100</v>
      </c>
      <c r="T90" s="14">
        <f t="shared" si="31"/>
        <v>3.4428445196299506E-3</v>
      </c>
      <c r="U90" s="14">
        <f t="shared" si="28"/>
        <v>0</v>
      </c>
      <c r="V90" s="14">
        <f t="shared" si="33"/>
        <v>2.6426350258548386E-3</v>
      </c>
      <c r="W90" s="14">
        <f t="shared" si="33"/>
        <v>1.2797949056461858E-3</v>
      </c>
      <c r="X90" s="16">
        <f t="shared" si="34"/>
        <v>2.0648894711145429</v>
      </c>
    </row>
    <row r="91" spans="1:24" x14ac:dyDescent="0.25">
      <c r="A91" s="10">
        <v>45303</v>
      </c>
      <c r="B91" s="11">
        <v>12501.67</v>
      </c>
      <c r="C91" s="12">
        <f t="shared" si="29"/>
        <v>1.7195223477810551E-3</v>
      </c>
      <c r="D91" s="11">
        <f t="shared" si="39"/>
        <v>12227.645</v>
      </c>
      <c r="E91" s="11">
        <f t="shared" si="20"/>
        <v>12040.271200000003</v>
      </c>
      <c r="F91" s="11"/>
      <c r="G91" s="12">
        <f t="shared" si="30"/>
        <v>1.7180456617828343E-3</v>
      </c>
      <c r="H91" s="19">
        <f t="shared" si="35"/>
        <v>5.8760118822346337E-2</v>
      </c>
      <c r="I91" s="11">
        <f t="shared" si="36"/>
        <v>12501.67</v>
      </c>
      <c r="J91" s="11">
        <f t="shared" si="37"/>
        <v>12046.61</v>
      </c>
      <c r="K91" s="12">
        <f>(B91-MAX($B$2:B91))/MAX($B$2:B91)</f>
        <v>0</v>
      </c>
      <c r="L91" s="12">
        <f t="shared" si="38"/>
        <v>3.0284674955641799E-2</v>
      </c>
      <c r="M91" s="15">
        <f t="shared" si="32"/>
        <v>75.216213622113102</v>
      </c>
      <c r="N91" s="11">
        <f t="shared" si="25"/>
        <v>12315.942424717439</v>
      </c>
      <c r="O91" s="11">
        <f t="shared" si="26"/>
        <v>12197.077301220334</v>
      </c>
      <c r="P91" s="11">
        <f t="shared" si="22"/>
        <v>118.86512349710574</v>
      </c>
      <c r="Q91" s="11">
        <f t="shared" si="27"/>
        <v>86.322049041629839</v>
      </c>
      <c r="R91" s="11">
        <f t="shared" si="23"/>
        <v>32.543074455475903</v>
      </c>
      <c r="S91" s="9">
        <f t="shared" si="24"/>
        <v>100</v>
      </c>
      <c r="T91" s="14">
        <f t="shared" si="31"/>
        <v>1.7195223477810551E-3</v>
      </c>
      <c r="U91" s="14">
        <f t="shared" si="28"/>
        <v>0</v>
      </c>
      <c r="V91" s="14">
        <f t="shared" si="33"/>
        <v>2.7654580506963422E-3</v>
      </c>
      <c r="W91" s="14">
        <f t="shared" si="33"/>
        <v>9.1122004505310244E-4</v>
      </c>
      <c r="X91" s="16">
        <f t="shared" si="34"/>
        <v>3.0348959789785814</v>
      </c>
    </row>
    <row r="92" spans="1:24" x14ac:dyDescent="0.25">
      <c r="A92" s="10">
        <v>45306</v>
      </c>
      <c r="B92" s="11">
        <v>12452.98</v>
      </c>
      <c r="C92" s="12">
        <f t="shared" si="29"/>
        <v>-3.8946796707960418E-3</v>
      </c>
      <c r="D92" s="11">
        <f t="shared" si="39"/>
        <v>12243.584500000001</v>
      </c>
      <c r="E92" s="11">
        <f t="shared" si="20"/>
        <v>12048.736000000001</v>
      </c>
      <c r="F92" s="11"/>
      <c r="G92" s="12">
        <f t="shared" si="30"/>
        <v>-3.9022836855541116E-3</v>
      </c>
      <c r="H92" s="19">
        <f t="shared" si="35"/>
        <v>6.1887847357919516E-2</v>
      </c>
      <c r="I92" s="11">
        <f t="shared" si="36"/>
        <v>12501.67</v>
      </c>
      <c r="J92" s="11">
        <f t="shared" si="37"/>
        <v>12046.61</v>
      </c>
      <c r="K92" s="12">
        <f>(B92-MAX($B$2:B92))/MAX($B$2:B92)</f>
        <v>-3.8946796707960223E-3</v>
      </c>
      <c r="L92" s="12">
        <f t="shared" si="38"/>
        <v>2.6936404554053439E-2</v>
      </c>
      <c r="M92" s="15">
        <f t="shared" si="32"/>
        <v>70.000110893157711</v>
      </c>
      <c r="N92" s="11">
        <f t="shared" si="25"/>
        <v>12337.025128607063</v>
      </c>
      <c r="O92" s="11">
        <f t="shared" si="26"/>
        <v>12216.033056685494</v>
      </c>
      <c r="P92" s="11">
        <f t="shared" si="22"/>
        <v>120.99207192156973</v>
      </c>
      <c r="Q92" s="11">
        <f t="shared" si="27"/>
        <v>93.256053617617823</v>
      </c>
      <c r="R92" s="11">
        <f t="shared" si="23"/>
        <v>27.736018303951909</v>
      </c>
      <c r="S92" s="9">
        <f t="shared" si="24"/>
        <v>100</v>
      </c>
      <c r="T92" s="14">
        <f t="shared" si="31"/>
        <v>0</v>
      </c>
      <c r="U92" s="14">
        <f t="shared" si="28"/>
        <v>3.8946796707960418E-3</v>
      </c>
      <c r="V92" s="14">
        <f t="shared" si="33"/>
        <v>2.7654580506963422E-3</v>
      </c>
      <c r="W92" s="14">
        <f t="shared" si="33"/>
        <v>1.1851900488721073E-3</v>
      </c>
      <c r="X92" s="16">
        <f t="shared" si="34"/>
        <v>2.3333456548408464</v>
      </c>
    </row>
    <row r="93" spans="1:24" x14ac:dyDescent="0.25">
      <c r="A93" s="10">
        <v>45307</v>
      </c>
      <c r="B93" s="11">
        <v>12548.37</v>
      </c>
      <c r="C93" s="12">
        <f t="shared" si="29"/>
        <v>7.6600139083176089E-3</v>
      </c>
      <c r="D93" s="11">
        <f t="shared" si="39"/>
        <v>12264.686</v>
      </c>
      <c r="E93" s="11">
        <f t="shared" si="20"/>
        <v>12059.558800000004</v>
      </c>
      <c r="F93" s="11"/>
      <c r="G93" s="12">
        <f t="shared" si="30"/>
        <v>7.6308249654894614E-3</v>
      </c>
      <c r="H93" s="19">
        <f t="shared" si="35"/>
        <v>6.5319930311011923E-2</v>
      </c>
      <c r="I93" s="11">
        <f t="shared" si="36"/>
        <v>12548.37</v>
      </c>
      <c r="J93" s="11">
        <f t="shared" si="37"/>
        <v>12046.61</v>
      </c>
      <c r="K93" s="12">
        <f>(B93-MAX($B$2:B93))/MAX($B$2:B93)</f>
        <v>0</v>
      </c>
      <c r="L93" s="12">
        <f t="shared" si="38"/>
        <v>3.0955692723793726E-2</v>
      </c>
      <c r="M93" s="15">
        <f t="shared" si="32"/>
        <v>77.161060710005387</v>
      </c>
      <c r="N93" s="11">
        <f t="shared" si="25"/>
        <v>12369.539724205977</v>
      </c>
      <c r="O93" s="11">
        <f t="shared" si="26"/>
        <v>12240.650608042124</v>
      </c>
      <c r="P93" s="11">
        <f t="shared" si="22"/>
        <v>128.88911616385303</v>
      </c>
      <c r="Q93" s="11">
        <f t="shared" si="27"/>
        <v>100.38266612686488</v>
      </c>
      <c r="R93" s="11">
        <f t="shared" si="23"/>
        <v>28.506450036988156</v>
      </c>
      <c r="S93" s="9">
        <f t="shared" si="24"/>
        <v>100</v>
      </c>
      <c r="T93" s="14">
        <f t="shared" si="31"/>
        <v>7.6600139083176089E-3</v>
      </c>
      <c r="U93" s="14">
        <f t="shared" si="28"/>
        <v>0</v>
      </c>
      <c r="V93" s="14">
        <f t="shared" si="33"/>
        <v>3.3126019012904573E-3</v>
      </c>
      <c r="W93" s="14">
        <f t="shared" si="33"/>
        <v>9.8049862222387985E-4</v>
      </c>
      <c r="X93" s="16">
        <f t="shared" si="34"/>
        <v>3.3784870536351268</v>
      </c>
    </row>
    <row r="94" spans="1:24" x14ac:dyDescent="0.25">
      <c r="A94" s="10">
        <v>45308</v>
      </c>
      <c r="B94" s="11">
        <v>12594.94</v>
      </c>
      <c r="C94" s="12">
        <f t="shared" si="29"/>
        <v>3.7112389896059028E-3</v>
      </c>
      <c r="D94" s="11">
        <f t="shared" si="39"/>
        <v>12285.853500000001</v>
      </c>
      <c r="E94" s="11">
        <f t="shared" si="20"/>
        <v>12071.911</v>
      </c>
      <c r="F94" s="11"/>
      <c r="G94" s="12">
        <f t="shared" si="30"/>
        <v>3.7043693335643171E-3</v>
      </c>
      <c r="H94" s="19">
        <f t="shared" si="35"/>
        <v>6.5311695294662395E-2</v>
      </c>
      <c r="I94" s="11">
        <f t="shared" si="36"/>
        <v>12594.94</v>
      </c>
      <c r="J94" s="11">
        <f t="shared" si="37"/>
        <v>12046.61</v>
      </c>
      <c r="K94" s="12">
        <f>(B94-MAX($B$2:B94))/MAX($B$2:B94)</f>
        <v>0</v>
      </c>
      <c r="L94" s="12">
        <f t="shared" si="38"/>
        <v>3.1403288386482986E-2</v>
      </c>
      <c r="M94" s="15">
        <f t="shared" si="32"/>
        <v>85.298483968168981</v>
      </c>
      <c r="N94" s="11">
        <f t="shared" si="25"/>
        <v>12404.21668971275</v>
      </c>
      <c r="O94" s="11">
        <f t="shared" si="26"/>
        <v>12266.894266705671</v>
      </c>
      <c r="P94" s="11">
        <f t="shared" si="22"/>
        <v>137.32242300707912</v>
      </c>
      <c r="Q94" s="11">
        <f t="shared" si="27"/>
        <v>107.77061750290773</v>
      </c>
      <c r="R94" s="11">
        <f t="shared" si="23"/>
        <v>29.551805504171398</v>
      </c>
      <c r="S94" s="9">
        <f t="shared" si="24"/>
        <v>100</v>
      </c>
      <c r="T94" s="14">
        <f t="shared" si="31"/>
        <v>3.7112389896059028E-3</v>
      </c>
      <c r="U94" s="14">
        <f t="shared" si="28"/>
        <v>0</v>
      </c>
      <c r="V94" s="14">
        <f t="shared" si="33"/>
        <v>3.577690400548022E-3</v>
      </c>
      <c r="W94" s="14">
        <f t="shared" si="33"/>
        <v>6.1662845965952478E-4</v>
      </c>
      <c r="X94" s="16">
        <f t="shared" si="34"/>
        <v>5.802019586516435</v>
      </c>
    </row>
    <row r="95" spans="1:24" x14ac:dyDescent="0.25">
      <c r="A95" s="10">
        <v>45309</v>
      </c>
      <c r="B95" s="11">
        <v>12646.67</v>
      </c>
      <c r="C95" s="12">
        <f t="shared" si="29"/>
        <v>4.1072049569113034E-3</v>
      </c>
      <c r="D95" s="11">
        <f t="shared" si="39"/>
        <v>12307.614000000001</v>
      </c>
      <c r="E95" s="11">
        <f t="shared" si="20"/>
        <v>12085.0684</v>
      </c>
      <c r="F95" s="11"/>
      <c r="G95" s="12">
        <f t="shared" si="30"/>
        <v>4.0987934147182683E-3</v>
      </c>
      <c r="H95" s="19">
        <f t="shared" si="35"/>
        <v>6.5639673603520535E-2</v>
      </c>
      <c r="I95" s="11">
        <f t="shared" si="36"/>
        <v>12646.67</v>
      </c>
      <c r="J95" s="11">
        <f t="shared" si="37"/>
        <v>12046.61</v>
      </c>
      <c r="K95" s="12">
        <f>(B95-MAX($B$2:B95))/MAX($B$2:B95)</f>
        <v>0</v>
      </c>
      <c r="L95" s="12">
        <f t="shared" si="38"/>
        <v>3.2717595363714436E-2</v>
      </c>
      <c r="M95" s="15">
        <f t="shared" si="32"/>
        <v>85.913563438236963</v>
      </c>
      <c r="N95" s="11">
        <f t="shared" si="25"/>
        <v>12441.517198987713</v>
      </c>
      <c r="O95" s="11">
        <f t="shared" si="26"/>
        <v>12295.025802505252</v>
      </c>
      <c r="P95" s="11">
        <f t="shared" si="22"/>
        <v>146.49139648246091</v>
      </c>
      <c r="Q95" s="11">
        <f t="shared" si="27"/>
        <v>115.51477329881837</v>
      </c>
      <c r="R95" s="11">
        <f t="shared" si="23"/>
        <v>30.976623183642545</v>
      </c>
      <c r="S95" s="9">
        <f t="shared" si="24"/>
        <v>100</v>
      </c>
      <c r="T95" s="14">
        <f t="shared" si="31"/>
        <v>4.1072049569113034E-3</v>
      </c>
      <c r="U95" s="14">
        <f t="shared" si="28"/>
        <v>0</v>
      </c>
      <c r="V95" s="14">
        <f t="shared" si="33"/>
        <v>3.7608339095910009E-3</v>
      </c>
      <c r="W95" s="14">
        <f t="shared" si="33"/>
        <v>6.1662845965952478E-4</v>
      </c>
      <c r="X95" s="16">
        <f t="shared" si="34"/>
        <v>6.0990274624488929</v>
      </c>
    </row>
    <row r="96" spans="1:24" x14ac:dyDescent="0.25">
      <c r="A96" s="10">
        <v>45310</v>
      </c>
      <c r="B96" s="11">
        <v>12685.03</v>
      </c>
      <c r="C96" s="12">
        <f t="shared" si="29"/>
        <v>3.0332095326279784E-3</v>
      </c>
      <c r="D96" s="11">
        <f t="shared" si="39"/>
        <v>12329.565000000001</v>
      </c>
      <c r="E96" s="11">
        <f t="shared" si="20"/>
        <v>12099.546200000004</v>
      </c>
      <c r="F96" s="11"/>
      <c r="G96" s="12">
        <f t="shared" si="30"/>
        <v>3.0286186336897516E-3</v>
      </c>
      <c r="H96" s="19">
        <f t="shared" si="35"/>
        <v>6.5687757364411237E-2</v>
      </c>
      <c r="I96" s="11">
        <f t="shared" si="36"/>
        <v>12685.03</v>
      </c>
      <c r="J96" s="11">
        <f t="shared" si="37"/>
        <v>12046.61</v>
      </c>
      <c r="K96" s="12">
        <f>(B96-MAX($B$2:B96))/MAX($B$2:B96)</f>
        <v>0</v>
      </c>
      <c r="L96" s="12">
        <f t="shared" si="38"/>
        <v>4.1222803915678119E-2</v>
      </c>
      <c r="M96" s="15">
        <f t="shared" si="32"/>
        <v>93.463061134739618</v>
      </c>
      <c r="N96" s="11">
        <f t="shared" si="25"/>
        <v>12478.980706835757</v>
      </c>
      <c r="O96" s="11">
        <f t="shared" si="26"/>
        <v>12323.915002319676</v>
      </c>
      <c r="P96" s="11">
        <f t="shared" si="22"/>
        <v>155.06570451608059</v>
      </c>
      <c r="Q96" s="11">
        <f t="shared" si="27"/>
        <v>123.42495954227081</v>
      </c>
      <c r="R96" s="11">
        <f t="shared" si="23"/>
        <v>31.640744973809774</v>
      </c>
      <c r="S96" s="9">
        <f t="shared" si="24"/>
        <v>100</v>
      </c>
      <c r="T96" s="14">
        <f t="shared" si="31"/>
        <v>3.0332095326279784E-3</v>
      </c>
      <c r="U96" s="14">
        <f t="shared" si="28"/>
        <v>0</v>
      </c>
      <c r="V96" s="14">
        <f t="shared" ref="V96:W111" si="40">AVERAGE(T83:T96)</f>
        <v>3.9774917333501424E-3</v>
      </c>
      <c r="W96" s="14">
        <f t="shared" si="40"/>
        <v>2.7819140505686013E-4</v>
      </c>
      <c r="X96" s="16">
        <f t="shared" si="34"/>
        <v>14.297680162107001</v>
      </c>
    </row>
    <row r="97" spans="1:24" x14ac:dyDescent="0.25">
      <c r="A97" s="10">
        <v>45313</v>
      </c>
      <c r="B97" s="11">
        <v>12720.69</v>
      </c>
      <c r="C97" s="12">
        <f t="shared" si="29"/>
        <v>2.8111876755514409E-3</v>
      </c>
      <c r="D97" s="11">
        <f t="shared" si="39"/>
        <v>12356.458500000001</v>
      </c>
      <c r="E97" s="11">
        <f t="shared" si="20"/>
        <v>12115.021600000002</v>
      </c>
      <c r="F97" s="11"/>
      <c r="G97" s="12">
        <f t="shared" si="30"/>
        <v>2.8072436772950547E-3</v>
      </c>
      <c r="H97" s="19">
        <f t="shared" si="35"/>
        <v>6.0409975207783788E-2</v>
      </c>
      <c r="I97" s="11">
        <f t="shared" si="36"/>
        <v>12720.69</v>
      </c>
      <c r="J97" s="11">
        <f t="shared" si="37"/>
        <v>12046.61</v>
      </c>
      <c r="K97" s="12">
        <f>(B97-MAX($B$2:B97))/MAX($B$2:B97)</f>
        <v>0</v>
      </c>
      <c r="L97" s="12">
        <f t="shared" si="38"/>
        <v>4.4211589134878215E-2</v>
      </c>
      <c r="M97" s="15">
        <f t="shared" si="32"/>
        <v>93.348094771557768</v>
      </c>
      <c r="N97" s="11">
        <f t="shared" si="25"/>
        <v>12516.166751937948</v>
      </c>
      <c r="O97" s="11">
        <f t="shared" si="26"/>
        <v>12353.305742888588</v>
      </c>
      <c r="P97" s="11">
        <f t="shared" si="22"/>
        <v>162.86100904936029</v>
      </c>
      <c r="Q97" s="11">
        <f t="shared" si="27"/>
        <v>131.31216944368873</v>
      </c>
      <c r="R97" s="11">
        <f t="shared" si="23"/>
        <v>31.54883960567156</v>
      </c>
      <c r="S97" s="9">
        <f t="shared" si="24"/>
        <v>100</v>
      </c>
      <c r="T97" s="14">
        <f t="shared" si="31"/>
        <v>2.8111876755514409E-3</v>
      </c>
      <c r="U97" s="14">
        <f t="shared" si="28"/>
        <v>0</v>
      </c>
      <c r="V97" s="14">
        <f t="shared" si="40"/>
        <v>3.9039398115360757E-3</v>
      </c>
      <c r="W97" s="14">
        <f t="shared" si="40"/>
        <v>2.7819140505686013E-4</v>
      </c>
      <c r="X97" s="16">
        <f t="shared" si="34"/>
        <v>14.033286940472303</v>
      </c>
    </row>
    <row r="98" spans="1:24" x14ac:dyDescent="0.25">
      <c r="A98" s="10">
        <v>45314</v>
      </c>
      <c r="B98" s="11">
        <v>12747.3</v>
      </c>
      <c r="C98" s="12">
        <f t="shared" si="29"/>
        <v>2.0918676581223039E-3</v>
      </c>
      <c r="D98" s="11">
        <f t="shared" si="39"/>
        <v>12384.718500000001</v>
      </c>
      <c r="E98" s="11">
        <f t="shared" si="20"/>
        <v>12130.995600000002</v>
      </c>
      <c r="F98" s="11"/>
      <c r="G98" s="12">
        <f t="shared" si="30"/>
        <v>2.089682749468681E-3</v>
      </c>
      <c r="H98" s="19">
        <f t="shared" si="35"/>
        <v>5.9841848259135334E-2</v>
      </c>
      <c r="I98" s="11">
        <f t="shared" si="36"/>
        <v>12747.3</v>
      </c>
      <c r="J98" s="11">
        <f t="shared" si="37"/>
        <v>12046.61</v>
      </c>
      <c r="K98" s="12">
        <f>(B98-MAX($B$2:B98))/MAX($B$2:B98)</f>
        <v>0</v>
      </c>
      <c r="L98" s="12">
        <f t="shared" si="38"/>
        <v>4.9403195306898073E-2</v>
      </c>
      <c r="M98" s="15">
        <f t="shared" si="32"/>
        <v>93.119501940753011</v>
      </c>
      <c r="N98" s="11">
        <f t="shared" si="25"/>
        <v>12551.725713178264</v>
      </c>
      <c r="O98" s="11">
        <f t="shared" si="26"/>
        <v>12382.490502674618</v>
      </c>
      <c r="P98" s="11">
        <f t="shared" si="22"/>
        <v>169.23521050364616</v>
      </c>
      <c r="Q98" s="11">
        <f t="shared" si="27"/>
        <v>138.89677765568021</v>
      </c>
      <c r="R98" s="11">
        <f t="shared" si="23"/>
        <v>30.338432847965947</v>
      </c>
      <c r="S98" s="9">
        <f t="shared" si="24"/>
        <v>100</v>
      </c>
      <c r="T98" s="14">
        <f t="shared" si="31"/>
        <v>2.0918676581223039E-3</v>
      </c>
      <c r="U98" s="14">
        <f t="shared" si="28"/>
        <v>0</v>
      </c>
      <c r="V98" s="14">
        <f t="shared" si="40"/>
        <v>3.7649956238674032E-3</v>
      </c>
      <c r="W98" s="14">
        <f t="shared" si="40"/>
        <v>2.7819140505686013E-4</v>
      </c>
      <c r="X98" s="16">
        <f t="shared" si="34"/>
        <v>13.53383158296306</v>
      </c>
    </row>
    <row r="99" spans="1:24" x14ac:dyDescent="0.25">
      <c r="A99" s="10">
        <v>45315</v>
      </c>
      <c r="B99" s="11">
        <v>12706.9</v>
      </c>
      <c r="C99" s="12">
        <f t="shared" si="29"/>
        <v>-3.1692985965655618E-3</v>
      </c>
      <c r="D99" s="11">
        <f t="shared" si="39"/>
        <v>12412.704000000002</v>
      </c>
      <c r="E99" s="11">
        <f t="shared" si="20"/>
        <v>12145.699400000005</v>
      </c>
      <c r="F99" s="11"/>
      <c r="G99" s="12">
        <f t="shared" si="30"/>
        <v>-3.1743314599404332E-3</v>
      </c>
      <c r="H99" s="19">
        <f t="shared" si="35"/>
        <v>6.0197313035589978E-2</v>
      </c>
      <c r="I99" s="11">
        <f t="shared" si="36"/>
        <v>12747.3</v>
      </c>
      <c r="J99" s="11">
        <f t="shared" si="37"/>
        <v>12046.61</v>
      </c>
      <c r="K99" s="12">
        <f>(B99-MAX($B$2:B99))/MAX($B$2:B99)</f>
        <v>-3.1692985965655189E-3</v>
      </c>
      <c r="L99" s="12">
        <f t="shared" si="38"/>
        <v>5.1433517220493385E-2</v>
      </c>
      <c r="M99" s="15">
        <f t="shared" si="32"/>
        <v>86.535038277690859</v>
      </c>
      <c r="N99" s="11">
        <f t="shared" si="25"/>
        <v>12575.598680381609</v>
      </c>
      <c r="O99" s="11">
        <f t="shared" si="26"/>
        <v>12406.520835809832</v>
      </c>
      <c r="P99" s="11">
        <f t="shared" si="22"/>
        <v>169.07784457177695</v>
      </c>
      <c r="Q99" s="11">
        <f t="shared" si="27"/>
        <v>144.93299103889956</v>
      </c>
      <c r="R99" s="11">
        <f t="shared" si="23"/>
        <v>24.144853532877391</v>
      </c>
      <c r="S99" s="9">
        <f t="shared" si="24"/>
        <v>100</v>
      </c>
      <c r="T99" s="14">
        <f t="shared" si="31"/>
        <v>0</v>
      </c>
      <c r="U99" s="14">
        <f t="shared" si="28"/>
        <v>3.1692985965655618E-3</v>
      </c>
      <c r="V99" s="14">
        <f t="shared" si="40"/>
        <v>3.2427105590553556E-3</v>
      </c>
      <c r="W99" s="14">
        <f t="shared" si="40"/>
        <v>5.045698762401145E-4</v>
      </c>
      <c r="X99" s="16">
        <f t="shared" si="34"/>
        <v>6.4266828277957204</v>
      </c>
    </row>
    <row r="100" spans="1:24" x14ac:dyDescent="0.25">
      <c r="A100" s="10">
        <v>45316</v>
      </c>
      <c r="B100" s="11">
        <v>12684.76</v>
      </c>
      <c r="C100" s="12">
        <f t="shared" si="29"/>
        <v>-1.7423604498343348E-3</v>
      </c>
      <c r="D100" s="11">
        <f t="shared" si="39"/>
        <v>12442.676500000001</v>
      </c>
      <c r="E100" s="11">
        <f t="shared" si="20"/>
        <v>12159.919800000005</v>
      </c>
      <c r="F100" s="11"/>
      <c r="G100" s="12">
        <f t="shared" si="30"/>
        <v>-1.7438801252743722E-3</v>
      </c>
      <c r="H100" s="19">
        <f t="shared" si="35"/>
        <v>5.5764252597809309E-2</v>
      </c>
      <c r="I100" s="11">
        <f t="shared" si="36"/>
        <v>12747.3</v>
      </c>
      <c r="J100" s="11">
        <f t="shared" si="37"/>
        <v>12046.61</v>
      </c>
      <c r="K100" s="12">
        <f>(B100-MAX($B$2:B100))/MAX($B$2:B100)</f>
        <v>-4.9061369858714437E-3</v>
      </c>
      <c r="L100" s="12">
        <f t="shared" si="38"/>
        <v>4.7984296048565911E-2</v>
      </c>
      <c r="M100" s="15">
        <f t="shared" si="32"/>
        <v>82.441029443204783</v>
      </c>
      <c r="N100" s="11">
        <f t="shared" si="25"/>
        <v>12592.392729553669</v>
      </c>
      <c r="O100" s="11">
        <f t="shared" si="26"/>
        <v>12427.131144268364</v>
      </c>
      <c r="P100" s="11">
        <f t="shared" si="22"/>
        <v>165.26158528530505</v>
      </c>
      <c r="Q100" s="11">
        <f t="shared" si="27"/>
        <v>148.99870988818066</v>
      </c>
      <c r="R100" s="11">
        <f t="shared" si="23"/>
        <v>16.26287539712439</v>
      </c>
      <c r="S100" s="9">
        <f t="shared" si="24"/>
        <v>100</v>
      </c>
      <c r="T100" s="14">
        <f t="shared" si="31"/>
        <v>0</v>
      </c>
      <c r="U100" s="14">
        <f t="shared" si="28"/>
        <v>1.7423604498343348E-3</v>
      </c>
      <c r="V100" s="14">
        <f t="shared" si="40"/>
        <v>2.9533281542531036E-3</v>
      </c>
      <c r="W100" s="14">
        <f t="shared" si="40"/>
        <v>6.2902419408542422E-4</v>
      </c>
      <c r="X100" s="16">
        <f t="shared" si="34"/>
        <v>4.6950946911463776</v>
      </c>
    </row>
    <row r="101" spans="1:24" x14ac:dyDescent="0.25">
      <c r="A101" s="10">
        <v>45317</v>
      </c>
      <c r="B101" s="11">
        <v>12630.78</v>
      </c>
      <c r="C101" s="12">
        <f t="shared" si="29"/>
        <v>-4.2555003011487402E-3</v>
      </c>
      <c r="D101" s="11">
        <f t="shared" si="39"/>
        <v>12469.0175</v>
      </c>
      <c r="E101" s="11">
        <f t="shared" si="20"/>
        <v>12174.625600000003</v>
      </c>
      <c r="F101" s="11"/>
      <c r="G101" s="12">
        <f t="shared" si="30"/>
        <v>-4.2645807128414061E-3</v>
      </c>
      <c r="H101" s="19">
        <f t="shared" si="35"/>
        <v>6.0578840503844079E-2</v>
      </c>
      <c r="I101" s="11">
        <f t="shared" si="36"/>
        <v>12747.3</v>
      </c>
      <c r="J101" s="11">
        <f t="shared" si="37"/>
        <v>12046.61</v>
      </c>
      <c r="K101" s="12">
        <f>(B101-MAX($B$2:B101))/MAX($B$2:B101)</f>
        <v>-9.140759219599337E-3</v>
      </c>
      <c r="L101" s="12">
        <f t="shared" si="38"/>
        <v>4.8492480457157594E-2</v>
      </c>
      <c r="M101" s="15">
        <f t="shared" si="32"/>
        <v>72.307968737462005</v>
      </c>
      <c r="N101" s="11">
        <f t="shared" si="25"/>
        <v>12598.298463468489</v>
      </c>
      <c r="O101" s="11">
        <f t="shared" si="26"/>
        <v>12442.216244692929</v>
      </c>
      <c r="P101" s="11">
        <f t="shared" si="22"/>
        <v>156.08221877556025</v>
      </c>
      <c r="Q101" s="11">
        <f t="shared" si="27"/>
        <v>150.41541166565656</v>
      </c>
      <c r="R101" s="11">
        <f t="shared" si="23"/>
        <v>5.6668071099036865</v>
      </c>
      <c r="S101" s="9">
        <f t="shared" si="24"/>
        <v>100</v>
      </c>
      <c r="T101" s="14">
        <f t="shared" si="31"/>
        <v>0</v>
      </c>
      <c r="U101" s="14">
        <f t="shared" si="28"/>
        <v>4.2555003011487402E-3</v>
      </c>
      <c r="V101" s="14">
        <f t="shared" si="40"/>
        <v>2.4361702738803065E-3</v>
      </c>
      <c r="W101" s="14">
        <f t="shared" si="40"/>
        <v>9.3298850131033422E-4</v>
      </c>
      <c r="X101" s="16">
        <f t="shared" si="34"/>
        <v>2.6111471582541812</v>
      </c>
    </row>
    <row r="102" spans="1:24" x14ac:dyDescent="0.25">
      <c r="A102" s="10">
        <v>45320</v>
      </c>
      <c r="B102" s="11">
        <v>12458.14</v>
      </c>
      <c r="C102" s="12">
        <f t="shared" si="29"/>
        <v>-1.3668197846847252E-2</v>
      </c>
      <c r="D102" s="11">
        <f t="shared" si="39"/>
        <v>12489.594000000001</v>
      </c>
      <c r="E102" s="11">
        <f t="shared" si="20"/>
        <v>12184.390200000002</v>
      </c>
      <c r="F102" s="11"/>
      <c r="G102" s="12">
        <f t="shared" si="30"/>
        <v>-1.3762467647504906E-2</v>
      </c>
      <c r="H102" s="19">
        <f t="shared" si="35"/>
        <v>7.9612588803241305E-2</v>
      </c>
      <c r="I102" s="11">
        <f t="shared" si="36"/>
        <v>12747.3</v>
      </c>
      <c r="J102" s="11">
        <f t="shared" si="37"/>
        <v>12092.88</v>
      </c>
      <c r="K102" s="12">
        <f>(B102-MAX($B$2:B102))/MAX($B$2:B102)</f>
        <v>-2.2684019360962704E-2</v>
      </c>
      <c r="L102" s="12">
        <f t="shared" si="38"/>
        <v>3.0204550115439766E-2</v>
      </c>
      <c r="M102" s="15">
        <f t="shared" si="32"/>
        <v>55.285189188160381</v>
      </c>
      <c r="N102" s="11">
        <f t="shared" si="25"/>
        <v>12576.735622934875</v>
      </c>
      <c r="O102" s="11">
        <f t="shared" si="26"/>
        <v>12443.395782123083</v>
      </c>
      <c r="P102" s="11">
        <f t="shared" si="22"/>
        <v>133.33984081179187</v>
      </c>
      <c r="Q102" s="11">
        <f t="shared" si="27"/>
        <v>147.00029749488363</v>
      </c>
      <c r="R102" s="11">
        <f t="shared" si="23"/>
        <v>-13.660456683091752</v>
      </c>
      <c r="S102" s="9">
        <f t="shared" si="24"/>
        <v>60</v>
      </c>
      <c r="T102" s="14">
        <f t="shared" si="31"/>
        <v>0</v>
      </c>
      <c r="U102" s="14">
        <f t="shared" si="28"/>
        <v>1.3668197846847252E-2</v>
      </c>
      <c r="V102" s="14">
        <f t="shared" si="40"/>
        <v>2.3606354492077264E-3</v>
      </c>
      <c r="W102" s="14">
        <f t="shared" si="40"/>
        <v>1.9092883475137093E-3</v>
      </c>
      <c r="X102" s="16">
        <f t="shared" si="34"/>
        <v>1.2363954623625943</v>
      </c>
    </row>
    <row r="103" spans="1:24" x14ac:dyDescent="0.25">
      <c r="A103" s="10">
        <v>45321</v>
      </c>
      <c r="B103" s="11">
        <v>12445.47</v>
      </c>
      <c r="C103" s="12">
        <f t="shared" si="29"/>
        <v>-1.0170057488517736E-3</v>
      </c>
      <c r="D103" s="11">
        <f t="shared" si="39"/>
        <v>12507.2235</v>
      </c>
      <c r="E103" s="11">
        <f t="shared" si="20"/>
        <v>12194.348400000003</v>
      </c>
      <c r="F103" s="11"/>
      <c r="G103" s="12">
        <f t="shared" si="30"/>
        <v>-1.0175232500959518E-3</v>
      </c>
      <c r="H103" s="19">
        <f t="shared" si="35"/>
        <v>7.9733926295236568E-2</v>
      </c>
      <c r="I103" s="11">
        <f t="shared" si="36"/>
        <v>12747.3</v>
      </c>
      <c r="J103" s="11">
        <f t="shared" si="37"/>
        <v>12141.7</v>
      </c>
      <c r="K103" s="12">
        <f>(B103-MAX($B$2:B103))/MAX($B$2:B103)</f>
        <v>-2.36779553317173E-2</v>
      </c>
      <c r="L103" s="12">
        <f t="shared" si="38"/>
        <v>2.5018737079651077E-2</v>
      </c>
      <c r="M103" s="15">
        <f t="shared" si="32"/>
        <v>50.736848436047154</v>
      </c>
      <c r="N103" s="11">
        <f t="shared" si="25"/>
        <v>12556.540911714124</v>
      </c>
      <c r="O103" s="11">
        <f t="shared" si="26"/>
        <v>12443.549427891745</v>
      </c>
      <c r="P103" s="11">
        <f t="shared" si="22"/>
        <v>112.99148382237945</v>
      </c>
      <c r="Q103" s="11">
        <f t="shared" si="27"/>
        <v>140.19853476038281</v>
      </c>
      <c r="R103" s="11">
        <f t="shared" si="23"/>
        <v>-27.207050938003363</v>
      </c>
      <c r="S103" s="9">
        <f t="shared" si="24"/>
        <v>60</v>
      </c>
      <c r="T103" s="14">
        <f t="shared" si="31"/>
        <v>0</v>
      </c>
      <c r="U103" s="14">
        <f t="shared" si="28"/>
        <v>1.0170057488517736E-3</v>
      </c>
      <c r="V103" s="14">
        <f t="shared" si="40"/>
        <v>2.0412206848962533E-3</v>
      </c>
      <c r="W103" s="14">
        <f t="shared" si="40"/>
        <v>1.9819316152888361E-3</v>
      </c>
      <c r="X103" s="16">
        <f t="shared" si="34"/>
        <v>1.029914790777873</v>
      </c>
    </row>
    <row r="104" spans="1:24" x14ac:dyDescent="0.25">
      <c r="A104" s="10">
        <v>45322</v>
      </c>
      <c r="B104" s="11">
        <v>12465.28</v>
      </c>
      <c r="C104" s="12">
        <f t="shared" si="29"/>
        <v>1.5917438232546655E-3</v>
      </c>
      <c r="D104" s="11">
        <f t="shared" si="39"/>
        <v>12523.4025</v>
      </c>
      <c r="E104" s="11">
        <f t="shared" si="20"/>
        <v>12204.064600000002</v>
      </c>
      <c r="F104" s="11"/>
      <c r="G104" s="12">
        <f t="shared" si="30"/>
        <v>1.5904783417588246E-3</v>
      </c>
      <c r="H104" s="19">
        <f t="shared" si="35"/>
        <v>7.9150252332868973E-2</v>
      </c>
      <c r="I104" s="11">
        <f t="shared" si="36"/>
        <v>12747.3</v>
      </c>
      <c r="J104" s="11">
        <f t="shared" si="37"/>
        <v>12230.48</v>
      </c>
      <c r="K104" s="12">
        <f>(B104-MAX($B$2:B104))/MAX($B$2:B104)</f>
        <v>-2.2123900747609192E-2</v>
      </c>
      <c r="L104" s="12">
        <f t="shared" si="38"/>
        <v>1.9197938265709924E-2</v>
      </c>
      <c r="M104" s="15">
        <f t="shared" si="32"/>
        <v>49.062789701951019</v>
      </c>
      <c r="N104" s="11">
        <f t="shared" si="25"/>
        <v>12542.500771450414</v>
      </c>
      <c r="O104" s="11">
        <f t="shared" si="26"/>
        <v>12445.159099899764</v>
      </c>
      <c r="P104" s="11">
        <f t="shared" si="22"/>
        <v>97.341671550650062</v>
      </c>
      <c r="Q104" s="11">
        <f t="shared" si="27"/>
        <v>131.62716211843627</v>
      </c>
      <c r="R104" s="11">
        <f t="shared" si="23"/>
        <v>-34.285490567786212</v>
      </c>
      <c r="S104" s="9">
        <f t="shared" si="24"/>
        <v>60</v>
      </c>
      <c r="T104" s="14">
        <f t="shared" si="31"/>
        <v>1.5917438232546655E-3</v>
      </c>
      <c r="U104" s="14">
        <f t="shared" si="28"/>
        <v>0</v>
      </c>
      <c r="V104" s="14">
        <f t="shared" si="40"/>
        <v>1.9089992065837327E-3</v>
      </c>
      <c r="W104" s="14">
        <f t="shared" si="40"/>
        <v>1.9819316152888361E-3</v>
      </c>
      <c r="X104" s="16">
        <f t="shared" si="34"/>
        <v>0.96320134956095615</v>
      </c>
    </row>
    <row r="105" spans="1:24" x14ac:dyDescent="0.25">
      <c r="A105" s="10">
        <v>45323</v>
      </c>
      <c r="B105" s="11">
        <v>12483.92</v>
      </c>
      <c r="C105" s="12">
        <f t="shared" si="29"/>
        <v>1.4953534938644264E-3</v>
      </c>
      <c r="D105" s="11">
        <f t="shared" si="39"/>
        <v>12536.074500000001</v>
      </c>
      <c r="E105" s="11">
        <f t="shared" si="20"/>
        <v>12214.218200000003</v>
      </c>
      <c r="F105" s="11"/>
      <c r="G105" s="12">
        <f t="shared" si="30"/>
        <v>1.4942365661578107E-3</v>
      </c>
      <c r="H105" s="19">
        <f t="shared" si="35"/>
        <v>7.596174124545732E-2</v>
      </c>
      <c r="I105" s="11">
        <f t="shared" si="36"/>
        <v>12747.3</v>
      </c>
      <c r="J105" s="11">
        <f t="shared" si="37"/>
        <v>12280.03</v>
      </c>
      <c r="K105" s="12">
        <f>(B105-MAX($B$2:B105))/MAX($B$2:B105)</f>
        <v>-2.0661630306025528E-2</v>
      </c>
      <c r="L105" s="12">
        <f t="shared" si="38"/>
        <v>1.6603379633437276E-2</v>
      </c>
      <c r="M105" s="15">
        <f t="shared" si="32"/>
        <v>48.852305361893798</v>
      </c>
      <c r="N105" s="11">
        <f t="shared" si="25"/>
        <v>12533.488345073427</v>
      </c>
      <c r="O105" s="11">
        <f t="shared" si="26"/>
        <v>12448.030277684966</v>
      </c>
      <c r="P105" s="11">
        <f t="shared" si="22"/>
        <v>85.458067388461131</v>
      </c>
      <c r="Q105" s="11">
        <f t="shared" si="27"/>
        <v>122.39334317244126</v>
      </c>
      <c r="R105" s="11">
        <f t="shared" si="23"/>
        <v>-36.935275783980131</v>
      </c>
      <c r="S105" s="9">
        <f t="shared" si="24"/>
        <v>60</v>
      </c>
      <c r="T105" s="14">
        <f t="shared" si="31"/>
        <v>1.4953534938644264E-3</v>
      </c>
      <c r="U105" s="14">
        <f t="shared" si="28"/>
        <v>0</v>
      </c>
      <c r="V105" s="14">
        <f t="shared" si="40"/>
        <v>1.8929871455896879E-3</v>
      </c>
      <c r="W105" s="14">
        <f t="shared" si="40"/>
        <v>1.9819316152888361E-3</v>
      </c>
      <c r="X105" s="16">
        <f t="shared" si="34"/>
        <v>0.95512233166219218</v>
      </c>
    </row>
    <row r="106" spans="1:24" x14ac:dyDescent="0.25">
      <c r="A106" s="10">
        <v>45324</v>
      </c>
      <c r="B106" s="11">
        <v>12493.4</v>
      </c>
      <c r="C106" s="12">
        <f t="shared" si="29"/>
        <v>7.5937686239568869E-4</v>
      </c>
      <c r="D106" s="11">
        <f t="shared" si="39"/>
        <v>12546.742999999999</v>
      </c>
      <c r="E106" s="11">
        <f t="shared" si="20"/>
        <v>12224.092000000004</v>
      </c>
      <c r="F106" s="11"/>
      <c r="G106" s="12">
        <f t="shared" si="30"/>
        <v>7.5908868166874E-4</v>
      </c>
      <c r="H106" s="19">
        <f t="shared" si="35"/>
        <v>7.5121218821059058E-2</v>
      </c>
      <c r="I106" s="11">
        <f t="shared" si="36"/>
        <v>12747.3</v>
      </c>
      <c r="J106" s="11">
        <f t="shared" si="37"/>
        <v>12368.94</v>
      </c>
      <c r="K106" s="12">
        <f>(B106-MAX($B$2:B106))/MAX($B$2:B106)</f>
        <v>-1.9917943407623546E-2</v>
      </c>
      <c r="L106" s="12">
        <f t="shared" si="38"/>
        <v>1.0062301215787217E-2</v>
      </c>
      <c r="M106" s="15">
        <f t="shared" si="32"/>
        <v>53.334569112202566</v>
      </c>
      <c r="N106" s="11">
        <f t="shared" si="25"/>
        <v>12527.320907369824</v>
      </c>
      <c r="O106" s="11">
        <f t="shared" si="26"/>
        <v>12451.39099785645</v>
      </c>
      <c r="P106" s="11">
        <f t="shared" si="22"/>
        <v>75.929909513373786</v>
      </c>
      <c r="Q106" s="11">
        <f t="shared" si="27"/>
        <v>113.10065644062777</v>
      </c>
      <c r="R106" s="11">
        <f t="shared" si="23"/>
        <v>-37.170746927253987</v>
      </c>
      <c r="S106" s="9">
        <f t="shared" si="24"/>
        <v>60</v>
      </c>
      <c r="T106" s="14">
        <f t="shared" si="31"/>
        <v>7.5937686239568869E-4</v>
      </c>
      <c r="U106" s="14">
        <f t="shared" si="28"/>
        <v>0</v>
      </c>
      <c r="V106" s="14">
        <f t="shared" si="40"/>
        <v>1.9472283500465229E-3</v>
      </c>
      <c r="W106" s="14">
        <f t="shared" si="40"/>
        <v>1.703740210231976E-3</v>
      </c>
      <c r="X106" s="16">
        <f t="shared" si="34"/>
        <v>1.1429138893079211</v>
      </c>
    </row>
    <row r="107" spans="1:24" x14ac:dyDescent="0.25">
      <c r="A107" s="10">
        <v>45327</v>
      </c>
      <c r="B107" s="11">
        <v>12442.57</v>
      </c>
      <c r="C107" s="12">
        <f t="shared" si="29"/>
        <v>-4.0685481934461531E-3</v>
      </c>
      <c r="D107" s="11">
        <f t="shared" si="39"/>
        <v>12550.424499999999</v>
      </c>
      <c r="E107" s="11">
        <f t="shared" si="20"/>
        <v>12233.420000000002</v>
      </c>
      <c r="F107" s="11"/>
      <c r="G107" s="12">
        <f t="shared" si="30"/>
        <v>-4.0768472533794335E-3</v>
      </c>
      <c r="H107" s="19">
        <f t="shared" si="35"/>
        <v>7.3121833180025908E-2</v>
      </c>
      <c r="I107" s="11">
        <f t="shared" si="36"/>
        <v>12747.3</v>
      </c>
      <c r="J107" s="11">
        <f t="shared" si="37"/>
        <v>12382.02</v>
      </c>
      <c r="K107" s="12">
        <f>(B107-MAX($B$2:B107))/MAX($B$2:B107)</f>
        <v>-2.3905454488401433E-2</v>
      </c>
      <c r="L107" s="12">
        <f t="shared" si="38"/>
        <v>4.8901552412288218E-3</v>
      </c>
      <c r="M107" s="15">
        <f t="shared" si="32"/>
        <v>41.246463043304487</v>
      </c>
      <c r="N107" s="11">
        <f t="shared" si="25"/>
        <v>12514.282306236004</v>
      </c>
      <c r="O107" s="11">
        <f t="shared" si="26"/>
        <v>12450.737590607823</v>
      </c>
      <c r="P107" s="11">
        <f t="shared" si="22"/>
        <v>63.544715628180711</v>
      </c>
      <c r="Q107" s="11">
        <f t="shared" si="27"/>
        <v>103.18946827813836</v>
      </c>
      <c r="R107" s="11">
        <f t="shared" si="23"/>
        <v>-39.644752649957653</v>
      </c>
      <c r="S107" s="9">
        <f t="shared" si="24"/>
        <v>60</v>
      </c>
      <c r="T107" s="14">
        <f t="shared" si="31"/>
        <v>0</v>
      </c>
      <c r="U107" s="14">
        <f t="shared" si="28"/>
        <v>4.0685481934461531E-3</v>
      </c>
      <c r="V107" s="14">
        <f t="shared" si="40"/>
        <v>1.4000844994524078E-3</v>
      </c>
      <c r="W107" s="14">
        <f t="shared" si="40"/>
        <v>1.9943507954781298E-3</v>
      </c>
      <c r="X107" s="16">
        <f t="shared" si="34"/>
        <v>0.70202519166982791</v>
      </c>
    </row>
    <row r="108" spans="1:24" x14ac:dyDescent="0.25">
      <c r="A108" s="10">
        <v>45328</v>
      </c>
      <c r="B108" s="11">
        <v>12529.24</v>
      </c>
      <c r="C108" s="12">
        <f t="shared" si="29"/>
        <v>6.9656027653450803E-3</v>
      </c>
      <c r="D108" s="11">
        <f t="shared" si="39"/>
        <v>12557.785500000002</v>
      </c>
      <c r="E108" s="11">
        <f t="shared" si="20"/>
        <v>12244.851400000003</v>
      </c>
      <c r="F108" s="11"/>
      <c r="G108" s="12">
        <f t="shared" si="30"/>
        <v>6.9414550252625152E-3</v>
      </c>
      <c r="H108" s="19">
        <f t="shared" si="35"/>
        <v>7.6822975248460754E-2</v>
      </c>
      <c r="I108" s="11">
        <f t="shared" si="36"/>
        <v>12747.3</v>
      </c>
      <c r="J108" s="11">
        <f t="shared" si="37"/>
        <v>12437.39</v>
      </c>
      <c r="K108" s="12">
        <f>(B108-MAX($B$2:B108))/MAX($B$2:B108)</f>
        <v>-1.7106367622947566E-2</v>
      </c>
      <c r="L108" s="12">
        <f t="shared" si="38"/>
        <v>7.3849899375995065E-3</v>
      </c>
      <c r="M108" s="15">
        <f t="shared" si="32"/>
        <v>45.012093618147588</v>
      </c>
      <c r="N108" s="11">
        <f t="shared" si="25"/>
        <v>12516.583489892004</v>
      </c>
      <c r="O108" s="11">
        <f t="shared" si="26"/>
        <v>12456.552583896133</v>
      </c>
      <c r="P108" s="11">
        <f t="shared" si="22"/>
        <v>60.030905995870853</v>
      </c>
      <c r="Q108" s="11">
        <f t="shared" si="27"/>
        <v>94.557755821684879</v>
      </c>
      <c r="R108" s="11">
        <f t="shared" si="23"/>
        <v>-34.526849825814026</v>
      </c>
      <c r="S108" s="9">
        <f t="shared" si="24"/>
        <v>60</v>
      </c>
      <c r="T108" s="14">
        <f t="shared" si="31"/>
        <v>6.9656027653450803E-3</v>
      </c>
      <c r="U108" s="14">
        <f t="shared" si="28"/>
        <v>0</v>
      </c>
      <c r="V108" s="14">
        <f t="shared" si="40"/>
        <v>1.6325390548623492E-3</v>
      </c>
      <c r="W108" s="14">
        <f t="shared" si="40"/>
        <v>1.9943507954781298E-3</v>
      </c>
      <c r="X108" s="16">
        <f t="shared" si="34"/>
        <v>0.81858169513802159</v>
      </c>
    </row>
    <row r="109" spans="1:24" x14ac:dyDescent="0.25">
      <c r="A109" s="10">
        <v>45329</v>
      </c>
      <c r="B109" s="11">
        <v>12549.84</v>
      </c>
      <c r="C109" s="12">
        <f t="shared" si="29"/>
        <v>1.6441539949749728E-3</v>
      </c>
      <c r="D109" s="11">
        <f t="shared" si="39"/>
        <v>12563.407999999999</v>
      </c>
      <c r="E109" s="11">
        <f t="shared" si="20"/>
        <v>12258.972400000002</v>
      </c>
      <c r="F109" s="11"/>
      <c r="G109" s="12">
        <f t="shared" si="30"/>
        <v>1.6428038534864714E-3</v>
      </c>
      <c r="H109" s="19">
        <f t="shared" si="35"/>
        <v>7.5580713114116849E-2</v>
      </c>
      <c r="I109" s="11">
        <f t="shared" si="36"/>
        <v>12747.3</v>
      </c>
      <c r="J109" s="11">
        <f t="shared" si="37"/>
        <v>12442.57</v>
      </c>
      <c r="K109" s="12">
        <f>(B109-MAX($B$2:B109))/MAX($B$2:B109)</f>
        <v>-1.5490339130639363E-2</v>
      </c>
      <c r="L109" s="12">
        <f t="shared" si="38"/>
        <v>5.5792330417516744E-3</v>
      </c>
      <c r="M109" s="15">
        <f t="shared" si="32"/>
        <v>42.208772050100208</v>
      </c>
      <c r="N109" s="11">
        <f t="shared" si="25"/>
        <v>12521.699876062465</v>
      </c>
      <c r="O109" s="11">
        <f t="shared" si="26"/>
        <v>12463.462762866789</v>
      </c>
      <c r="P109" s="11">
        <f t="shared" si="22"/>
        <v>58.237113195675192</v>
      </c>
      <c r="Q109" s="11">
        <f t="shared" si="27"/>
        <v>87.293627296482953</v>
      </c>
      <c r="R109" s="11">
        <f t="shared" si="23"/>
        <v>-29.05651410080776</v>
      </c>
      <c r="S109" s="9">
        <f t="shared" si="24"/>
        <v>60</v>
      </c>
      <c r="T109" s="14">
        <f t="shared" si="31"/>
        <v>1.6441539949749728E-3</v>
      </c>
      <c r="U109" s="14">
        <f t="shared" si="28"/>
        <v>0</v>
      </c>
      <c r="V109" s="14">
        <f t="shared" si="40"/>
        <v>1.4566068432954684E-3</v>
      </c>
      <c r="W109" s="14">
        <f t="shared" si="40"/>
        <v>1.9943507954781298E-3</v>
      </c>
      <c r="X109" s="16">
        <f t="shared" si="34"/>
        <v>0.73036641627846544</v>
      </c>
    </row>
    <row r="110" spans="1:24" x14ac:dyDescent="0.25">
      <c r="A110" s="10">
        <v>45330</v>
      </c>
      <c r="B110" s="11">
        <v>12625.89</v>
      </c>
      <c r="C110" s="12">
        <f t="shared" si="29"/>
        <v>6.0598382130767625E-3</v>
      </c>
      <c r="D110" s="11">
        <f t="shared" si="39"/>
        <v>12570.691999999999</v>
      </c>
      <c r="E110" s="11">
        <f t="shared" si="20"/>
        <v>12275.986800000002</v>
      </c>
      <c r="F110" s="11"/>
      <c r="G110" s="12">
        <f t="shared" si="30"/>
        <v>6.0415512337295965E-3</v>
      </c>
      <c r="H110" s="19">
        <f t="shared" si="35"/>
        <v>7.7487359331914252E-2</v>
      </c>
      <c r="I110" s="11">
        <f t="shared" si="36"/>
        <v>12747.3</v>
      </c>
      <c r="J110" s="11">
        <f t="shared" si="37"/>
        <v>12442.57</v>
      </c>
      <c r="K110" s="12">
        <f>(B110-MAX($B$2:B110))/MAX($B$2:B110)</f>
        <v>-9.5243698665599657E-3</v>
      </c>
      <c r="L110" s="12">
        <f t="shared" si="38"/>
        <v>9.9362725139919839E-3</v>
      </c>
      <c r="M110" s="15">
        <f t="shared" si="32"/>
        <v>45.615715303412038</v>
      </c>
      <c r="N110" s="11">
        <f t="shared" si="25"/>
        <v>12537.729125899008</v>
      </c>
      <c r="O110" s="11">
        <f t="shared" si="26"/>
        <v>12475.494410061841</v>
      </c>
      <c r="P110" s="11">
        <f t="shared" si="22"/>
        <v>62.234715837166732</v>
      </c>
      <c r="Q110" s="11">
        <f t="shared" si="27"/>
        <v>82.281845004619711</v>
      </c>
      <c r="R110" s="11">
        <f t="shared" si="23"/>
        <v>-20.047129167452979</v>
      </c>
      <c r="S110" s="9">
        <f t="shared" si="24"/>
        <v>60</v>
      </c>
      <c r="T110" s="14">
        <f t="shared" si="31"/>
        <v>6.0598382130767625E-3</v>
      </c>
      <c r="U110" s="14">
        <f t="shared" si="28"/>
        <v>0</v>
      </c>
      <c r="V110" s="14">
        <f t="shared" si="40"/>
        <v>1.6727946061846671E-3</v>
      </c>
      <c r="W110" s="14">
        <f t="shared" si="40"/>
        <v>1.9943507954781298E-3</v>
      </c>
      <c r="X110" s="16">
        <f t="shared" si="34"/>
        <v>0.83876648480170102</v>
      </c>
    </row>
    <row r="111" spans="1:24" x14ac:dyDescent="0.25">
      <c r="A111" s="10">
        <v>45331</v>
      </c>
      <c r="B111" s="11">
        <v>12659.81</v>
      </c>
      <c r="C111" s="12">
        <f t="shared" si="29"/>
        <v>2.6865432852654081E-3</v>
      </c>
      <c r="D111" s="11">
        <f t="shared" si="39"/>
        <v>12578.598999999998</v>
      </c>
      <c r="E111" s="11">
        <f t="shared" si="20"/>
        <v>12293.496400000004</v>
      </c>
      <c r="F111" s="11"/>
      <c r="G111" s="12">
        <f t="shared" si="30"/>
        <v>2.6829409782470649E-3</v>
      </c>
      <c r="H111" s="19">
        <f t="shared" si="35"/>
        <v>7.7750520281049243E-2</v>
      </c>
      <c r="I111" s="11">
        <f t="shared" si="36"/>
        <v>12747.3</v>
      </c>
      <c r="J111" s="11">
        <f t="shared" si="37"/>
        <v>12442.57</v>
      </c>
      <c r="K111" s="12">
        <f>(B111-MAX($B$2:B111))/MAX($B$2:B111)</f>
        <v>-6.8634142132059173E-3</v>
      </c>
      <c r="L111" s="12">
        <f t="shared" si="38"/>
        <v>1.6608875947765167E-2</v>
      </c>
      <c r="M111" s="15">
        <f t="shared" si="32"/>
        <v>45.483358684748126</v>
      </c>
      <c r="N111" s="11">
        <f t="shared" si="25"/>
        <v>12556.510798837622</v>
      </c>
      <c r="O111" s="11">
        <f t="shared" si="26"/>
        <v>12489.147416723927</v>
      </c>
      <c r="P111" s="11">
        <f t="shared" si="22"/>
        <v>67.363382113695479</v>
      </c>
      <c r="Q111" s="11">
        <f t="shared" si="27"/>
        <v>79.298152426434868</v>
      </c>
      <c r="R111" s="11">
        <f t="shared" si="23"/>
        <v>-11.934770312739388</v>
      </c>
      <c r="S111" s="9">
        <f t="shared" si="24"/>
        <v>60</v>
      </c>
      <c r="T111" s="14">
        <f t="shared" si="31"/>
        <v>2.6865432852654081E-3</v>
      </c>
      <c r="U111" s="14">
        <f t="shared" si="28"/>
        <v>0</v>
      </c>
      <c r="V111" s="14">
        <f t="shared" si="40"/>
        <v>1.6638914354499506E-3</v>
      </c>
      <c r="W111" s="14">
        <f t="shared" si="40"/>
        <v>1.9943507954781298E-3</v>
      </c>
      <c r="X111" s="16">
        <f t="shared" si="34"/>
        <v>0.83430228985921506</v>
      </c>
    </row>
    <row r="112" spans="1:24" x14ac:dyDescent="0.25">
      <c r="A112" s="10">
        <v>45334</v>
      </c>
      <c r="B112" s="11">
        <v>12688.22</v>
      </c>
      <c r="C112" s="12">
        <f t="shared" si="29"/>
        <v>2.2441095087524232E-3</v>
      </c>
      <c r="D112" s="11">
        <f t="shared" si="39"/>
        <v>12590.361000000001</v>
      </c>
      <c r="E112" s="11">
        <f t="shared" si="20"/>
        <v>12311.629600000002</v>
      </c>
      <c r="F112" s="11"/>
      <c r="G112" s="12">
        <f t="shared" si="30"/>
        <v>2.2415952558121452E-3</v>
      </c>
      <c r="H112" s="19">
        <f t="shared" si="35"/>
        <v>7.6041799286711259E-2</v>
      </c>
      <c r="I112" s="11">
        <f t="shared" si="36"/>
        <v>12747.3</v>
      </c>
      <c r="J112" s="11">
        <f t="shared" si="37"/>
        <v>12442.57</v>
      </c>
      <c r="K112" s="12">
        <f>(B112-MAX($B$2:B112))/MAX($B$2:B112)</f>
        <v>-4.6347069575517902E-3</v>
      </c>
      <c r="L112" s="12">
        <f t="shared" si="38"/>
        <v>1.1144873796357535E-2</v>
      </c>
      <c r="M112" s="15">
        <f t="shared" si="32"/>
        <v>45.6449334715494</v>
      </c>
      <c r="N112" s="11">
        <f t="shared" si="25"/>
        <v>12576.773752862604</v>
      </c>
      <c r="O112" s="11">
        <f t="shared" si="26"/>
        <v>12503.893534003637</v>
      </c>
      <c r="P112" s="11">
        <f t="shared" si="22"/>
        <v>72.880218858967055</v>
      </c>
      <c r="Q112" s="11">
        <f t="shared" si="27"/>
        <v>78.014565712941305</v>
      </c>
      <c r="R112" s="11">
        <f t="shared" si="23"/>
        <v>-5.1343468539742503</v>
      </c>
      <c r="S112" s="9">
        <f t="shared" si="24"/>
        <v>60</v>
      </c>
      <c r="T112" s="14">
        <f t="shared" si="31"/>
        <v>2.2441095087524232E-3</v>
      </c>
      <c r="U112" s="14">
        <f t="shared" si="28"/>
        <v>0</v>
      </c>
      <c r="V112" s="14">
        <f t="shared" ref="V112:W127" si="41">AVERAGE(T99:T112)</f>
        <v>1.674765853352102E-3</v>
      </c>
      <c r="W112" s="14">
        <f t="shared" si="41"/>
        <v>1.9943507954781298E-3</v>
      </c>
      <c r="X112" s="16">
        <f t="shared" si="34"/>
        <v>0.83975490026597366</v>
      </c>
    </row>
    <row r="113" spans="1:24" x14ac:dyDescent="0.25">
      <c r="A113" s="10">
        <v>45335</v>
      </c>
      <c r="B113" s="11">
        <v>12698.28</v>
      </c>
      <c r="C113" s="12">
        <f t="shared" si="29"/>
        <v>7.9286141003231947E-4</v>
      </c>
      <c r="D113" s="11">
        <f t="shared" si="39"/>
        <v>12597.8565</v>
      </c>
      <c r="E113" s="11">
        <f t="shared" si="20"/>
        <v>12330.631400000002</v>
      </c>
      <c r="F113" s="11"/>
      <c r="G113" s="12">
        <f t="shared" si="30"/>
        <v>7.925472614644446E-4</v>
      </c>
      <c r="H113" s="19">
        <f t="shared" si="35"/>
        <v>7.1812950379975454E-2</v>
      </c>
      <c r="I113" s="11">
        <f t="shared" si="36"/>
        <v>12747.3</v>
      </c>
      <c r="J113" s="11">
        <f t="shared" si="37"/>
        <v>12442.57</v>
      </c>
      <c r="K113" s="12">
        <f>(B113-MAX($B$2:B113))/MAX($B$2:B113)</f>
        <v>-3.8455202278128405E-3</v>
      </c>
      <c r="L113" s="12">
        <f t="shared" si="38"/>
        <v>8.2048822781213282E-3</v>
      </c>
      <c r="M113" s="15">
        <f t="shared" si="32"/>
        <v>49.477427348127947</v>
      </c>
      <c r="N113" s="11">
        <f t="shared" si="25"/>
        <v>12595.467021652972</v>
      </c>
      <c r="O113" s="11">
        <f t="shared" si="26"/>
        <v>12518.292531484849</v>
      </c>
      <c r="P113" s="11">
        <f t="shared" si="22"/>
        <v>77.174490168123157</v>
      </c>
      <c r="Q113" s="11">
        <f t="shared" si="27"/>
        <v>77.846550603977676</v>
      </c>
      <c r="R113" s="11">
        <f t="shared" si="23"/>
        <v>-0.6720604358545188</v>
      </c>
      <c r="S113" s="9">
        <f t="shared" si="24"/>
        <v>60</v>
      </c>
      <c r="T113" s="14">
        <f t="shared" si="31"/>
        <v>7.9286141003231947E-4</v>
      </c>
      <c r="U113" s="14">
        <f t="shared" si="28"/>
        <v>0</v>
      </c>
      <c r="V113" s="14">
        <f t="shared" si="41"/>
        <v>1.7313988112115533E-3</v>
      </c>
      <c r="W113" s="14">
        <f t="shared" si="41"/>
        <v>1.7679723242948753E-3</v>
      </c>
      <c r="X113" s="16">
        <f t="shared" si="34"/>
        <v>0.97931329999868144</v>
      </c>
    </row>
    <row r="114" spans="1:24" x14ac:dyDescent="0.25">
      <c r="A114" s="10">
        <v>45336</v>
      </c>
      <c r="B114" s="11">
        <v>12753.91</v>
      </c>
      <c r="C114" s="12">
        <f t="shared" si="29"/>
        <v>4.3809082804915356E-3</v>
      </c>
      <c r="D114" s="11">
        <f t="shared" si="39"/>
        <v>12605.805</v>
      </c>
      <c r="E114" s="11">
        <f t="shared" si="20"/>
        <v>12351.148400000004</v>
      </c>
      <c r="F114" s="11"/>
      <c r="G114" s="12">
        <f t="shared" si="30"/>
        <v>4.3713400366978449E-3</v>
      </c>
      <c r="H114" s="19">
        <f t="shared" si="35"/>
        <v>7.2233913089873661E-2</v>
      </c>
      <c r="I114" s="11">
        <f t="shared" si="36"/>
        <v>12753.91</v>
      </c>
      <c r="J114" s="11">
        <f t="shared" si="37"/>
        <v>12442.57</v>
      </c>
      <c r="K114" s="12">
        <f>(B114-MAX($B$2:B114))/MAX($B$2:B114)</f>
        <v>0</v>
      </c>
      <c r="L114" s="12">
        <f t="shared" si="38"/>
        <v>8.4797025620182431E-3</v>
      </c>
      <c r="M114" s="15">
        <f t="shared" si="32"/>
        <v>55.434115242512561</v>
      </c>
      <c r="N114" s="11">
        <f t="shared" si="25"/>
        <v>12619.842864475591</v>
      </c>
      <c r="O114" s="11">
        <f t="shared" si="26"/>
        <v>12535.745677300787</v>
      </c>
      <c r="P114" s="11">
        <f t="shared" si="22"/>
        <v>84.097187174804276</v>
      </c>
      <c r="Q114" s="11">
        <f t="shared" si="27"/>
        <v>79.096677918143001</v>
      </c>
      <c r="R114" s="11">
        <f t="shared" si="23"/>
        <v>5.0005092566612745</v>
      </c>
      <c r="S114" s="9">
        <f t="shared" si="24"/>
        <v>100</v>
      </c>
      <c r="T114" s="14">
        <f t="shared" si="31"/>
        <v>4.3809082804915356E-3</v>
      </c>
      <c r="U114" s="14">
        <f t="shared" si="28"/>
        <v>0</v>
      </c>
      <c r="V114" s="14">
        <f t="shared" si="41"/>
        <v>2.0443208312466632E-3</v>
      </c>
      <c r="W114" s="14">
        <f t="shared" si="41"/>
        <v>1.6435180064495656E-3</v>
      </c>
      <c r="X114" s="16">
        <f t="shared" si="34"/>
        <v>1.2438688369852047</v>
      </c>
    </row>
    <row r="115" spans="1:24" x14ac:dyDescent="0.25">
      <c r="A115" s="10">
        <v>45337</v>
      </c>
      <c r="B115" s="11">
        <v>12727.64</v>
      </c>
      <c r="C115" s="12">
        <f t="shared" si="29"/>
        <v>-2.0597604969770922E-3</v>
      </c>
      <c r="D115" s="11">
        <f t="shared" si="39"/>
        <v>12609.853500000001</v>
      </c>
      <c r="E115" s="11">
        <f t="shared" si="20"/>
        <v>12370.511000000006</v>
      </c>
      <c r="F115" s="11"/>
      <c r="G115" s="12">
        <f t="shared" si="30"/>
        <v>-2.0618847210593454E-3</v>
      </c>
      <c r="H115" s="19">
        <f t="shared" si="35"/>
        <v>7.1614381661885093E-2</v>
      </c>
      <c r="I115" s="11">
        <f t="shared" si="36"/>
        <v>12753.91</v>
      </c>
      <c r="J115" s="11">
        <f t="shared" si="37"/>
        <v>12442.57</v>
      </c>
      <c r="K115" s="12">
        <f>(B115-MAX($B$2:B115))/MAX($B$2:B115)</f>
        <v>-2.0597604969770397E-3</v>
      </c>
      <c r="L115" s="12">
        <f t="shared" si="38"/>
        <v>3.359077589883519E-3</v>
      </c>
      <c r="M115" s="15">
        <f t="shared" si="32"/>
        <v>57.896365590172024</v>
      </c>
      <c r="N115" s="11">
        <f t="shared" si="25"/>
        <v>12636.427039171655</v>
      </c>
      <c r="O115" s="11">
        <f t="shared" si="26"/>
        <v>12549.960071574802</v>
      </c>
      <c r="P115" s="11">
        <f t="shared" si="22"/>
        <v>86.466967596852555</v>
      </c>
      <c r="Q115" s="11">
        <f t="shared" si="27"/>
        <v>80.570735853884912</v>
      </c>
      <c r="R115" s="11">
        <f t="shared" si="23"/>
        <v>5.8962317429676432</v>
      </c>
      <c r="S115" s="9">
        <f t="shared" si="24"/>
        <v>100</v>
      </c>
      <c r="T115" s="14">
        <f t="shared" si="31"/>
        <v>0</v>
      </c>
      <c r="U115" s="14">
        <f t="shared" si="28"/>
        <v>2.0597604969770922E-3</v>
      </c>
      <c r="V115" s="14">
        <f t="shared" si="41"/>
        <v>2.0443208312466632E-3</v>
      </c>
      <c r="W115" s="14">
        <f t="shared" si="41"/>
        <v>1.4866794490087337E-3</v>
      </c>
      <c r="X115" s="16">
        <f t="shared" si="34"/>
        <v>1.3750918751246244</v>
      </c>
    </row>
    <row r="116" spans="1:24" x14ac:dyDescent="0.25">
      <c r="A116" s="10">
        <v>45338</v>
      </c>
      <c r="B116" s="11">
        <v>12871.28</v>
      </c>
      <c r="C116" s="12">
        <f t="shared" si="29"/>
        <v>1.1285674327683681E-2</v>
      </c>
      <c r="D116" s="11">
        <f t="shared" si="39"/>
        <v>12619.165999999999</v>
      </c>
      <c r="E116" s="11">
        <f t="shared" ref="E116:E179" si="42">AVERAGE(B67:B116)</f>
        <v>12392.784600000005</v>
      </c>
      <c r="F116" s="11"/>
      <c r="G116" s="12">
        <f t="shared" si="30"/>
        <v>1.1222466224629869E-2</v>
      </c>
      <c r="H116" s="19">
        <f t="shared" si="35"/>
        <v>8.1015387203275585E-2</v>
      </c>
      <c r="I116" s="11">
        <f t="shared" si="36"/>
        <v>12871.28</v>
      </c>
      <c r="J116" s="11">
        <f t="shared" si="37"/>
        <v>12442.57</v>
      </c>
      <c r="K116" s="12">
        <f>(B116-MAX($B$2:B116))/MAX($B$2:B116)</f>
        <v>0</v>
      </c>
      <c r="L116" s="12">
        <f t="shared" si="38"/>
        <v>1.1838194311786454E-2</v>
      </c>
      <c r="M116" s="15">
        <f t="shared" si="32"/>
        <v>84.813837146333427</v>
      </c>
      <c r="N116" s="11">
        <f t="shared" si="25"/>
        <v>12672.558263914476</v>
      </c>
      <c r="O116" s="11">
        <f t="shared" si="26"/>
        <v>12573.761547754446</v>
      </c>
      <c r="P116" s="11">
        <f t="shared" si="22"/>
        <v>98.796716160029973</v>
      </c>
      <c r="Q116" s="11">
        <f t="shared" si="27"/>
        <v>84.215931915113941</v>
      </c>
      <c r="R116" s="11">
        <f t="shared" si="23"/>
        <v>14.580784244916032</v>
      </c>
      <c r="S116" s="9">
        <f t="shared" si="24"/>
        <v>100</v>
      </c>
      <c r="T116" s="14">
        <f t="shared" si="31"/>
        <v>1.1285674327683681E-2</v>
      </c>
      <c r="U116" s="14">
        <f t="shared" si="28"/>
        <v>0</v>
      </c>
      <c r="V116" s="14">
        <f t="shared" si="41"/>
        <v>2.8504404260812116E-3</v>
      </c>
      <c r="W116" s="14">
        <f t="shared" si="41"/>
        <v>5.1037960280535851E-4</v>
      </c>
      <c r="X116" s="16">
        <f t="shared" si="34"/>
        <v>5.5849418950393925</v>
      </c>
    </row>
    <row r="117" spans="1:24" x14ac:dyDescent="0.25">
      <c r="A117" s="10">
        <v>45341</v>
      </c>
      <c r="B117" s="11">
        <v>12920.11</v>
      </c>
      <c r="C117" s="12">
        <f t="shared" si="29"/>
        <v>3.7937174857511913E-3</v>
      </c>
      <c r="D117" s="11">
        <f t="shared" si="39"/>
        <v>12629.136999999999</v>
      </c>
      <c r="E117" s="11">
        <f t="shared" si="42"/>
        <v>12414.646400000003</v>
      </c>
      <c r="F117" s="11"/>
      <c r="G117" s="12">
        <f t="shared" si="30"/>
        <v>3.7865394880395578E-3</v>
      </c>
      <c r="H117" s="19">
        <f t="shared" si="35"/>
        <v>8.1422163382837517E-2</v>
      </c>
      <c r="I117" s="11">
        <f t="shared" si="36"/>
        <v>12920.11</v>
      </c>
      <c r="J117" s="11">
        <f t="shared" si="37"/>
        <v>12442.57</v>
      </c>
      <c r="K117" s="12">
        <f>(B117-MAX($B$2:B117))/MAX($B$2:B117)</f>
        <v>0</v>
      </c>
      <c r="L117" s="12">
        <f t="shared" si="38"/>
        <v>1.3556596298824219E-2</v>
      </c>
      <c r="M117" s="15">
        <f t="shared" si="32"/>
        <v>87.701121740392409</v>
      </c>
      <c r="N117" s="11">
        <f t="shared" si="25"/>
        <v>12710.643146389171</v>
      </c>
      <c r="O117" s="11">
        <f t="shared" si="26"/>
        <v>12599.416988661524</v>
      </c>
      <c r="P117" s="11">
        <f t="shared" si="22"/>
        <v>111.22615772764766</v>
      </c>
      <c r="Q117" s="11">
        <f t="shared" si="27"/>
        <v>89.617977077620694</v>
      </c>
      <c r="R117" s="11">
        <f t="shared" si="23"/>
        <v>21.608180650026966</v>
      </c>
      <c r="S117" s="9">
        <f t="shared" si="24"/>
        <v>100</v>
      </c>
      <c r="T117" s="14">
        <f t="shared" si="31"/>
        <v>3.7937174857511913E-3</v>
      </c>
      <c r="U117" s="14">
        <f t="shared" si="28"/>
        <v>0</v>
      </c>
      <c r="V117" s="14">
        <f t="shared" si="41"/>
        <v>3.121420246492011E-3</v>
      </c>
      <c r="W117" s="14">
        <f t="shared" si="41"/>
        <v>4.3773633503023179E-4</v>
      </c>
      <c r="X117" s="16">
        <f t="shared" si="34"/>
        <v>7.130822818892641</v>
      </c>
    </row>
    <row r="118" spans="1:24" x14ac:dyDescent="0.25">
      <c r="A118" s="10">
        <v>45342</v>
      </c>
      <c r="B118" s="11">
        <v>12885.93</v>
      </c>
      <c r="C118" s="12">
        <f t="shared" si="29"/>
        <v>-2.6454883124060746E-3</v>
      </c>
      <c r="D118" s="11">
        <f t="shared" si="39"/>
        <v>12636.068499999999</v>
      </c>
      <c r="E118" s="11">
        <f t="shared" si="42"/>
        <v>12434.658600000006</v>
      </c>
      <c r="F118" s="11"/>
      <c r="G118" s="12">
        <f t="shared" si="30"/>
        <v>-2.6489938004616341E-3</v>
      </c>
      <c r="H118" s="19">
        <f t="shared" si="35"/>
        <v>8.2143741391153935E-2</v>
      </c>
      <c r="I118" s="11">
        <f t="shared" si="36"/>
        <v>12920.11</v>
      </c>
      <c r="J118" s="11">
        <f t="shared" si="37"/>
        <v>12442.57</v>
      </c>
      <c r="K118" s="12">
        <f>(B118-MAX($B$2:B118))/MAX($B$2:B118)</f>
        <v>-2.6454883124060313E-3</v>
      </c>
      <c r="L118" s="12">
        <f t="shared" si="38"/>
        <v>1.4089195633868234E-2</v>
      </c>
      <c r="M118" s="15">
        <f t="shared" si="32"/>
        <v>82.756558449120661</v>
      </c>
      <c r="N118" s="11">
        <f t="shared" si="25"/>
        <v>12737.61035463699</v>
      </c>
      <c r="O118" s="11">
        <f t="shared" si="26"/>
        <v>12620.640174686596</v>
      </c>
      <c r="P118" s="11">
        <f t="shared" si="22"/>
        <v>116.97017995039459</v>
      </c>
      <c r="Q118" s="11">
        <f t="shared" si="27"/>
        <v>95.08841765217548</v>
      </c>
      <c r="R118" s="11">
        <f t="shared" si="23"/>
        <v>21.881762298219115</v>
      </c>
      <c r="S118" s="9">
        <f t="shared" si="24"/>
        <v>100</v>
      </c>
      <c r="T118" s="14">
        <f t="shared" si="31"/>
        <v>0</v>
      </c>
      <c r="U118" s="14">
        <f t="shared" si="28"/>
        <v>2.6454883124060746E-3</v>
      </c>
      <c r="V118" s="14">
        <f t="shared" si="41"/>
        <v>3.007724259116678E-3</v>
      </c>
      <c r="W118" s="14">
        <f t="shared" si="41"/>
        <v>6.2669978591638003E-4</v>
      </c>
      <c r="X118" s="16">
        <f t="shared" si="34"/>
        <v>4.7993063452521998</v>
      </c>
    </row>
    <row r="119" spans="1:24" x14ac:dyDescent="0.25">
      <c r="A119" s="10">
        <v>45343</v>
      </c>
      <c r="B119" s="11">
        <v>12961.44</v>
      </c>
      <c r="C119" s="12">
        <f t="shared" si="29"/>
        <v>5.8598797292861438E-3</v>
      </c>
      <c r="D119" s="11">
        <f t="shared" si="39"/>
        <v>12648.795500000002</v>
      </c>
      <c r="E119" s="11">
        <f t="shared" si="42"/>
        <v>12454.840000000002</v>
      </c>
      <c r="F119" s="11"/>
      <c r="G119" s="12">
        <f t="shared" si="30"/>
        <v>5.8427774132180097E-3</v>
      </c>
      <c r="H119" s="19">
        <f t="shared" si="35"/>
        <v>8.2966541650414172E-2</v>
      </c>
      <c r="I119" s="11">
        <f t="shared" si="36"/>
        <v>12961.44</v>
      </c>
      <c r="J119" s="11">
        <f t="shared" si="37"/>
        <v>12442.57</v>
      </c>
      <c r="K119" s="12">
        <f>(B119-MAX($B$2:B119))/MAX($B$2:B119)</f>
        <v>0</v>
      </c>
      <c r="L119" s="12">
        <f t="shared" si="38"/>
        <v>2.1812001173061146E-2</v>
      </c>
      <c r="M119" s="15">
        <f t="shared" si="32"/>
        <v>84.118807706968582</v>
      </c>
      <c r="N119" s="11">
        <f t="shared" si="25"/>
        <v>12772.045684692839</v>
      </c>
      <c r="O119" s="11">
        <f t="shared" si="26"/>
        <v>12645.884606191292</v>
      </c>
      <c r="P119" s="11">
        <f t="shared" si="22"/>
        <v>126.16107850154731</v>
      </c>
      <c r="Q119" s="11">
        <f t="shared" si="27"/>
        <v>101.30294982204985</v>
      </c>
      <c r="R119" s="11">
        <f t="shared" si="23"/>
        <v>24.858128679497455</v>
      </c>
      <c r="S119" s="9">
        <f t="shared" si="24"/>
        <v>100</v>
      </c>
      <c r="T119" s="14">
        <f t="shared" si="31"/>
        <v>5.8598797292861438E-3</v>
      </c>
      <c r="U119" s="14">
        <f t="shared" si="28"/>
        <v>0</v>
      </c>
      <c r="V119" s="14">
        <f t="shared" si="41"/>
        <v>3.3194761330753719E-3</v>
      </c>
      <c r="W119" s="14">
        <f t="shared" si="41"/>
        <v>6.2669978591638003E-4</v>
      </c>
      <c r="X119" s="16">
        <f t="shared" si="34"/>
        <v>5.2967564496954953</v>
      </c>
    </row>
    <row r="120" spans="1:24" x14ac:dyDescent="0.25">
      <c r="A120" s="10">
        <v>45344</v>
      </c>
      <c r="B120" s="11">
        <v>12986.77</v>
      </c>
      <c r="C120" s="12">
        <f t="shared" si="29"/>
        <v>1.9542581688454241E-3</v>
      </c>
      <c r="D120" s="11">
        <f t="shared" si="39"/>
        <v>12663.896000000001</v>
      </c>
      <c r="E120" s="11">
        <f t="shared" si="42"/>
        <v>12474.669600000001</v>
      </c>
      <c r="F120" s="11"/>
      <c r="G120" s="12">
        <f t="shared" si="30"/>
        <v>1.9523510905615075E-3</v>
      </c>
      <c r="H120" s="19">
        <f t="shared" si="35"/>
        <v>8.238552696164686E-2</v>
      </c>
      <c r="I120" s="11">
        <f t="shared" si="36"/>
        <v>12986.77</v>
      </c>
      <c r="J120" s="11">
        <f t="shared" si="37"/>
        <v>12442.57</v>
      </c>
      <c r="K120" s="12">
        <f>(B120-MAX($B$2:B120))/MAX($B$2:B120)</f>
        <v>0</v>
      </c>
      <c r="L120" s="12">
        <f t="shared" si="38"/>
        <v>2.8184324325180254E-2</v>
      </c>
      <c r="M120" s="15">
        <f t="shared" si="32"/>
        <v>84.455017626724143</v>
      </c>
      <c r="N120" s="11">
        <f t="shared" si="25"/>
        <v>12805.080194740094</v>
      </c>
      <c r="O120" s="11">
        <f t="shared" si="26"/>
        <v>12671.135376103048</v>
      </c>
      <c r="P120" s="11">
        <f t="shared" si="22"/>
        <v>133.94481863704641</v>
      </c>
      <c r="Q120" s="11">
        <f t="shared" si="27"/>
        <v>107.83132358504918</v>
      </c>
      <c r="R120" s="11">
        <f t="shared" si="23"/>
        <v>26.113495051997234</v>
      </c>
      <c r="S120" s="9">
        <f t="shared" si="24"/>
        <v>100</v>
      </c>
      <c r="T120" s="14">
        <f t="shared" si="31"/>
        <v>1.9542581688454241E-3</v>
      </c>
      <c r="U120" s="14">
        <f t="shared" si="28"/>
        <v>0</v>
      </c>
      <c r="V120" s="14">
        <f t="shared" si="41"/>
        <v>3.4048247978217816E-3</v>
      </c>
      <c r="W120" s="14">
        <f t="shared" si="41"/>
        <v>6.2669978591638003E-4</v>
      </c>
      <c r="X120" s="16">
        <f t="shared" si="34"/>
        <v>5.4329439299921578</v>
      </c>
    </row>
    <row r="121" spans="1:24" x14ac:dyDescent="0.25">
      <c r="A121" s="10">
        <v>45345</v>
      </c>
      <c r="B121" s="11">
        <v>13083.17</v>
      </c>
      <c r="C121" s="12">
        <f t="shared" si="29"/>
        <v>7.4229388831865695E-3</v>
      </c>
      <c r="D121" s="11">
        <f t="shared" si="39"/>
        <v>12686.5155</v>
      </c>
      <c r="E121" s="11">
        <f t="shared" si="42"/>
        <v>12494.032600000004</v>
      </c>
      <c r="F121" s="11"/>
      <c r="G121" s="12">
        <f t="shared" si="30"/>
        <v>7.3955244525289905E-3</v>
      </c>
      <c r="H121" s="19">
        <f t="shared" si="35"/>
        <v>8.2568300216145571E-2</v>
      </c>
      <c r="I121" s="11">
        <f t="shared" si="36"/>
        <v>13083.17</v>
      </c>
      <c r="J121" s="11">
        <f t="shared" si="37"/>
        <v>12442.57</v>
      </c>
      <c r="K121" s="12">
        <f>(B121-MAX($B$2:B121))/MAX($B$2:B121)</f>
        <v>0</v>
      </c>
      <c r="L121" s="12">
        <f t="shared" si="38"/>
        <v>5.0170410671255938E-2</v>
      </c>
      <c r="M121" s="15">
        <f t="shared" si="32"/>
        <v>92.131129719809735</v>
      </c>
      <c r="N121" s="11">
        <f t="shared" si="25"/>
        <v>12847.863241703157</v>
      </c>
      <c r="O121" s="11">
        <f t="shared" si="26"/>
        <v>12701.656459354675</v>
      </c>
      <c r="P121" s="11">
        <f t="shared" si="22"/>
        <v>146.20678234848128</v>
      </c>
      <c r="Q121" s="11">
        <f t="shared" si="27"/>
        <v>115.5064153377356</v>
      </c>
      <c r="R121" s="11">
        <f t="shared" si="23"/>
        <v>30.70036701074568</v>
      </c>
      <c r="S121" s="9">
        <f t="shared" si="24"/>
        <v>100</v>
      </c>
      <c r="T121" s="14">
        <f t="shared" si="31"/>
        <v>7.4229388831865695E-3</v>
      </c>
      <c r="U121" s="14">
        <f t="shared" si="28"/>
        <v>0</v>
      </c>
      <c r="V121" s="14">
        <f t="shared" si="41"/>
        <v>3.9350347180493938E-3</v>
      </c>
      <c r="W121" s="14">
        <f t="shared" si="41"/>
        <v>3.3608920067022618E-4</v>
      </c>
      <c r="X121" s="16">
        <f t="shared" si="34"/>
        <v>11.708304551893312</v>
      </c>
    </row>
    <row r="122" spans="1:24" x14ac:dyDescent="0.25">
      <c r="A122" s="10">
        <v>45348</v>
      </c>
      <c r="B122" s="11">
        <v>13117.08</v>
      </c>
      <c r="C122" s="12">
        <f t="shared" si="29"/>
        <v>2.5918794909796095E-3</v>
      </c>
      <c r="D122" s="11">
        <f t="shared" si="39"/>
        <v>12719.462500000001</v>
      </c>
      <c r="E122" s="11">
        <f t="shared" si="42"/>
        <v>12513.690400000003</v>
      </c>
      <c r="F122" s="11"/>
      <c r="G122" s="12">
        <f t="shared" si="30"/>
        <v>2.5885263640160294E-3</v>
      </c>
      <c r="H122" s="19">
        <f t="shared" si="35"/>
        <v>5.8769289410957111E-2</v>
      </c>
      <c r="I122" s="11">
        <f t="shared" si="36"/>
        <v>13117.08</v>
      </c>
      <c r="J122" s="11">
        <f t="shared" si="37"/>
        <v>12442.57</v>
      </c>
      <c r="K122" s="12">
        <f>(B122-MAX($B$2:B122))/MAX($B$2:B122)</f>
        <v>0</v>
      </c>
      <c r="L122" s="12">
        <f t="shared" si="38"/>
        <v>5.3964213484906542E-2</v>
      </c>
      <c r="M122" s="15">
        <f t="shared" si="32"/>
        <v>91.510144300813081</v>
      </c>
      <c r="N122" s="11">
        <f t="shared" si="25"/>
        <v>12889.281204518056</v>
      </c>
      <c r="O122" s="11">
        <f t="shared" si="26"/>
        <v>12732.428573476551</v>
      </c>
      <c r="P122" s="11">
        <f t="shared" si="22"/>
        <v>156.85263104150545</v>
      </c>
      <c r="Q122" s="11">
        <f t="shared" si="27"/>
        <v>123.77565847848958</v>
      </c>
      <c r="R122" s="11">
        <f t="shared" si="23"/>
        <v>33.076972563015872</v>
      </c>
      <c r="S122" s="9">
        <f t="shared" si="24"/>
        <v>100</v>
      </c>
      <c r="T122" s="14">
        <f t="shared" si="31"/>
        <v>2.5918794909796095E-3</v>
      </c>
      <c r="U122" s="14">
        <f t="shared" si="28"/>
        <v>0</v>
      </c>
      <c r="V122" s="14">
        <f t="shared" si="41"/>
        <v>3.6226259127375743E-3</v>
      </c>
      <c r="W122" s="14">
        <f t="shared" si="41"/>
        <v>3.3608920067022618E-4</v>
      </c>
      <c r="X122" s="16">
        <f t="shared" si="34"/>
        <v>10.778763213793734</v>
      </c>
    </row>
    <row r="123" spans="1:24" x14ac:dyDescent="0.25">
      <c r="A123" s="10">
        <v>45349</v>
      </c>
      <c r="B123" s="11">
        <v>13098.8</v>
      </c>
      <c r="C123" s="12">
        <f t="shared" si="29"/>
        <v>-1.3936028445356019E-3</v>
      </c>
      <c r="D123" s="11">
        <f t="shared" si="39"/>
        <v>12752.128999999999</v>
      </c>
      <c r="E123" s="11">
        <f t="shared" si="42"/>
        <v>12533.139600000004</v>
      </c>
      <c r="F123" s="11"/>
      <c r="G123" s="12">
        <f t="shared" si="30"/>
        <v>-1.3945748121092171E-3</v>
      </c>
      <c r="H123" s="19">
        <f t="shared" si="35"/>
        <v>5.908953242550468E-2</v>
      </c>
      <c r="I123" s="11">
        <f t="shared" si="36"/>
        <v>13117.08</v>
      </c>
      <c r="J123" s="11">
        <f t="shared" si="37"/>
        <v>12442.57</v>
      </c>
      <c r="K123" s="12">
        <f>(B123-MAX($B$2:B123))/MAX($B$2:B123)</f>
        <v>-1.3936028445355715E-3</v>
      </c>
      <c r="L123" s="12">
        <f t="shared" si="38"/>
        <v>5.0822765312933171E-2</v>
      </c>
      <c r="M123" s="15">
        <f t="shared" si="32"/>
        <v>88.945640362641498</v>
      </c>
      <c r="N123" s="11">
        <f t="shared" si="25"/>
        <v>12921.514865361432</v>
      </c>
      <c r="O123" s="11">
        <f t="shared" si="26"/>
        <v>12759.567197663473</v>
      </c>
      <c r="P123" s="11">
        <f t="shared" si="22"/>
        <v>161.94766769795933</v>
      </c>
      <c r="Q123" s="11">
        <f t="shared" si="27"/>
        <v>131.41006032238352</v>
      </c>
      <c r="R123" s="11">
        <f t="shared" si="23"/>
        <v>30.537607375575817</v>
      </c>
      <c r="S123" s="9">
        <f t="shared" si="24"/>
        <v>100</v>
      </c>
      <c r="T123" s="14">
        <f t="shared" si="31"/>
        <v>0</v>
      </c>
      <c r="U123" s="14">
        <f t="shared" si="28"/>
        <v>1.3936028445356019E-3</v>
      </c>
      <c r="V123" s="14">
        <f t="shared" si="41"/>
        <v>3.5051863416679335E-3</v>
      </c>
      <c r="W123" s="14">
        <f t="shared" si="41"/>
        <v>4.3563226099419775E-4</v>
      </c>
      <c r="X123" s="16">
        <f t="shared" si="34"/>
        <v>8.0462046903239326</v>
      </c>
    </row>
    <row r="124" spans="1:24" x14ac:dyDescent="0.25">
      <c r="A124" s="10">
        <v>45350</v>
      </c>
      <c r="B124" s="11">
        <v>13134.04</v>
      </c>
      <c r="C124" s="12">
        <f t="shared" si="29"/>
        <v>2.6903227776591265E-3</v>
      </c>
      <c r="D124" s="11">
        <f t="shared" si="39"/>
        <v>12785.566999999999</v>
      </c>
      <c r="E124" s="11">
        <f t="shared" si="42"/>
        <v>12552.388600000006</v>
      </c>
      <c r="F124" s="11"/>
      <c r="G124" s="12">
        <f t="shared" si="30"/>
        <v>2.6867103369722835E-3</v>
      </c>
      <c r="H124" s="19">
        <f t="shared" si="35"/>
        <v>5.8979439736471816E-2</v>
      </c>
      <c r="I124" s="11">
        <f t="shared" si="36"/>
        <v>13134.04</v>
      </c>
      <c r="J124" s="11">
        <f t="shared" si="37"/>
        <v>12442.57</v>
      </c>
      <c r="K124" s="12">
        <f>(B124-MAX($B$2:B124))/MAX($B$2:B124)</f>
        <v>0</v>
      </c>
      <c r="L124" s="12">
        <f t="shared" si="38"/>
        <v>5.207659132708331E-2</v>
      </c>
      <c r="M124" s="15">
        <f t="shared" si="32"/>
        <v>88.226597179506101</v>
      </c>
      <c r="N124" s="11">
        <f t="shared" si="25"/>
        <v>12954.211039921212</v>
      </c>
      <c r="O124" s="11">
        <f t="shared" si="26"/>
        <v>12787.305923762475</v>
      </c>
      <c r="P124" s="11">
        <f t="shared" si="22"/>
        <v>166.90511615873766</v>
      </c>
      <c r="Q124" s="11">
        <f t="shared" si="27"/>
        <v>138.50907148965433</v>
      </c>
      <c r="R124" s="11">
        <f t="shared" si="23"/>
        <v>28.396044669083324</v>
      </c>
      <c r="S124" s="9">
        <f t="shared" si="24"/>
        <v>100</v>
      </c>
      <c r="T124" s="14">
        <f t="shared" si="31"/>
        <v>2.6903227776591265E-3</v>
      </c>
      <c r="U124" s="14">
        <f t="shared" si="28"/>
        <v>0</v>
      </c>
      <c r="V124" s="14">
        <f t="shared" si="41"/>
        <v>3.2645066677095308E-3</v>
      </c>
      <c r="W124" s="14">
        <f t="shared" si="41"/>
        <v>4.3563226099419775E-4</v>
      </c>
      <c r="X124" s="16">
        <f t="shared" si="34"/>
        <v>7.4937211038027582</v>
      </c>
    </row>
    <row r="125" spans="1:24" x14ac:dyDescent="0.25">
      <c r="A125" s="10">
        <v>45351</v>
      </c>
      <c r="B125" s="11">
        <v>13031.16</v>
      </c>
      <c r="C125" s="12">
        <f t="shared" si="29"/>
        <v>-7.8330810626433545E-3</v>
      </c>
      <c r="D125" s="11">
        <f t="shared" si="39"/>
        <v>12812.929</v>
      </c>
      <c r="E125" s="11">
        <f t="shared" si="42"/>
        <v>12568.782600000004</v>
      </c>
      <c r="F125" s="11"/>
      <c r="G125" s="12">
        <f t="shared" si="30"/>
        <v>-7.8639207944220645E-3</v>
      </c>
      <c r="H125" s="19">
        <f t="shared" si="35"/>
        <v>6.9711846644504846E-2</v>
      </c>
      <c r="I125" s="11">
        <f t="shared" si="36"/>
        <v>13134.04</v>
      </c>
      <c r="J125" s="11">
        <f t="shared" si="37"/>
        <v>12442.57</v>
      </c>
      <c r="K125" s="12">
        <f>(B125-MAX($B$2:B125))/MAX($B$2:B125)</f>
        <v>-7.8330810626434065E-3</v>
      </c>
      <c r="L125" s="12">
        <f t="shared" si="38"/>
        <v>4.3043526982246672E-2</v>
      </c>
      <c r="M125" s="15">
        <f t="shared" si="32"/>
        <v>75.535901859630798</v>
      </c>
      <c r="N125" s="11">
        <f t="shared" si="25"/>
        <v>12966.049341471797</v>
      </c>
      <c r="O125" s="11">
        <f t="shared" si="26"/>
        <v>12805.369188668958</v>
      </c>
      <c r="P125" s="11">
        <f t="shared" si="22"/>
        <v>160.68015280283907</v>
      </c>
      <c r="Q125" s="11">
        <f t="shared" si="27"/>
        <v>142.94328775229127</v>
      </c>
      <c r="R125" s="11">
        <f t="shared" si="23"/>
        <v>17.736865050547806</v>
      </c>
      <c r="S125" s="9">
        <f t="shared" si="24"/>
        <v>100</v>
      </c>
      <c r="T125" s="14">
        <f t="shared" si="31"/>
        <v>0</v>
      </c>
      <c r="U125" s="14">
        <f t="shared" si="28"/>
        <v>7.8330810626433545E-3</v>
      </c>
      <c r="V125" s="14">
        <f t="shared" si="41"/>
        <v>3.0726107187620017E-3</v>
      </c>
      <c r="W125" s="14">
        <f t="shared" si="41"/>
        <v>9.951380511830088E-4</v>
      </c>
      <c r="X125" s="16">
        <f t="shared" si="34"/>
        <v>3.0876225817205132</v>
      </c>
    </row>
    <row r="126" spans="1:24" x14ac:dyDescent="0.25">
      <c r="A126" s="10">
        <v>45352</v>
      </c>
      <c r="B126" s="11">
        <v>13010.62</v>
      </c>
      <c r="C126" s="12">
        <f t="shared" si="29"/>
        <v>-1.5762219173119929E-3</v>
      </c>
      <c r="D126" s="11">
        <f t="shared" si="39"/>
        <v>12838.789999999997</v>
      </c>
      <c r="E126" s="11">
        <f t="shared" si="42"/>
        <v>12584.074800000004</v>
      </c>
      <c r="F126" s="11"/>
      <c r="G126" s="12">
        <f t="shared" si="30"/>
        <v>-1.5774654619849992E-3</v>
      </c>
      <c r="H126" s="19">
        <f t="shared" si="35"/>
        <v>7.0812684505769316E-2</v>
      </c>
      <c r="I126" s="11">
        <f t="shared" si="36"/>
        <v>13134.04</v>
      </c>
      <c r="J126" s="11">
        <f t="shared" si="37"/>
        <v>12442.57</v>
      </c>
      <c r="K126" s="12">
        <f>(B126-MAX($B$2:B126))/MAX($B$2:B126)</f>
        <v>-9.3969563059043571E-3</v>
      </c>
      <c r="L126" s="12">
        <f t="shared" si="38"/>
        <v>4.5653751596334224E-2</v>
      </c>
      <c r="M126" s="15">
        <f t="shared" si="32"/>
        <v>72.444934915616059</v>
      </c>
      <c r="N126" s="11">
        <f t="shared" si="25"/>
        <v>12972.906365860752</v>
      </c>
      <c r="O126" s="11">
        <f t="shared" si="26"/>
        <v>12820.572952471257</v>
      </c>
      <c r="P126" s="11">
        <f t="shared" si="22"/>
        <v>152.33341338949504</v>
      </c>
      <c r="Q126" s="11">
        <f t="shared" si="27"/>
        <v>144.82131287973203</v>
      </c>
      <c r="R126" s="11">
        <f t="shared" si="23"/>
        <v>7.5121005097630018</v>
      </c>
      <c r="S126" s="9">
        <f t="shared" si="24"/>
        <v>100</v>
      </c>
      <c r="T126" s="14">
        <f t="shared" si="31"/>
        <v>0</v>
      </c>
      <c r="U126" s="14">
        <f t="shared" si="28"/>
        <v>1.5762219173119929E-3</v>
      </c>
      <c r="V126" s="14">
        <f t="shared" si="41"/>
        <v>2.912317182422543E-3</v>
      </c>
      <c r="W126" s="14">
        <f t="shared" si="41"/>
        <v>1.1077253309910082E-3</v>
      </c>
      <c r="X126" s="16">
        <f t="shared" si="34"/>
        <v>2.6290968536551262</v>
      </c>
    </row>
    <row r="127" spans="1:24" x14ac:dyDescent="0.25">
      <c r="A127" s="10">
        <v>45355</v>
      </c>
      <c r="B127" s="11">
        <v>13001.7</v>
      </c>
      <c r="C127" s="12">
        <f t="shared" si="29"/>
        <v>-6.8559376878274403E-4</v>
      </c>
      <c r="D127" s="11">
        <f t="shared" si="39"/>
        <v>12866.746499999999</v>
      </c>
      <c r="E127" s="11">
        <f t="shared" si="42"/>
        <v>12600.452400000002</v>
      </c>
      <c r="F127" s="11"/>
      <c r="G127" s="12">
        <f t="shared" si="30"/>
        <v>-6.858288956644664E-4</v>
      </c>
      <c r="H127" s="19">
        <f t="shared" si="35"/>
        <v>6.7898164910130079E-2</v>
      </c>
      <c r="I127" s="11">
        <f t="shared" si="36"/>
        <v>13134.04</v>
      </c>
      <c r="J127" s="11">
        <f t="shared" si="37"/>
        <v>12529.24</v>
      </c>
      <c r="K127" s="12">
        <f>(B127-MAX($B$2:B127))/MAX($B$2:B127)</f>
        <v>-1.0076107579998245E-2</v>
      </c>
      <c r="L127" s="12">
        <f t="shared" si="38"/>
        <v>3.7708592061449941E-2</v>
      </c>
      <c r="M127" s="15">
        <f t="shared" si="32"/>
        <v>71.171819242432832</v>
      </c>
      <c r="N127" s="11">
        <f t="shared" si="25"/>
        <v>12977.336155728328</v>
      </c>
      <c r="O127" s="11">
        <f t="shared" si="26"/>
        <v>12833.98977080672</v>
      </c>
      <c r="P127" s="11">
        <f t="shared" si="22"/>
        <v>143.34638492160775</v>
      </c>
      <c r="Q127" s="11">
        <f t="shared" si="27"/>
        <v>144.52632728810718</v>
      </c>
      <c r="R127" s="11">
        <f t="shared" si="23"/>
        <v>-1.1799423664994322</v>
      </c>
      <c r="S127" s="9">
        <f t="shared" si="24"/>
        <v>60</v>
      </c>
      <c r="T127" s="14">
        <f t="shared" si="31"/>
        <v>0</v>
      </c>
      <c r="U127" s="14">
        <f t="shared" si="28"/>
        <v>6.8559376878274403E-4</v>
      </c>
      <c r="V127" s="14">
        <f t="shared" si="41"/>
        <v>2.8556842245630915E-3</v>
      </c>
      <c r="W127" s="14">
        <f t="shared" si="41"/>
        <v>1.1566963144754899E-3</v>
      </c>
      <c r="X127" s="16">
        <f t="shared" si="34"/>
        <v>2.4688279791554595</v>
      </c>
    </row>
    <row r="128" spans="1:24" x14ac:dyDescent="0.25">
      <c r="A128" s="10">
        <v>45356</v>
      </c>
      <c r="B128" s="11">
        <v>13002.44</v>
      </c>
      <c r="C128" s="12">
        <f t="shared" si="29"/>
        <v>5.6915634109477864E-5</v>
      </c>
      <c r="D128" s="11">
        <f t="shared" si="39"/>
        <v>12890.406500000001</v>
      </c>
      <c r="E128" s="11">
        <f t="shared" si="42"/>
        <v>12616.859200000001</v>
      </c>
      <c r="F128" s="11"/>
      <c r="G128" s="12">
        <f t="shared" si="30"/>
        <v>5.6914014476229498E-5</v>
      </c>
      <c r="H128" s="19">
        <f t="shared" si="35"/>
        <v>6.588681633602711E-2</v>
      </c>
      <c r="I128" s="11">
        <f t="shared" si="36"/>
        <v>13134.04</v>
      </c>
      <c r="J128" s="11">
        <f t="shared" si="37"/>
        <v>12549.84</v>
      </c>
      <c r="K128" s="12">
        <f>(B128-MAX($B$2:B128))/MAX($B$2:B128)</f>
        <v>-1.0019765433941145E-2</v>
      </c>
      <c r="L128" s="12">
        <f t="shared" si="38"/>
        <v>3.6064204802610966E-2</v>
      </c>
      <c r="M128" s="15">
        <f t="shared" si="32"/>
        <v>68.767683454686932</v>
      </c>
      <c r="N128" s="11">
        <f t="shared" si="25"/>
        <v>12981.198285616278</v>
      </c>
      <c r="O128" s="11">
        <f t="shared" si="26"/>
        <v>12846.467565561778</v>
      </c>
      <c r="P128" s="11">
        <f t="shared" si="22"/>
        <v>134.73072005450013</v>
      </c>
      <c r="Q128" s="11">
        <f t="shared" si="27"/>
        <v>142.56720584138577</v>
      </c>
      <c r="R128" s="11">
        <f t="shared" si="23"/>
        <v>-7.8364857868856461</v>
      </c>
      <c r="S128" s="9">
        <f t="shared" si="24"/>
        <v>60</v>
      </c>
      <c r="T128" s="14">
        <f t="shared" si="31"/>
        <v>5.6915634109477864E-5</v>
      </c>
      <c r="U128" s="14">
        <f t="shared" si="28"/>
        <v>0</v>
      </c>
      <c r="V128" s="14">
        <f t="shared" ref="V128:W143" si="43">AVERAGE(T115:T128)</f>
        <v>2.5468276069643731E-3</v>
      </c>
      <c r="W128" s="14">
        <f t="shared" si="43"/>
        <v>1.1566963144754899E-3</v>
      </c>
      <c r="X128" s="16">
        <f t="shared" si="34"/>
        <v>2.2018118110104341</v>
      </c>
    </row>
    <row r="129" spans="1:24" x14ac:dyDescent="0.25">
      <c r="A129" s="10">
        <v>45357</v>
      </c>
      <c r="B129" s="11">
        <v>12935.98</v>
      </c>
      <c r="C129" s="12">
        <f t="shared" si="29"/>
        <v>-5.11134833154403E-3</v>
      </c>
      <c r="D129" s="11">
        <f t="shared" si="39"/>
        <v>12909.713500000002</v>
      </c>
      <c r="E129" s="11">
        <f t="shared" si="42"/>
        <v>12632.635000000002</v>
      </c>
      <c r="F129" s="11"/>
      <c r="G129" s="12">
        <f t="shared" si="30"/>
        <v>-5.1244559565957826E-3</v>
      </c>
      <c r="H129" s="19">
        <f t="shared" si="35"/>
        <v>7.0398431142123533E-2</v>
      </c>
      <c r="I129" s="11">
        <f t="shared" si="36"/>
        <v>13134.04</v>
      </c>
      <c r="J129" s="11">
        <f t="shared" si="37"/>
        <v>12625.89</v>
      </c>
      <c r="K129" s="12">
        <f>(B129-MAX($B$2:B129))/MAX($B$2:B129)</f>
        <v>-1.5079899254151905E-2</v>
      </c>
      <c r="L129" s="12">
        <f t="shared" si="38"/>
        <v>2.4559852810376093E-2</v>
      </c>
      <c r="M129" s="15">
        <f t="shared" si="32"/>
        <v>64.94533192053062</v>
      </c>
      <c r="N129" s="11">
        <f t="shared" si="25"/>
        <v>12974.241626290697</v>
      </c>
      <c r="O129" s="11">
        <f t="shared" si="26"/>
        <v>12853.098116260904</v>
      </c>
      <c r="P129" s="11">
        <f t="shared" si="22"/>
        <v>121.14351002979311</v>
      </c>
      <c r="Q129" s="11">
        <f t="shared" si="27"/>
        <v>138.28246667906723</v>
      </c>
      <c r="R129" s="11">
        <f t="shared" si="23"/>
        <v>-17.138956649274121</v>
      </c>
      <c r="S129" s="9">
        <f t="shared" si="24"/>
        <v>60</v>
      </c>
      <c r="T129" s="14">
        <f t="shared" si="31"/>
        <v>0</v>
      </c>
      <c r="U129" s="14">
        <f t="shared" si="28"/>
        <v>5.11134833154403E-3</v>
      </c>
      <c r="V129" s="14">
        <f t="shared" si="43"/>
        <v>2.5468276069643731E-3</v>
      </c>
      <c r="W129" s="14">
        <f t="shared" si="43"/>
        <v>1.3746668740874141E-3</v>
      </c>
      <c r="X129" s="16">
        <f t="shared" si="34"/>
        <v>1.8526871164005529</v>
      </c>
    </row>
    <row r="130" spans="1:24" x14ac:dyDescent="0.25">
      <c r="A130" s="10">
        <v>45358</v>
      </c>
      <c r="B130" s="11">
        <v>12875.49</v>
      </c>
      <c r="C130" s="12">
        <f t="shared" si="29"/>
        <v>-4.676104941411463E-3</v>
      </c>
      <c r="D130" s="11">
        <f t="shared" si="39"/>
        <v>12922.193499999999</v>
      </c>
      <c r="E130" s="11">
        <f t="shared" si="42"/>
        <v>12648.438600000001</v>
      </c>
      <c r="F130" s="11"/>
      <c r="G130" s="12">
        <f t="shared" si="30"/>
        <v>-4.6870721226057819E-3</v>
      </c>
      <c r="H130" s="19">
        <f t="shared" si="35"/>
        <v>7.1540846160815852E-2</v>
      </c>
      <c r="I130" s="11">
        <f t="shared" si="36"/>
        <v>13134.04</v>
      </c>
      <c r="J130" s="11">
        <f t="shared" si="37"/>
        <v>12659.81</v>
      </c>
      <c r="K130" s="12">
        <f>(B130-MAX($B$2:B130))/MAX($B$2:B130)</f>
        <v>-1.9685489004145035E-2</v>
      </c>
      <c r="L130" s="12">
        <f t="shared" si="38"/>
        <v>1.7036590596541279E-2</v>
      </c>
      <c r="M130" s="15">
        <f t="shared" si="32"/>
        <v>50.46433881024857</v>
      </c>
      <c r="N130" s="11">
        <f t="shared" si="25"/>
        <v>12959.049068399821</v>
      </c>
      <c r="O130" s="11">
        <f t="shared" si="26"/>
        <v>12854.756774315652</v>
      </c>
      <c r="P130" s="11">
        <f t="shared" ref="P130:P193" si="44">N130-O130</f>
        <v>104.29229408416904</v>
      </c>
      <c r="Q130" s="11">
        <f t="shared" si="27"/>
        <v>131.48443216008761</v>
      </c>
      <c r="R130" s="11">
        <f t="shared" ref="R130:R193" si="45">P130-Q130</f>
        <v>-27.192138075918564</v>
      </c>
      <c r="S130" s="9">
        <f t="shared" ref="S130:S193" si="46">IF(AND(D130&gt;E130,P130&gt;Q130),100,IF(OR(D130&gt;E130,P130&gt;Q130),60,20))</f>
        <v>60</v>
      </c>
      <c r="T130" s="14">
        <f t="shared" si="31"/>
        <v>0</v>
      </c>
      <c r="U130" s="14">
        <f t="shared" si="28"/>
        <v>4.676104941411463E-3</v>
      </c>
      <c r="V130" s="14">
        <f t="shared" si="43"/>
        <v>1.7407080121298244E-3</v>
      </c>
      <c r="W130" s="14">
        <f t="shared" si="43"/>
        <v>1.7086743699025186E-3</v>
      </c>
      <c r="X130" s="16">
        <f t="shared" si="34"/>
        <v>1.0187476577114769</v>
      </c>
    </row>
    <row r="131" spans="1:24" x14ac:dyDescent="0.25">
      <c r="A131" s="10">
        <v>45359</v>
      </c>
      <c r="B131" s="11">
        <v>12907.46</v>
      </c>
      <c r="C131" s="12">
        <f t="shared" si="29"/>
        <v>2.4830122970076474E-3</v>
      </c>
      <c r="D131" s="11">
        <f t="shared" si="39"/>
        <v>12934.575999999999</v>
      </c>
      <c r="E131" s="11">
        <f t="shared" si="42"/>
        <v>12664.508599999999</v>
      </c>
      <c r="F131" s="11"/>
      <c r="G131" s="12">
        <f t="shared" si="30"/>
        <v>2.4799347153700649E-3</v>
      </c>
      <c r="H131" s="19">
        <f t="shared" si="35"/>
        <v>7.148031289402984E-2</v>
      </c>
      <c r="I131" s="11">
        <f t="shared" si="36"/>
        <v>13134.04</v>
      </c>
      <c r="J131" s="11">
        <f t="shared" si="37"/>
        <v>12688.22</v>
      </c>
      <c r="K131" s="12">
        <f>(B131-MAX($B$2:B131))/MAX($B$2:B131)</f>
        <v>-1.7251356018407264E-2</v>
      </c>
      <c r="L131" s="12">
        <f t="shared" si="38"/>
        <v>1.7279019436926557E-2</v>
      </c>
      <c r="M131" s="15">
        <f t="shared" si="32"/>
        <v>49.082351743392167</v>
      </c>
      <c r="N131" s="11">
        <f t="shared" ref="N131:N194" si="47">(B131*(2/13))+N130*(1-2/13)</f>
        <v>12951.112288646002</v>
      </c>
      <c r="O131" s="11">
        <f t="shared" ref="O131:O194" si="48">(B131*(2/27))+O130*(1-2/27)</f>
        <v>12858.660716958939</v>
      </c>
      <c r="P131" s="11">
        <f t="shared" si="44"/>
        <v>92.451571687062824</v>
      </c>
      <c r="Q131" s="11">
        <f t="shared" ref="Q131:Q194" si="49">(P131*(2/10))+Q130*(1-2/10)</f>
        <v>123.67786006548266</v>
      </c>
      <c r="R131" s="11">
        <f t="shared" si="45"/>
        <v>-31.226288378419838</v>
      </c>
      <c r="S131" s="9">
        <f t="shared" si="46"/>
        <v>60</v>
      </c>
      <c r="T131" s="14">
        <f t="shared" si="31"/>
        <v>2.4830122970076474E-3</v>
      </c>
      <c r="U131" s="14">
        <f t="shared" ref="U131:U194" si="50">ABS(MIN(C131,0))</f>
        <v>0</v>
      </c>
      <c r="V131" s="14">
        <f t="shared" si="43"/>
        <v>1.647086212933857E-3</v>
      </c>
      <c r="W131" s="14">
        <f t="shared" si="43"/>
        <v>1.7086743699025186E-3</v>
      </c>
      <c r="X131" s="16">
        <f t="shared" si="34"/>
        <v>0.96395559150795052</v>
      </c>
    </row>
    <row r="132" spans="1:24" x14ac:dyDescent="0.25">
      <c r="A132" s="10">
        <v>45362</v>
      </c>
      <c r="B132" s="11">
        <v>12852.1</v>
      </c>
      <c r="C132" s="12">
        <f t="shared" ref="C132:C195" si="51">(B132/B131)-1</f>
        <v>-4.2889925670890339E-3</v>
      </c>
      <c r="D132" s="11">
        <f t="shared" si="39"/>
        <v>12942.77</v>
      </c>
      <c r="E132" s="11">
        <f t="shared" si="42"/>
        <v>12680.618399999999</v>
      </c>
      <c r="F132" s="11"/>
      <c r="G132" s="12">
        <f t="shared" ref="G132:G195" si="52">LN(B132/B131)</f>
        <v>-4.2982166799252902E-3</v>
      </c>
      <c r="H132" s="19">
        <f t="shared" si="35"/>
        <v>7.367156633181883E-2</v>
      </c>
      <c r="I132" s="11">
        <f t="shared" si="36"/>
        <v>13134.04</v>
      </c>
      <c r="J132" s="11">
        <f t="shared" si="37"/>
        <v>12698.28</v>
      </c>
      <c r="K132" s="12">
        <f>(B132-MAX($B$2:B132))/MAX($B$2:B132)</f>
        <v>-2.1466357647761121E-2</v>
      </c>
      <c r="L132" s="12">
        <f t="shared" si="38"/>
        <v>1.2113451585568979E-2</v>
      </c>
      <c r="M132" s="15">
        <f t="shared" si="32"/>
        <v>47.423360276916057</v>
      </c>
      <c r="N132" s="11">
        <f t="shared" si="47"/>
        <v>12935.879628854309</v>
      </c>
      <c r="O132" s="11">
        <f t="shared" si="48"/>
        <v>12858.174737924943</v>
      </c>
      <c r="P132" s="11">
        <f t="shared" si="44"/>
        <v>77.704890929366229</v>
      </c>
      <c r="Q132" s="11">
        <f t="shared" si="49"/>
        <v>114.48326623825938</v>
      </c>
      <c r="R132" s="11">
        <f t="shared" si="45"/>
        <v>-36.778375308893146</v>
      </c>
      <c r="S132" s="9">
        <f t="shared" si="46"/>
        <v>60</v>
      </c>
      <c r="T132" s="14">
        <f t="shared" ref="T132:T195" si="53">MAX(C132,0)</f>
        <v>0</v>
      </c>
      <c r="U132" s="14">
        <f t="shared" si="50"/>
        <v>4.2889925670890339E-3</v>
      </c>
      <c r="V132" s="14">
        <f t="shared" si="43"/>
        <v>1.647086212933857E-3</v>
      </c>
      <c r="W132" s="14">
        <f t="shared" si="43"/>
        <v>1.8260675309513014E-3</v>
      </c>
      <c r="X132" s="16">
        <f t="shared" si="34"/>
        <v>0.90198537842453019</v>
      </c>
    </row>
    <row r="133" spans="1:24" x14ac:dyDescent="0.25">
      <c r="A133" s="10">
        <v>45363</v>
      </c>
      <c r="B133" s="11">
        <v>12846.52</v>
      </c>
      <c r="C133" s="12">
        <f t="shared" si="51"/>
        <v>-4.3417029123649087E-4</v>
      </c>
      <c r="D133" s="11">
        <f t="shared" si="39"/>
        <v>12950.182000000001</v>
      </c>
      <c r="E133" s="11">
        <f t="shared" si="42"/>
        <v>12695.691199999996</v>
      </c>
      <c r="F133" s="11"/>
      <c r="G133" s="12">
        <f t="shared" si="52"/>
        <v>-4.3426457044719622E-4</v>
      </c>
      <c r="H133" s="19">
        <f t="shared" si="35"/>
        <v>7.3766884638393523E-2</v>
      </c>
      <c r="I133" s="11">
        <f t="shared" si="36"/>
        <v>13134.04</v>
      </c>
      <c r="J133" s="11">
        <f t="shared" si="37"/>
        <v>12727.64</v>
      </c>
      <c r="K133" s="12">
        <f>(B133-MAX($B$2:B133))/MAX($B$2:B133)</f>
        <v>-2.1891207884245853E-2</v>
      </c>
      <c r="L133" s="12">
        <f t="shared" si="38"/>
        <v>7.2613026122969604E-3</v>
      </c>
      <c r="M133" s="15">
        <f t="shared" si="32"/>
        <v>39.814692536967115</v>
      </c>
      <c r="N133" s="11">
        <f t="shared" si="47"/>
        <v>12922.131993645955</v>
      </c>
      <c r="O133" s="11">
        <f t="shared" si="48"/>
        <v>12857.311424004576</v>
      </c>
      <c r="P133" s="11">
        <f t="shared" si="44"/>
        <v>64.820569641378825</v>
      </c>
      <c r="Q133" s="11">
        <f t="shared" si="49"/>
        <v>104.55072691888327</v>
      </c>
      <c r="R133" s="11">
        <f t="shared" si="45"/>
        <v>-39.730157277504446</v>
      </c>
      <c r="S133" s="9">
        <f t="shared" si="46"/>
        <v>60</v>
      </c>
      <c r="T133" s="14">
        <f t="shared" si="53"/>
        <v>0</v>
      </c>
      <c r="U133" s="14">
        <f t="shared" si="50"/>
        <v>4.3417029123649087E-4</v>
      </c>
      <c r="V133" s="14">
        <f t="shared" si="43"/>
        <v>1.2285233751277039E-3</v>
      </c>
      <c r="W133" s="14">
        <f t="shared" si="43"/>
        <v>1.8570796946110507E-3</v>
      </c>
      <c r="X133" s="16">
        <f t="shared" si="34"/>
        <v>0.6615350858084782</v>
      </c>
    </row>
    <row r="134" spans="1:24" x14ac:dyDescent="0.25">
      <c r="A134" s="10">
        <v>45364</v>
      </c>
      <c r="B134" s="11">
        <v>12886.74</v>
      </c>
      <c r="C134" s="12">
        <f t="shared" si="51"/>
        <v>3.1308089661634675E-3</v>
      </c>
      <c r="D134" s="11">
        <f t="shared" si="39"/>
        <v>12956.8235</v>
      </c>
      <c r="E134" s="11">
        <f t="shared" si="42"/>
        <v>12710.591999999997</v>
      </c>
      <c r="F134" s="11"/>
      <c r="G134" s="12">
        <f t="shared" si="52"/>
        <v>3.1259181891722808E-3</v>
      </c>
      <c r="H134" s="19">
        <f t="shared" si="35"/>
        <v>7.3046936800177195E-2</v>
      </c>
      <c r="I134" s="11">
        <f t="shared" si="36"/>
        <v>13134.04</v>
      </c>
      <c r="J134" s="11">
        <f t="shared" si="37"/>
        <v>12727.64</v>
      </c>
      <c r="K134" s="12">
        <f>(B134-MAX($B$2:B134))/MAX($B$2:B134)</f>
        <v>-1.8828936108006452E-2</v>
      </c>
      <c r="L134" s="12">
        <f t="shared" si="38"/>
        <v>1.2500353561225808E-2</v>
      </c>
      <c r="M134" s="15">
        <f t="shared" si="32"/>
        <v>41.410435216811578</v>
      </c>
      <c r="N134" s="11">
        <f t="shared" si="47"/>
        <v>12916.687071546577</v>
      </c>
      <c r="O134" s="11">
        <f t="shared" si="48"/>
        <v>12859.491318522756</v>
      </c>
      <c r="P134" s="11">
        <f t="shared" si="44"/>
        <v>57.195753023821453</v>
      </c>
      <c r="Q134" s="11">
        <f t="shared" si="49"/>
        <v>95.079732139870913</v>
      </c>
      <c r="R134" s="11">
        <f t="shared" si="45"/>
        <v>-37.88397911604946</v>
      </c>
      <c r="S134" s="9">
        <f t="shared" si="46"/>
        <v>60</v>
      </c>
      <c r="T134" s="14">
        <f t="shared" si="53"/>
        <v>3.1308089661634675E-3</v>
      </c>
      <c r="U134" s="14">
        <f t="shared" si="50"/>
        <v>0</v>
      </c>
      <c r="V134" s="14">
        <f t="shared" si="43"/>
        <v>1.3125627177932783E-3</v>
      </c>
      <c r="W134" s="14">
        <f t="shared" si="43"/>
        <v>1.8570796946110507E-3</v>
      </c>
      <c r="X134" s="16">
        <f t="shared" si="34"/>
        <v>0.70678857864965416</v>
      </c>
    </row>
    <row r="135" spans="1:24" x14ac:dyDescent="0.25">
      <c r="A135" s="10">
        <v>45365</v>
      </c>
      <c r="B135" s="11">
        <v>12968.77</v>
      </c>
      <c r="C135" s="12">
        <f t="shared" si="51"/>
        <v>6.3654578271929996E-3</v>
      </c>
      <c r="D135" s="11">
        <f t="shared" si="39"/>
        <v>12968.88</v>
      </c>
      <c r="E135" s="11">
        <f t="shared" si="42"/>
        <v>12725.357799999998</v>
      </c>
      <c r="F135" s="11"/>
      <c r="G135" s="12">
        <f t="shared" si="52"/>
        <v>6.345283866257251E-3</v>
      </c>
      <c r="H135" s="19">
        <f t="shared" si="35"/>
        <v>7.5173631561857024E-2</v>
      </c>
      <c r="I135" s="11">
        <f t="shared" si="36"/>
        <v>13134.04</v>
      </c>
      <c r="J135" s="11">
        <f t="shared" si="37"/>
        <v>12846.52</v>
      </c>
      <c r="K135" s="12">
        <f>(B135-MAX($B$2:B135))/MAX($B$2:B135)</f>
        <v>-1.2583333079539915E-2</v>
      </c>
      <c r="L135" s="12">
        <f t="shared" si="38"/>
        <v>7.5742272718797299E-3</v>
      </c>
      <c r="M135" s="15">
        <f t="shared" si="32"/>
        <v>39.980127912674497</v>
      </c>
      <c r="N135" s="11">
        <f t="shared" si="47"/>
        <v>12924.699829770181</v>
      </c>
      <c r="O135" s="11">
        <f t="shared" si="48"/>
        <v>12867.586035669219</v>
      </c>
      <c r="P135" s="11">
        <f t="shared" si="44"/>
        <v>57.113794100961968</v>
      </c>
      <c r="Q135" s="11">
        <f t="shared" si="49"/>
        <v>87.486544532089127</v>
      </c>
      <c r="R135" s="11">
        <f t="shared" si="45"/>
        <v>-30.372750431127159</v>
      </c>
      <c r="S135" s="9">
        <f t="shared" si="46"/>
        <v>60</v>
      </c>
      <c r="T135" s="14">
        <f t="shared" si="53"/>
        <v>6.3654578271929996E-3</v>
      </c>
      <c r="U135" s="14">
        <f t="shared" si="50"/>
        <v>0</v>
      </c>
      <c r="V135" s="14">
        <f t="shared" si="43"/>
        <v>1.2370283566508805E-3</v>
      </c>
      <c r="W135" s="14">
        <f t="shared" si="43"/>
        <v>1.8570796946110507E-3</v>
      </c>
      <c r="X135" s="16">
        <f t="shared" si="34"/>
        <v>0.66611484700443369</v>
      </c>
    </row>
    <row r="136" spans="1:24" x14ac:dyDescent="0.25">
      <c r="A136" s="10">
        <v>45366</v>
      </c>
      <c r="B136" s="11">
        <v>13063.68</v>
      </c>
      <c r="C136" s="12">
        <f t="shared" si="51"/>
        <v>7.3183501596527645E-3</v>
      </c>
      <c r="D136" s="11">
        <f t="shared" si="39"/>
        <v>12978.499999999998</v>
      </c>
      <c r="E136" s="11">
        <f t="shared" si="42"/>
        <v>12741.030799999999</v>
      </c>
      <c r="F136" s="11"/>
      <c r="G136" s="12">
        <f t="shared" si="52"/>
        <v>7.2917009748481986E-3</v>
      </c>
      <c r="H136" s="19">
        <f t="shared" si="35"/>
        <v>6.9090164205929422E-2</v>
      </c>
      <c r="I136" s="11">
        <f t="shared" si="36"/>
        <v>13134.04</v>
      </c>
      <c r="J136" s="11">
        <f t="shared" si="37"/>
        <v>12846.52</v>
      </c>
      <c r="K136" s="12">
        <f>(B136-MAX($B$2:B136))/MAX($B$2:B136)</f>
        <v>-5.3570721575387755E-3</v>
      </c>
      <c r="L136" s="12">
        <f t="shared" si="38"/>
        <v>1.111213449421089E-2</v>
      </c>
      <c r="M136" s="15">
        <f t="shared" si="32"/>
        <v>45.884762477986477</v>
      </c>
      <c r="N136" s="11">
        <f t="shared" si="47"/>
        <v>12946.081394420922</v>
      </c>
      <c r="O136" s="11">
        <f t="shared" si="48"/>
        <v>12882.111514508537</v>
      </c>
      <c r="P136" s="11">
        <f t="shared" si="44"/>
        <v>63.969879912385295</v>
      </c>
      <c r="Q136" s="11">
        <f t="shared" si="49"/>
        <v>82.783211608148363</v>
      </c>
      <c r="R136" s="11">
        <f t="shared" si="45"/>
        <v>-18.813331695763068</v>
      </c>
      <c r="S136" s="9">
        <f t="shared" si="46"/>
        <v>60</v>
      </c>
      <c r="T136" s="14">
        <f t="shared" si="53"/>
        <v>7.3183501596527645E-3</v>
      </c>
      <c r="U136" s="14">
        <f t="shared" si="50"/>
        <v>0</v>
      </c>
      <c r="V136" s="14">
        <f t="shared" si="43"/>
        <v>1.5746334044132487E-3</v>
      </c>
      <c r="W136" s="14">
        <f t="shared" si="43"/>
        <v>1.8570796946110507E-3</v>
      </c>
      <c r="X136" s="16">
        <f t="shared" si="34"/>
        <v>0.84790836332042396</v>
      </c>
    </row>
    <row r="137" spans="1:24" x14ac:dyDescent="0.25">
      <c r="A137" s="10">
        <v>45369</v>
      </c>
      <c r="B137" s="11">
        <v>13085.63</v>
      </c>
      <c r="C137" s="12">
        <f t="shared" si="51"/>
        <v>1.6802309915735503E-3</v>
      </c>
      <c r="D137" s="11">
        <f t="shared" si="39"/>
        <v>12986.775999999998</v>
      </c>
      <c r="E137" s="11">
        <f t="shared" si="42"/>
        <v>12755.364599999999</v>
      </c>
      <c r="F137" s="11"/>
      <c r="G137" s="12">
        <f t="shared" si="52"/>
        <v>1.678820982687162E-3</v>
      </c>
      <c r="H137" s="19">
        <f t="shared" si="35"/>
        <v>6.8258321679498662E-2</v>
      </c>
      <c r="I137" s="11">
        <f t="shared" si="36"/>
        <v>13134.04</v>
      </c>
      <c r="J137" s="11">
        <f t="shared" si="37"/>
        <v>12846.52</v>
      </c>
      <c r="K137" s="12">
        <f>(B137-MAX($B$2:B137))/MAX($B$2:B137)</f>
        <v>-3.685842284628467E-3</v>
      </c>
      <c r="L137" s="12">
        <f t="shared" si="38"/>
        <v>1.549752326762599E-2</v>
      </c>
      <c r="M137" s="15">
        <f t="shared" si="32"/>
        <v>49.089175370715061</v>
      </c>
      <c r="N137" s="11">
        <f t="shared" si="47"/>
        <v>12967.550410663856</v>
      </c>
      <c r="O137" s="11">
        <f t="shared" si="48"/>
        <v>12897.186957878275</v>
      </c>
      <c r="P137" s="11">
        <f t="shared" si="44"/>
        <v>70.363452785581103</v>
      </c>
      <c r="Q137" s="11">
        <f t="shared" si="49"/>
        <v>80.299259843634914</v>
      </c>
      <c r="R137" s="11">
        <f t="shared" si="45"/>
        <v>-9.9358070580538111</v>
      </c>
      <c r="S137" s="9">
        <f t="shared" si="46"/>
        <v>60</v>
      </c>
      <c r="T137" s="14">
        <f t="shared" si="53"/>
        <v>1.6802309915735503E-3</v>
      </c>
      <c r="U137" s="14">
        <f t="shared" si="50"/>
        <v>0</v>
      </c>
      <c r="V137" s="14">
        <f t="shared" si="43"/>
        <v>1.6946499038113596E-3</v>
      </c>
      <c r="W137" s="14">
        <f t="shared" si="43"/>
        <v>1.7575366342870793E-3</v>
      </c>
      <c r="X137" s="16">
        <f t="shared" si="34"/>
        <v>0.96421882238532752</v>
      </c>
    </row>
    <row r="138" spans="1:24" x14ac:dyDescent="0.25">
      <c r="A138" s="10">
        <v>45370</v>
      </c>
      <c r="B138" s="11">
        <v>13034.58</v>
      </c>
      <c r="C138" s="12">
        <f t="shared" si="51"/>
        <v>-3.9012260013464584E-3</v>
      </c>
      <c r="D138" s="11">
        <f t="shared" si="39"/>
        <v>12994.208499999997</v>
      </c>
      <c r="E138" s="11">
        <f t="shared" si="42"/>
        <v>12768.415800000001</v>
      </c>
      <c r="F138" s="11"/>
      <c r="G138" s="12">
        <f t="shared" si="52"/>
        <v>-3.9088556332466983E-3</v>
      </c>
      <c r="H138" s="19">
        <f t="shared" si="35"/>
        <v>6.9202578243697674E-2</v>
      </c>
      <c r="I138" s="11">
        <f t="shared" si="36"/>
        <v>13134.04</v>
      </c>
      <c r="J138" s="11">
        <f t="shared" si="37"/>
        <v>12846.52</v>
      </c>
      <c r="K138" s="12">
        <f>(B138-MAX($B$2:B138))/MAX($B$2:B138)</f>
        <v>-7.5726889822172721E-3</v>
      </c>
      <c r="L138" s="12">
        <f t="shared" si="38"/>
        <v>5.6428915305706262E-3</v>
      </c>
      <c r="M138" s="15">
        <f t="shared" si="32"/>
        <v>42.458887215797105</v>
      </c>
      <c r="N138" s="11">
        <f t="shared" si="47"/>
        <v>12977.862655177109</v>
      </c>
      <c r="O138" s="11">
        <f t="shared" si="48"/>
        <v>12907.364220257663</v>
      </c>
      <c r="P138" s="11">
        <f t="shared" si="44"/>
        <v>70.498434919445572</v>
      </c>
      <c r="Q138" s="11">
        <f t="shared" si="49"/>
        <v>78.339094858797054</v>
      </c>
      <c r="R138" s="11">
        <f t="shared" si="45"/>
        <v>-7.8406599393514824</v>
      </c>
      <c r="S138" s="9">
        <f t="shared" si="46"/>
        <v>60</v>
      </c>
      <c r="T138" s="14">
        <f t="shared" si="53"/>
        <v>0</v>
      </c>
      <c r="U138" s="14">
        <f t="shared" si="50"/>
        <v>3.9012260013464584E-3</v>
      </c>
      <c r="V138" s="14">
        <f t="shared" si="43"/>
        <v>1.5024839911214219E-3</v>
      </c>
      <c r="W138" s="14">
        <f t="shared" si="43"/>
        <v>2.0361956343832549E-3</v>
      </c>
      <c r="X138" s="16">
        <f t="shared" si="34"/>
        <v>0.73788783638980282</v>
      </c>
    </row>
    <row r="139" spans="1:24" x14ac:dyDescent="0.25">
      <c r="A139" s="10">
        <v>45371</v>
      </c>
      <c r="B139" s="11">
        <v>12961.87</v>
      </c>
      <c r="C139" s="12">
        <f t="shared" si="51"/>
        <v>-5.5782388078480238E-3</v>
      </c>
      <c r="D139" s="11">
        <f t="shared" si="39"/>
        <v>12994.229999999998</v>
      </c>
      <c r="E139" s="11">
        <f t="shared" si="42"/>
        <v>12778.905399999998</v>
      </c>
      <c r="F139" s="11"/>
      <c r="G139" s="12">
        <f t="shared" si="52"/>
        <v>-5.5938552839791163E-3</v>
      </c>
      <c r="H139" s="19">
        <f t="shared" si="35"/>
        <v>6.9559189599869023E-2</v>
      </c>
      <c r="I139" s="11">
        <f t="shared" si="36"/>
        <v>13134.04</v>
      </c>
      <c r="J139" s="11">
        <f t="shared" si="37"/>
        <v>12846.52</v>
      </c>
      <c r="K139" s="12">
        <f>(B139-MAX($B$2:B139))/MAX($B$2:B139)</f>
        <v>-1.3108685522504885E-2</v>
      </c>
      <c r="L139" s="12">
        <f t="shared" si="38"/>
        <v>-1.9173358733541868E-3</v>
      </c>
      <c r="M139" s="15">
        <f t="shared" si="32"/>
        <v>44.483518849185394</v>
      </c>
      <c r="N139" s="11">
        <f t="shared" si="47"/>
        <v>12975.402246688323</v>
      </c>
      <c r="O139" s="11">
        <f t="shared" si="48"/>
        <v>12911.401685423763</v>
      </c>
      <c r="P139" s="11">
        <f t="shared" si="44"/>
        <v>64.000561264560019</v>
      </c>
      <c r="Q139" s="11">
        <f t="shared" si="49"/>
        <v>75.471388139949653</v>
      </c>
      <c r="R139" s="11">
        <f t="shared" si="45"/>
        <v>-11.470826875389633</v>
      </c>
      <c r="S139" s="9">
        <f t="shared" si="46"/>
        <v>60</v>
      </c>
      <c r="T139" s="14">
        <f t="shared" si="53"/>
        <v>0</v>
      </c>
      <c r="U139" s="14">
        <f t="shared" si="50"/>
        <v>5.5782388078480238E-3</v>
      </c>
      <c r="V139" s="14">
        <f t="shared" si="43"/>
        <v>1.5024839911214219E-3</v>
      </c>
      <c r="W139" s="14">
        <f t="shared" si="43"/>
        <v>1.8751354733264455E-3</v>
      </c>
      <c r="X139" s="16">
        <f t="shared" si="34"/>
        <v>0.80126690177539606</v>
      </c>
    </row>
    <row r="140" spans="1:24" x14ac:dyDescent="0.25">
      <c r="A140" s="10">
        <v>45372</v>
      </c>
      <c r="B140" s="11">
        <v>12977.56</v>
      </c>
      <c r="C140" s="12">
        <f t="shared" si="51"/>
        <v>1.210473488779007E-3</v>
      </c>
      <c r="D140" s="11">
        <f t="shared" si="39"/>
        <v>12993.769499999999</v>
      </c>
      <c r="E140" s="11">
        <f t="shared" si="42"/>
        <v>12788.8524</v>
      </c>
      <c r="F140" s="11"/>
      <c r="G140" s="12">
        <f t="shared" si="52"/>
        <v>1.2097414564231107E-3</v>
      </c>
      <c r="H140" s="19">
        <f t="shared" si="35"/>
        <v>6.933255562276984E-2</v>
      </c>
      <c r="I140" s="11">
        <f t="shared" si="36"/>
        <v>13134.04</v>
      </c>
      <c r="J140" s="11">
        <f t="shared" si="37"/>
        <v>12846.52</v>
      </c>
      <c r="K140" s="12">
        <f>(B140-MAX($B$2:B140))/MAX($B$2:B140)</f>
        <v>-1.1914079750023707E-2</v>
      </c>
      <c r="L140" s="12">
        <f t="shared" si="38"/>
        <v>-8.0722026848233375E-3</v>
      </c>
      <c r="M140" s="15">
        <f t="shared" si="32"/>
        <v>47.410083675078667</v>
      </c>
      <c r="N140" s="11">
        <f t="shared" si="47"/>
        <v>12975.734208736274</v>
      </c>
      <c r="O140" s="11">
        <f t="shared" si="48"/>
        <v>12916.302301318299</v>
      </c>
      <c r="P140" s="11">
        <f t="shared" si="44"/>
        <v>59.431907417974799</v>
      </c>
      <c r="Q140" s="11">
        <f t="shared" si="49"/>
        <v>72.263491995554688</v>
      </c>
      <c r="R140" s="11">
        <f t="shared" si="45"/>
        <v>-12.831584577579889</v>
      </c>
      <c r="S140" s="9">
        <f t="shared" si="46"/>
        <v>60</v>
      </c>
      <c r="T140" s="14">
        <f t="shared" si="53"/>
        <v>1.210473488779007E-3</v>
      </c>
      <c r="U140" s="14">
        <f t="shared" si="50"/>
        <v>0</v>
      </c>
      <c r="V140" s="14">
        <f t="shared" si="43"/>
        <v>1.5889463831770653E-3</v>
      </c>
      <c r="W140" s="14">
        <f t="shared" si="43"/>
        <v>1.7625481935184459E-3</v>
      </c>
      <c r="X140" s="16">
        <f t="shared" si="34"/>
        <v>0.90150521218098889</v>
      </c>
    </row>
    <row r="141" spans="1:24" x14ac:dyDescent="0.25">
      <c r="A141" s="10">
        <v>45373</v>
      </c>
      <c r="B141" s="11">
        <v>12979.11</v>
      </c>
      <c r="C141" s="12">
        <f t="shared" si="51"/>
        <v>1.1943693575688918E-4</v>
      </c>
      <c r="D141" s="11">
        <f t="shared" si="39"/>
        <v>12988.566499999997</v>
      </c>
      <c r="E141" s="11">
        <f t="shared" si="42"/>
        <v>12798.401199999998</v>
      </c>
      <c r="F141" s="11"/>
      <c r="G141" s="12">
        <f t="shared" si="52"/>
        <v>1.1942980373395668E-4</v>
      </c>
      <c r="H141" s="19">
        <f t="shared" si="35"/>
        <v>6.3559619600164263E-2</v>
      </c>
      <c r="I141" s="11">
        <f t="shared" si="36"/>
        <v>13134.04</v>
      </c>
      <c r="J141" s="11">
        <f t="shared" si="37"/>
        <v>12846.52</v>
      </c>
      <c r="K141" s="12">
        <f>(B141-MAX($B$2:B141))/MAX($B$2:B141)</f>
        <v>-1.1796065795444531E-2</v>
      </c>
      <c r="L141" s="12">
        <f t="shared" si="38"/>
        <v>-1.051834707114685E-2</v>
      </c>
      <c r="M141" s="15">
        <f t="shared" si="32"/>
        <v>48.246788046848195</v>
      </c>
      <c r="N141" s="11">
        <f t="shared" si="47"/>
        <v>12976.253561238387</v>
      </c>
      <c r="O141" s="11">
        <f t="shared" si="48"/>
        <v>12920.95472344287</v>
      </c>
      <c r="P141" s="11">
        <f t="shared" si="44"/>
        <v>55.298837795517102</v>
      </c>
      <c r="Q141" s="11">
        <f t="shared" si="49"/>
        <v>68.870561155547165</v>
      </c>
      <c r="R141" s="11">
        <f t="shared" si="45"/>
        <v>-13.571723360030063</v>
      </c>
      <c r="S141" s="9">
        <f t="shared" si="46"/>
        <v>60</v>
      </c>
      <c r="T141" s="14">
        <f t="shared" si="53"/>
        <v>1.1943693575688918E-4</v>
      </c>
      <c r="U141" s="14">
        <f t="shared" si="50"/>
        <v>0</v>
      </c>
      <c r="V141" s="14">
        <f t="shared" si="43"/>
        <v>1.5974775928739859E-3</v>
      </c>
      <c r="W141" s="14">
        <f t="shared" si="43"/>
        <v>1.7135772100339644E-3</v>
      </c>
      <c r="X141" s="16">
        <f t="shared" si="34"/>
        <v>0.93224722149655737</v>
      </c>
    </row>
    <row r="142" spans="1:24" x14ac:dyDescent="0.25">
      <c r="A142" s="10">
        <v>45376</v>
      </c>
      <c r="B142" s="11">
        <v>12963.23</v>
      </c>
      <c r="C142" s="12">
        <f t="shared" si="51"/>
        <v>-1.2235045392173793E-3</v>
      </c>
      <c r="D142" s="11">
        <f t="shared" si="39"/>
        <v>12980.873999999998</v>
      </c>
      <c r="E142" s="11">
        <f t="shared" si="42"/>
        <v>12808.606200000002</v>
      </c>
      <c r="F142" s="11"/>
      <c r="G142" s="12">
        <f t="shared" si="52"/>
        <v>-1.2242536319707169E-3</v>
      </c>
      <c r="H142" s="19">
        <f t="shared" si="35"/>
        <v>6.2616385268927807E-2</v>
      </c>
      <c r="I142" s="11">
        <f t="shared" si="36"/>
        <v>13134.04</v>
      </c>
      <c r="J142" s="11">
        <f t="shared" si="37"/>
        <v>12846.52</v>
      </c>
      <c r="K142" s="12">
        <f>(B142-MAX($B$2:B142))/MAX($B$2:B142)</f>
        <v>-1.3005137794616227E-2</v>
      </c>
      <c r="L142" s="12">
        <f t="shared" si="38"/>
        <v>-1.0349803035392569E-2</v>
      </c>
      <c r="M142" s="15">
        <f t="shared" si="32"/>
        <v>46.942622171124427</v>
      </c>
      <c r="N142" s="11">
        <f t="shared" si="47"/>
        <v>12974.249936432481</v>
      </c>
      <c r="O142" s="11">
        <f t="shared" si="48"/>
        <v>12924.086225410065</v>
      </c>
      <c r="P142" s="11">
        <f t="shared" si="44"/>
        <v>50.163711022416464</v>
      </c>
      <c r="Q142" s="11">
        <f t="shared" si="49"/>
        <v>65.129191128921036</v>
      </c>
      <c r="R142" s="11">
        <f t="shared" si="45"/>
        <v>-14.965480106504572</v>
      </c>
      <c r="S142" s="9">
        <f t="shared" si="46"/>
        <v>60</v>
      </c>
      <c r="T142" s="14">
        <f t="shared" si="53"/>
        <v>0</v>
      </c>
      <c r="U142" s="14">
        <f t="shared" si="50"/>
        <v>1.2235045392173793E-3</v>
      </c>
      <c r="V142" s="14">
        <f t="shared" si="43"/>
        <v>1.5934121904375947E-3</v>
      </c>
      <c r="W142" s="14">
        <f t="shared" si="43"/>
        <v>1.8009703914066341E-3</v>
      </c>
      <c r="X142" s="16">
        <f t="shared" si="34"/>
        <v>0.88475201926727531</v>
      </c>
    </row>
    <row r="143" spans="1:24" x14ac:dyDescent="0.25">
      <c r="A143" s="10">
        <v>45377</v>
      </c>
      <c r="B143" s="11">
        <v>12938.5</v>
      </c>
      <c r="C143" s="12">
        <f t="shared" si="51"/>
        <v>-1.9077035584494917E-3</v>
      </c>
      <c r="D143" s="11">
        <f t="shared" si="39"/>
        <v>12972.859</v>
      </c>
      <c r="E143" s="11">
        <f t="shared" si="42"/>
        <v>12816.408799999999</v>
      </c>
      <c r="F143" s="11"/>
      <c r="G143" s="12">
        <f t="shared" si="52"/>
        <v>-1.9095255424552864E-3</v>
      </c>
      <c r="H143" s="19">
        <f t="shared" si="35"/>
        <v>6.2730728846914385E-2</v>
      </c>
      <c r="I143" s="11">
        <f t="shared" si="36"/>
        <v>13134.04</v>
      </c>
      <c r="J143" s="11">
        <f t="shared" si="37"/>
        <v>12846.52</v>
      </c>
      <c r="K143" s="12">
        <f>(B143-MAX($B$2:B143))/MAX($B$2:B143)</f>
        <v>-1.488803140541683E-2</v>
      </c>
      <c r="L143" s="12">
        <f t="shared" si="38"/>
        <v>-1.4888031405416835E-2</v>
      </c>
      <c r="M143" s="15">
        <f t="shared" si="32"/>
        <v>50.336016854551843</v>
      </c>
      <c r="N143" s="11">
        <f t="shared" si="47"/>
        <v>12968.7499462121</v>
      </c>
      <c r="O143" s="11">
        <f t="shared" si="48"/>
        <v>12925.153912416727</v>
      </c>
      <c r="P143" s="11">
        <f t="shared" si="44"/>
        <v>43.596033795372932</v>
      </c>
      <c r="Q143" s="11">
        <f t="shared" si="49"/>
        <v>60.822559662211418</v>
      </c>
      <c r="R143" s="11">
        <f t="shared" si="45"/>
        <v>-17.226525866838486</v>
      </c>
      <c r="S143" s="9">
        <f t="shared" si="46"/>
        <v>60</v>
      </c>
      <c r="T143" s="14">
        <f t="shared" si="53"/>
        <v>0</v>
      </c>
      <c r="U143" s="14">
        <f t="shared" si="50"/>
        <v>1.9077035584494917E-3</v>
      </c>
      <c r="V143" s="14">
        <f t="shared" si="43"/>
        <v>1.5934121904375947E-3</v>
      </c>
      <c r="W143" s="14">
        <f t="shared" si="43"/>
        <v>1.5721386218998815E-3</v>
      </c>
      <c r="X143" s="16">
        <f t="shared" si="34"/>
        <v>1.0135316111705244</v>
      </c>
    </row>
    <row r="144" spans="1:24" x14ac:dyDescent="0.25">
      <c r="A144" s="10">
        <v>45378</v>
      </c>
      <c r="B144" s="11">
        <v>12981.98</v>
      </c>
      <c r="C144" s="12">
        <f t="shared" si="51"/>
        <v>3.3605131970475544E-3</v>
      </c>
      <c r="D144" s="11">
        <f t="shared" si="39"/>
        <v>12965.255999999999</v>
      </c>
      <c r="E144" s="11">
        <f t="shared" si="42"/>
        <v>12824.149599999999</v>
      </c>
      <c r="F144" s="11"/>
      <c r="G144" s="12">
        <f t="shared" si="52"/>
        <v>3.3548792909227007E-3</v>
      </c>
      <c r="H144" s="19">
        <f t="shared" si="35"/>
        <v>6.3240027467774559E-2</v>
      </c>
      <c r="I144" s="11">
        <f t="shared" si="36"/>
        <v>13085.63</v>
      </c>
      <c r="J144" s="11">
        <f t="shared" si="37"/>
        <v>12846.52</v>
      </c>
      <c r="K144" s="12">
        <f>(B144-MAX($B$2:B144))/MAX($B$2:B144)</f>
        <v>-1.1577549634385254E-2</v>
      </c>
      <c r="L144" s="12">
        <f t="shared" si="38"/>
        <v>-3.7740308614122586E-3</v>
      </c>
      <c r="M144" s="15">
        <f t="shared" ref="M144:M207" si="54">IF(X144=0,100,100-(100/(1+X144)))</f>
        <v>59.690741026275212</v>
      </c>
      <c r="N144" s="11">
        <f t="shared" si="47"/>
        <v>12970.785339102546</v>
      </c>
      <c r="O144" s="11">
        <f t="shared" si="48"/>
        <v>12929.363252237708</v>
      </c>
      <c r="P144" s="11">
        <f t="shared" si="44"/>
        <v>41.422086864837183</v>
      </c>
      <c r="Q144" s="11">
        <f t="shared" si="49"/>
        <v>56.942465102736577</v>
      </c>
      <c r="R144" s="11">
        <f t="shared" si="45"/>
        <v>-15.520378237899394</v>
      </c>
      <c r="S144" s="9">
        <f t="shared" si="46"/>
        <v>60</v>
      </c>
      <c r="T144" s="14">
        <f t="shared" si="53"/>
        <v>3.3605131970475544E-3</v>
      </c>
      <c r="U144" s="14">
        <f t="shared" si="50"/>
        <v>0</v>
      </c>
      <c r="V144" s="14">
        <f t="shared" ref="V144:W159" si="55">AVERAGE(T131:T144)</f>
        <v>1.8334488473695629E-3</v>
      </c>
      <c r="W144" s="14">
        <f t="shared" si="55"/>
        <v>1.2381311260847769E-3</v>
      </c>
      <c r="X144" s="16">
        <f t="shared" ref="X144:X207" si="56">IF(W144=0,0,V144/W144)</f>
        <v>1.4808196068596562</v>
      </c>
    </row>
    <row r="145" spans="1:24" x14ac:dyDescent="0.25">
      <c r="A145" s="10">
        <v>45379</v>
      </c>
      <c r="B145" s="11">
        <v>12986.94</v>
      </c>
      <c r="C145" s="12">
        <f t="shared" si="51"/>
        <v>3.8206806665863624E-4</v>
      </c>
      <c r="D145" s="11">
        <f t="shared" si="39"/>
        <v>12963.045000000002</v>
      </c>
      <c r="E145" s="11">
        <f t="shared" si="42"/>
        <v>12830.954999999998</v>
      </c>
      <c r="F145" s="11"/>
      <c r="G145" s="12">
        <f t="shared" si="52"/>
        <v>3.8199509724045412E-4</v>
      </c>
      <c r="H145" s="19">
        <f t="shared" si="35"/>
        <v>5.7125243103167932E-2</v>
      </c>
      <c r="I145" s="11">
        <f t="shared" si="36"/>
        <v>13085.63</v>
      </c>
      <c r="J145" s="11">
        <f t="shared" si="37"/>
        <v>12846.52</v>
      </c>
      <c r="K145" s="12">
        <f>(B145-MAX($B$2:B145))/MAX($B$2:B145)</f>
        <v>-1.1199904979732082E-2</v>
      </c>
      <c r="L145" s="12">
        <f t="shared" si="38"/>
        <v>-1.8200516193693783E-3</v>
      </c>
      <c r="M145" s="15">
        <f t="shared" si="54"/>
        <v>57.620201384164872</v>
      </c>
      <c r="N145" s="11">
        <f t="shared" si="47"/>
        <v>12973.270671548307</v>
      </c>
      <c r="O145" s="11">
        <f t="shared" si="48"/>
        <v>12933.628196516396</v>
      </c>
      <c r="P145" s="11">
        <f t="shared" si="44"/>
        <v>39.64247503191109</v>
      </c>
      <c r="Q145" s="11">
        <f t="shared" si="49"/>
        <v>53.482467088571482</v>
      </c>
      <c r="R145" s="11">
        <f t="shared" si="45"/>
        <v>-13.839992056660392</v>
      </c>
      <c r="S145" s="9">
        <f t="shared" si="46"/>
        <v>60</v>
      </c>
      <c r="T145" s="14">
        <f t="shared" si="53"/>
        <v>3.8206806665863624E-4</v>
      </c>
      <c r="U145" s="14">
        <f t="shared" si="50"/>
        <v>0</v>
      </c>
      <c r="V145" s="14">
        <f t="shared" si="55"/>
        <v>1.6833814023446334E-3</v>
      </c>
      <c r="W145" s="14">
        <f t="shared" si="55"/>
        <v>1.2381311260847769E-3</v>
      </c>
      <c r="X145" s="16">
        <f t="shared" si="56"/>
        <v>1.3596147991754546</v>
      </c>
    </row>
    <row r="146" spans="1:24" x14ac:dyDescent="0.25">
      <c r="A146" s="10">
        <v>45380</v>
      </c>
      <c r="B146" s="11">
        <v>13009.23</v>
      </c>
      <c r="C146" s="12">
        <f t="shared" si="51"/>
        <v>1.716339645828846E-3</v>
      </c>
      <c r="D146" s="11">
        <f t="shared" si="39"/>
        <v>12962.975500000002</v>
      </c>
      <c r="E146" s="11">
        <f t="shared" si="42"/>
        <v>12837.438999999997</v>
      </c>
      <c r="F146" s="11"/>
      <c r="G146" s="12">
        <f t="shared" si="52"/>
        <v>1.7148684181160024E-3</v>
      </c>
      <c r="H146" s="19">
        <f t="shared" si="35"/>
        <v>5.7244634302676477E-2</v>
      </c>
      <c r="I146" s="11">
        <f t="shared" si="36"/>
        <v>13085.63</v>
      </c>
      <c r="J146" s="11">
        <f t="shared" si="37"/>
        <v>12846.52</v>
      </c>
      <c r="K146" s="12">
        <f>(B146-MAX($B$2:B146))/MAX($B$2:B146)</f>
        <v>-9.5027881748495739E-3</v>
      </c>
      <c r="L146" s="12">
        <f t="shared" si="38"/>
        <v>5.7915503357253151E-4</v>
      </c>
      <c r="M146" s="15">
        <f t="shared" si="54"/>
        <v>65.965702940909637</v>
      </c>
      <c r="N146" s="11">
        <f t="shared" si="47"/>
        <v>12978.80287592549</v>
      </c>
      <c r="O146" s="11">
        <f t="shared" si="48"/>
        <v>12939.228330107773</v>
      </c>
      <c r="P146" s="11">
        <f t="shared" si="44"/>
        <v>39.57454581771708</v>
      </c>
      <c r="Q146" s="11">
        <f t="shared" si="49"/>
        <v>50.700882834400602</v>
      </c>
      <c r="R146" s="11">
        <f t="shared" si="45"/>
        <v>-11.126337016683522</v>
      </c>
      <c r="S146" s="9">
        <f t="shared" si="46"/>
        <v>60</v>
      </c>
      <c r="T146" s="14">
        <f t="shared" si="53"/>
        <v>1.716339645828846E-3</v>
      </c>
      <c r="U146" s="14">
        <f t="shared" si="50"/>
        <v>0</v>
      </c>
      <c r="V146" s="14">
        <f t="shared" si="55"/>
        <v>1.8059770913324083E-3</v>
      </c>
      <c r="W146" s="14">
        <f t="shared" si="55"/>
        <v>9.3177451414984598E-4</v>
      </c>
      <c r="X146" s="16">
        <f t="shared" si="56"/>
        <v>1.9382125867438942</v>
      </c>
    </row>
    <row r="147" spans="1:24" x14ac:dyDescent="0.25">
      <c r="A147" s="10">
        <v>45383</v>
      </c>
      <c r="B147" s="11">
        <v>13007.12</v>
      </c>
      <c r="C147" s="12">
        <f t="shared" si="51"/>
        <v>-1.621925356073417E-4</v>
      </c>
      <c r="D147" s="11">
        <f t="shared" si="39"/>
        <v>12963.246500000001</v>
      </c>
      <c r="E147" s="11">
        <f t="shared" si="42"/>
        <v>12843.167599999997</v>
      </c>
      <c r="F147" s="11"/>
      <c r="G147" s="12">
        <f t="shared" si="52"/>
        <v>-1.6220569023905302E-4</v>
      </c>
      <c r="H147" s="19">
        <f t="shared" si="35"/>
        <v>5.7192228652537473E-2</v>
      </c>
      <c r="I147" s="11">
        <f t="shared" si="36"/>
        <v>13085.63</v>
      </c>
      <c r="J147" s="11">
        <f t="shared" si="37"/>
        <v>12846.52</v>
      </c>
      <c r="K147" s="12">
        <f>(B147-MAX($B$2:B147))/MAX($B$2:B147)</f>
        <v>-9.6634394291474721E-3</v>
      </c>
      <c r="L147" s="12">
        <f t="shared" si="38"/>
        <v>3.5993244344911801E-4</v>
      </c>
      <c r="M147" s="15">
        <f t="shared" si="54"/>
        <v>66.437138379040988</v>
      </c>
      <c r="N147" s="11">
        <f t="shared" si="47"/>
        <v>12983.159356552338</v>
      </c>
      <c r="O147" s="11">
        <f t="shared" si="48"/>
        <v>12944.257342692381</v>
      </c>
      <c r="P147" s="11">
        <f t="shared" si="44"/>
        <v>38.902013859957151</v>
      </c>
      <c r="Q147" s="11">
        <f t="shared" si="49"/>
        <v>48.34110903951192</v>
      </c>
      <c r="R147" s="11">
        <f t="shared" si="45"/>
        <v>-9.4390951795547693</v>
      </c>
      <c r="S147" s="9">
        <f t="shared" si="46"/>
        <v>60</v>
      </c>
      <c r="T147" s="14">
        <f t="shared" si="53"/>
        <v>0</v>
      </c>
      <c r="U147" s="14">
        <f t="shared" si="50"/>
        <v>1.621925356073417E-4</v>
      </c>
      <c r="V147" s="14">
        <f t="shared" si="55"/>
        <v>1.8059770913324083E-3</v>
      </c>
      <c r="W147" s="14">
        <f t="shared" si="55"/>
        <v>9.1234753160490678E-4</v>
      </c>
      <c r="X147" s="16">
        <f t="shared" si="56"/>
        <v>1.979483726070395</v>
      </c>
    </row>
    <row r="148" spans="1:24" x14ac:dyDescent="0.25">
      <c r="A148" s="10">
        <v>45384</v>
      </c>
      <c r="B148" s="11">
        <v>13053.17</v>
      </c>
      <c r="C148" s="12">
        <f t="shared" si="51"/>
        <v>3.5403686596262585E-3</v>
      </c>
      <c r="D148" s="11">
        <f t="shared" si="39"/>
        <v>12965.783000000005</v>
      </c>
      <c r="E148" s="11">
        <f t="shared" si="42"/>
        <v>12849.285</v>
      </c>
      <c r="F148" s="11"/>
      <c r="G148" s="12">
        <f t="shared" si="52"/>
        <v>3.5341163072459118E-3</v>
      </c>
      <c r="H148" s="19">
        <f t="shared" si="35"/>
        <v>5.8537374946437855E-2</v>
      </c>
      <c r="I148" s="11">
        <f t="shared" si="36"/>
        <v>13085.63</v>
      </c>
      <c r="J148" s="11">
        <f t="shared" si="37"/>
        <v>12846.52</v>
      </c>
      <c r="K148" s="12">
        <f>(B148-MAX($B$2:B148))/MAX($B$2:B148)</f>
        <v>-6.1572829076202594E-3</v>
      </c>
      <c r="L148" s="12">
        <f t="shared" si="38"/>
        <v>9.0592286011574874E-3</v>
      </c>
      <c r="M148" s="15">
        <f t="shared" si="54"/>
        <v>66.794491834152041</v>
      </c>
      <c r="N148" s="11">
        <f t="shared" si="47"/>
        <v>12993.930224775055</v>
      </c>
      <c r="O148" s="11">
        <f t="shared" si="48"/>
        <v>12952.32494693739</v>
      </c>
      <c r="P148" s="11">
        <f t="shared" si="44"/>
        <v>41.605277837665199</v>
      </c>
      <c r="Q148" s="11">
        <f t="shared" si="49"/>
        <v>46.993942799142573</v>
      </c>
      <c r="R148" s="11">
        <f t="shared" si="45"/>
        <v>-5.3886649614773745</v>
      </c>
      <c r="S148" s="9">
        <f t="shared" si="46"/>
        <v>60</v>
      </c>
      <c r="T148" s="14">
        <f t="shared" si="53"/>
        <v>3.5403686596262585E-3</v>
      </c>
      <c r="U148" s="14">
        <f t="shared" si="50"/>
        <v>0</v>
      </c>
      <c r="V148" s="14">
        <f t="shared" si="55"/>
        <v>1.835231355151179E-3</v>
      </c>
      <c r="W148" s="14">
        <f t="shared" si="55"/>
        <v>9.1234753160490678E-4</v>
      </c>
      <c r="X148" s="16">
        <f t="shared" si="56"/>
        <v>2.0115485509374165</v>
      </c>
    </row>
    <row r="149" spans="1:24" x14ac:dyDescent="0.25">
      <c r="A149" s="10">
        <v>45385</v>
      </c>
      <c r="B149" s="11">
        <v>13095.43</v>
      </c>
      <c r="C149" s="12">
        <f t="shared" si="51"/>
        <v>3.2375277423031257E-3</v>
      </c>
      <c r="D149" s="11">
        <f t="shared" si="39"/>
        <v>12973.755500000003</v>
      </c>
      <c r="E149" s="11">
        <f t="shared" si="42"/>
        <v>12857.0556</v>
      </c>
      <c r="F149" s="11"/>
      <c r="G149" s="12">
        <f t="shared" si="52"/>
        <v>3.2322982334420953E-3</v>
      </c>
      <c r="H149" s="19">
        <f t="shared" ref="H149:H212" si="57">STDEV(G130:G149)*SQRT(252)</f>
        <v>5.5923444865525453E-2</v>
      </c>
      <c r="I149" s="11">
        <f t="shared" ref="I149:I212" si="58">MAX(B130:B149)</f>
        <v>13095.43</v>
      </c>
      <c r="J149" s="11">
        <f t="shared" ref="J149:J212" si="59">MIN(B130:B149)</f>
        <v>12846.52</v>
      </c>
      <c r="K149" s="12">
        <f>(B149-MAX($B$2:B149))/MAX($B$2:B149)</f>
        <v>-2.9396895395476623E-3</v>
      </c>
      <c r="L149" s="12">
        <f t="shared" ref="L149:L212" si="60">(B149/B130)-1</f>
        <v>1.7082068332933353E-2</v>
      </c>
      <c r="M149" s="15">
        <f t="shared" si="54"/>
        <v>63.855332979849443</v>
      </c>
      <c r="N149" s="11">
        <f t="shared" si="47"/>
        <v>13009.545574809661</v>
      </c>
      <c r="O149" s="11">
        <f t="shared" si="48"/>
        <v>12962.925321238325</v>
      </c>
      <c r="P149" s="11">
        <f t="shared" si="44"/>
        <v>46.620253571336434</v>
      </c>
      <c r="Q149" s="11">
        <f t="shared" si="49"/>
        <v>46.91920495358135</v>
      </c>
      <c r="R149" s="11">
        <f t="shared" si="45"/>
        <v>-0.29895138224491546</v>
      </c>
      <c r="S149" s="9">
        <f t="shared" si="46"/>
        <v>60</v>
      </c>
      <c r="T149" s="14">
        <f t="shared" si="53"/>
        <v>3.2375277423031257E-3</v>
      </c>
      <c r="U149" s="14">
        <f t="shared" si="50"/>
        <v>0</v>
      </c>
      <c r="V149" s="14">
        <f t="shared" si="55"/>
        <v>1.6118077776590451E-3</v>
      </c>
      <c r="W149" s="14">
        <f t="shared" si="55"/>
        <v>9.1234753160490678E-4</v>
      </c>
      <c r="X149" s="16">
        <f t="shared" si="56"/>
        <v>1.7666598766631403</v>
      </c>
    </row>
    <row r="150" spans="1:24" x14ac:dyDescent="0.25">
      <c r="A150" s="10">
        <v>45386</v>
      </c>
      <c r="B150" s="11">
        <v>13106.43</v>
      </c>
      <c r="C150" s="12">
        <f t="shared" si="51"/>
        <v>8.3998769036219834E-4</v>
      </c>
      <c r="D150" s="11">
        <f t="shared" ref="D150:D213" si="61">AVERAGE(B131:B150)</f>
        <v>12985.302500000002</v>
      </c>
      <c r="E150" s="11">
        <f t="shared" si="42"/>
        <v>12865.489000000001</v>
      </c>
      <c r="F150" s="11"/>
      <c r="G150" s="12">
        <f t="shared" si="52"/>
        <v>8.3963509813715577E-4</v>
      </c>
      <c r="H150" s="19">
        <f t="shared" si="57"/>
        <v>5.2300599915588587E-2</v>
      </c>
      <c r="I150" s="11">
        <f t="shared" si="58"/>
        <v>13106.43</v>
      </c>
      <c r="J150" s="11">
        <f t="shared" si="59"/>
        <v>12846.52</v>
      </c>
      <c r="K150" s="12">
        <f>(B150-MAX($B$2:B150))/MAX($B$2:B150)</f>
        <v>-2.1021711522121586E-3</v>
      </c>
      <c r="L150" s="12">
        <f t="shared" si="60"/>
        <v>1.5415116529510886E-2</v>
      </c>
      <c r="M150" s="15">
        <f t="shared" si="54"/>
        <v>55.741688461965062</v>
      </c>
      <c r="N150" s="11">
        <f t="shared" si="47"/>
        <v>13024.45087099279</v>
      </c>
      <c r="O150" s="11">
        <f t="shared" si="48"/>
        <v>12973.555297442894</v>
      </c>
      <c r="P150" s="11">
        <f t="shared" si="44"/>
        <v>50.895573549896653</v>
      </c>
      <c r="Q150" s="11">
        <f t="shared" si="49"/>
        <v>47.714478672844415</v>
      </c>
      <c r="R150" s="11">
        <f t="shared" si="45"/>
        <v>3.1810948770522387</v>
      </c>
      <c r="S150" s="9">
        <f t="shared" si="46"/>
        <v>100</v>
      </c>
      <c r="T150" s="14">
        <f t="shared" si="53"/>
        <v>8.3998769036219834E-4</v>
      </c>
      <c r="U150" s="14">
        <f t="shared" si="50"/>
        <v>0</v>
      </c>
      <c r="V150" s="14">
        <f t="shared" si="55"/>
        <v>1.1490676012811476E-3</v>
      </c>
      <c r="W150" s="14">
        <f t="shared" si="55"/>
        <v>9.1234753160490678E-4</v>
      </c>
      <c r="X150" s="16">
        <f t="shared" si="56"/>
        <v>1.2594626076971212</v>
      </c>
    </row>
    <row r="151" spans="1:24" x14ac:dyDescent="0.25">
      <c r="A151" s="10">
        <v>45387</v>
      </c>
      <c r="B151" s="11">
        <v>13118.75</v>
      </c>
      <c r="C151" s="12">
        <f t="shared" si="51"/>
        <v>9.3999662760957392E-4</v>
      </c>
      <c r="D151" s="11">
        <f t="shared" si="61"/>
        <v>12995.867000000002</v>
      </c>
      <c r="E151" s="11">
        <f t="shared" si="42"/>
        <v>12875.2484</v>
      </c>
      <c r="F151" s="11"/>
      <c r="G151" s="12">
        <f t="shared" si="52"/>
        <v>9.3955510744293098E-4</v>
      </c>
      <c r="H151" s="19">
        <f t="shared" si="57"/>
        <v>5.1963813231100102E-2</v>
      </c>
      <c r="I151" s="11">
        <f t="shared" si="58"/>
        <v>13118.75</v>
      </c>
      <c r="J151" s="11">
        <f t="shared" si="59"/>
        <v>12846.52</v>
      </c>
      <c r="K151" s="12">
        <f>(B151-MAX($B$2:B151))/MAX($B$2:B151)</f>
        <v>-1.1641505583964166E-3</v>
      </c>
      <c r="L151" s="12">
        <f t="shared" si="60"/>
        <v>2.0747582107204288E-2</v>
      </c>
      <c r="M151" s="15">
        <f t="shared" si="54"/>
        <v>54.576609680264895</v>
      </c>
      <c r="N151" s="11">
        <f t="shared" si="47"/>
        <v>13038.958429301592</v>
      </c>
      <c r="O151" s="11">
        <f t="shared" si="48"/>
        <v>12984.310460595272</v>
      </c>
      <c r="P151" s="11">
        <f t="shared" si="44"/>
        <v>54.647968706320171</v>
      </c>
      <c r="Q151" s="11">
        <f t="shared" si="49"/>
        <v>49.10117667953957</v>
      </c>
      <c r="R151" s="11">
        <f t="shared" si="45"/>
        <v>5.5467920267806008</v>
      </c>
      <c r="S151" s="9">
        <f t="shared" si="46"/>
        <v>100</v>
      </c>
      <c r="T151" s="14">
        <f t="shared" si="53"/>
        <v>9.3999662760957392E-4</v>
      </c>
      <c r="U151" s="14">
        <f t="shared" si="50"/>
        <v>0</v>
      </c>
      <c r="V151" s="14">
        <f t="shared" si="55"/>
        <v>1.0961937181408635E-3</v>
      </c>
      <c r="W151" s="14">
        <f t="shared" si="55"/>
        <v>9.1234753160490678E-4</v>
      </c>
      <c r="X151" s="16">
        <f t="shared" si="56"/>
        <v>1.2015089427737626</v>
      </c>
    </row>
    <row r="152" spans="1:24" x14ac:dyDescent="0.25">
      <c r="A152" s="10">
        <v>45390</v>
      </c>
      <c r="B152" s="11">
        <v>13219.95</v>
      </c>
      <c r="C152" s="12">
        <f t="shared" si="51"/>
        <v>7.7141495950452388E-3</v>
      </c>
      <c r="D152" s="11">
        <f t="shared" si="61"/>
        <v>13014.259500000002</v>
      </c>
      <c r="E152" s="11">
        <f t="shared" si="42"/>
        <v>12890.4846</v>
      </c>
      <c r="F152" s="11"/>
      <c r="G152" s="12">
        <f t="shared" si="52"/>
        <v>7.6845476813215876E-3</v>
      </c>
      <c r="H152" s="19">
        <f t="shared" si="57"/>
        <v>5.3713591655361735E-2</v>
      </c>
      <c r="I152" s="11">
        <f t="shared" si="58"/>
        <v>13219.95</v>
      </c>
      <c r="J152" s="11">
        <f t="shared" si="59"/>
        <v>12846.52</v>
      </c>
      <c r="K152" s="12">
        <f>(B152-MAX($B$2:B152))/MAX($B$2:B152)</f>
        <v>0</v>
      </c>
      <c r="L152" s="12">
        <f t="shared" si="60"/>
        <v>2.9068572656252512E-2</v>
      </c>
      <c r="M152" s="15">
        <f t="shared" si="54"/>
        <v>72.217524032711268</v>
      </c>
      <c r="N152" s="11">
        <f t="shared" si="47"/>
        <v>13066.803286332117</v>
      </c>
      <c r="O152" s="11">
        <f t="shared" si="48"/>
        <v>13001.765241291918</v>
      </c>
      <c r="P152" s="11">
        <f t="shared" si="44"/>
        <v>65.038045040198995</v>
      </c>
      <c r="Q152" s="11">
        <f t="shared" si="49"/>
        <v>52.288550351671461</v>
      </c>
      <c r="R152" s="11">
        <f t="shared" si="45"/>
        <v>12.749494688527534</v>
      </c>
      <c r="S152" s="9">
        <f t="shared" si="46"/>
        <v>100</v>
      </c>
      <c r="T152" s="14">
        <f t="shared" si="53"/>
        <v>7.7141495950452388E-3</v>
      </c>
      <c r="U152" s="14">
        <f t="shared" si="50"/>
        <v>0</v>
      </c>
      <c r="V152" s="14">
        <f t="shared" si="55"/>
        <v>1.6472044035012376E-3</v>
      </c>
      <c r="W152" s="14">
        <f t="shared" si="55"/>
        <v>6.3368853150873121E-4</v>
      </c>
      <c r="X152" s="16">
        <f t="shared" si="56"/>
        <v>2.5993912176056821</v>
      </c>
    </row>
    <row r="153" spans="1:24" x14ac:dyDescent="0.25">
      <c r="A153" s="10">
        <v>45391</v>
      </c>
      <c r="B153" s="11">
        <v>13341.29</v>
      </c>
      <c r="C153" s="12">
        <f t="shared" si="51"/>
        <v>9.1785521125269387E-3</v>
      </c>
      <c r="D153" s="11">
        <f t="shared" si="61"/>
        <v>13038.998000000001</v>
      </c>
      <c r="E153" s="11">
        <f t="shared" si="42"/>
        <v>12908.401000000002</v>
      </c>
      <c r="F153" s="11"/>
      <c r="G153" s="12">
        <f t="shared" si="52"/>
        <v>9.136685193222362E-3</v>
      </c>
      <c r="H153" s="19">
        <f t="shared" si="57"/>
        <v>5.9756768310567261E-2</v>
      </c>
      <c r="I153" s="11">
        <f t="shared" si="58"/>
        <v>13341.29</v>
      </c>
      <c r="J153" s="11">
        <f t="shared" si="59"/>
        <v>12886.74</v>
      </c>
      <c r="K153" s="12">
        <f>(B153-MAX($B$2:B153))/MAX($B$2:B153)</f>
        <v>0</v>
      </c>
      <c r="L153" s="12">
        <f t="shared" si="60"/>
        <v>3.5272691153852787E-2</v>
      </c>
      <c r="M153" s="15">
        <f t="shared" si="54"/>
        <v>90.731382556191591</v>
      </c>
      <c r="N153" s="11">
        <f t="shared" si="47"/>
        <v>13109.032011511792</v>
      </c>
      <c r="O153" s="11">
        <f t="shared" si="48"/>
        <v>13026.915223418442</v>
      </c>
      <c r="P153" s="11">
        <f t="shared" si="44"/>
        <v>82.116788093349896</v>
      </c>
      <c r="Q153" s="11">
        <f t="shared" si="49"/>
        <v>58.254197900007156</v>
      </c>
      <c r="R153" s="11">
        <f t="shared" si="45"/>
        <v>23.86259019334274</v>
      </c>
      <c r="S153" s="9">
        <f t="shared" si="46"/>
        <v>100</v>
      </c>
      <c r="T153" s="14">
        <f t="shared" si="53"/>
        <v>9.1785521125269387E-3</v>
      </c>
      <c r="U153" s="14">
        <f t="shared" si="50"/>
        <v>0</v>
      </c>
      <c r="V153" s="14">
        <f t="shared" si="55"/>
        <v>2.3028152686817333E-3</v>
      </c>
      <c r="W153" s="14">
        <f t="shared" si="55"/>
        <v>2.3524290237672947E-4</v>
      </c>
      <c r="X153" s="16">
        <f t="shared" si="56"/>
        <v>9.7890956344089499</v>
      </c>
    </row>
    <row r="154" spans="1:24" x14ac:dyDescent="0.25">
      <c r="A154" s="10">
        <v>45397</v>
      </c>
      <c r="B154" s="11">
        <v>13372.72</v>
      </c>
      <c r="C154" s="12">
        <f t="shared" si="51"/>
        <v>2.3558441500033389E-3</v>
      </c>
      <c r="D154" s="11">
        <f t="shared" si="61"/>
        <v>13063.297000000002</v>
      </c>
      <c r="E154" s="11">
        <f t="shared" si="42"/>
        <v>12926.549800000001</v>
      </c>
      <c r="F154" s="11"/>
      <c r="G154" s="12">
        <f t="shared" si="52"/>
        <v>2.3530734998006221E-3</v>
      </c>
      <c r="H154" s="19">
        <f t="shared" si="57"/>
        <v>5.9607470444199277E-2</v>
      </c>
      <c r="I154" s="11">
        <f t="shared" si="58"/>
        <v>13372.72</v>
      </c>
      <c r="J154" s="11">
        <f t="shared" si="59"/>
        <v>12938.5</v>
      </c>
      <c r="K154" s="12">
        <f>(B154-MAX($B$2:B154))/MAX($B$2:B154)</f>
        <v>0</v>
      </c>
      <c r="L154" s="12">
        <f t="shared" si="60"/>
        <v>3.1147903771907348E-2</v>
      </c>
      <c r="M154" s="15">
        <f t="shared" si="54"/>
        <v>91.020818973888623</v>
      </c>
      <c r="N154" s="11">
        <f t="shared" si="47"/>
        <v>13149.599394356132</v>
      </c>
      <c r="O154" s="11">
        <f t="shared" si="48"/>
        <v>13052.530392054114</v>
      </c>
      <c r="P154" s="11">
        <f t="shared" si="44"/>
        <v>97.069002302017907</v>
      </c>
      <c r="Q154" s="11">
        <f t="shared" si="49"/>
        <v>66.017158780409304</v>
      </c>
      <c r="R154" s="11">
        <f t="shared" si="45"/>
        <v>31.051843521608603</v>
      </c>
      <c r="S154" s="9">
        <f t="shared" si="46"/>
        <v>100</v>
      </c>
      <c r="T154" s="14">
        <f t="shared" si="53"/>
        <v>2.3558441500033389E-3</v>
      </c>
      <c r="U154" s="14">
        <f t="shared" si="50"/>
        <v>0</v>
      </c>
      <c r="V154" s="14">
        <f t="shared" si="55"/>
        <v>2.3846274587691857E-3</v>
      </c>
      <c r="W154" s="14">
        <f t="shared" si="55"/>
        <v>2.3524290237672947E-4</v>
      </c>
      <c r="X154" s="16">
        <f t="shared" si="56"/>
        <v>10.136873141236485</v>
      </c>
    </row>
    <row r="155" spans="1:24" x14ac:dyDescent="0.25">
      <c r="A155" s="10">
        <v>45398</v>
      </c>
      <c r="B155" s="11">
        <v>13362.33</v>
      </c>
      <c r="C155" s="12">
        <f t="shared" si="51"/>
        <v>-7.7695487529827467E-4</v>
      </c>
      <c r="D155" s="11">
        <f t="shared" si="61"/>
        <v>13082.975</v>
      </c>
      <c r="E155" s="11">
        <f t="shared" si="42"/>
        <v>12944.118</v>
      </c>
      <c r="F155" s="11"/>
      <c r="G155" s="12">
        <f t="shared" si="52"/>
        <v>-7.7725686116712669E-4</v>
      </c>
      <c r="H155" s="19">
        <f t="shared" si="57"/>
        <v>5.7819632929358607E-2</v>
      </c>
      <c r="I155" s="11">
        <f t="shared" si="58"/>
        <v>13372.72</v>
      </c>
      <c r="J155" s="11">
        <f t="shared" si="59"/>
        <v>12938.5</v>
      </c>
      <c r="K155" s="12">
        <f>(B155-MAX($B$2:B155))/MAX($B$2:B155)</f>
        <v>-7.7695487529832509E-4</v>
      </c>
      <c r="L155" s="12">
        <f t="shared" si="60"/>
        <v>2.2861092739564937E-2</v>
      </c>
      <c r="M155" s="15">
        <f t="shared" si="54"/>
        <v>89.097954017220729</v>
      </c>
      <c r="N155" s="11">
        <f t="shared" si="47"/>
        <v>13182.327179839802</v>
      </c>
      <c r="O155" s="11">
        <f t="shared" si="48"/>
        <v>13075.478511161216</v>
      </c>
      <c r="P155" s="11">
        <f t="shared" si="44"/>
        <v>106.84866867858545</v>
      </c>
      <c r="Q155" s="11">
        <f t="shared" si="49"/>
        <v>74.183460760044539</v>
      </c>
      <c r="R155" s="11">
        <f t="shared" si="45"/>
        <v>32.665207918540915</v>
      </c>
      <c r="S155" s="9">
        <f t="shared" si="46"/>
        <v>100</v>
      </c>
      <c r="T155" s="14">
        <f t="shared" si="53"/>
        <v>0</v>
      </c>
      <c r="U155" s="14">
        <f t="shared" si="50"/>
        <v>7.7695487529827467E-4</v>
      </c>
      <c r="V155" s="14">
        <f t="shared" si="55"/>
        <v>2.3760962490722648E-3</v>
      </c>
      <c r="W155" s="14">
        <f t="shared" si="55"/>
        <v>2.907396791837491E-4</v>
      </c>
      <c r="X155" s="16">
        <f t="shared" si="56"/>
        <v>8.1725901870124815</v>
      </c>
    </row>
    <row r="156" spans="1:24" x14ac:dyDescent="0.25">
      <c r="A156" s="10">
        <v>45399</v>
      </c>
      <c r="B156" s="11">
        <v>13384.83</v>
      </c>
      <c r="C156" s="12">
        <f t="shared" si="51"/>
        <v>1.6838380731503122E-3</v>
      </c>
      <c r="D156" s="11">
        <f t="shared" si="61"/>
        <v>13099.032499999999</v>
      </c>
      <c r="E156" s="11">
        <f t="shared" si="42"/>
        <v>12961.946599999999</v>
      </c>
      <c r="F156" s="11"/>
      <c r="G156" s="12">
        <f t="shared" si="52"/>
        <v>1.6824220072163181E-3</v>
      </c>
      <c r="H156" s="19">
        <f t="shared" si="57"/>
        <v>5.363777367230084E-2</v>
      </c>
      <c r="I156" s="11">
        <f t="shared" si="58"/>
        <v>13384.83</v>
      </c>
      <c r="J156" s="11">
        <f t="shared" si="59"/>
        <v>12938.5</v>
      </c>
      <c r="K156" s="12">
        <f>(B156-MAX($B$2:B156))/MAX($B$2:B156)</f>
        <v>0</v>
      </c>
      <c r="L156" s="12">
        <f t="shared" si="60"/>
        <v>2.2864776094081884E-2</v>
      </c>
      <c r="M156" s="15">
        <f t="shared" si="54"/>
        <v>92.467858456185382</v>
      </c>
      <c r="N156" s="11">
        <f t="shared" si="47"/>
        <v>13213.481459864448</v>
      </c>
      <c r="O156" s="11">
        <f t="shared" si="48"/>
        <v>13098.393436260385</v>
      </c>
      <c r="P156" s="11">
        <f t="shared" si="44"/>
        <v>115.08802360406298</v>
      </c>
      <c r="Q156" s="11">
        <f t="shared" si="49"/>
        <v>82.364373328848231</v>
      </c>
      <c r="R156" s="11">
        <f t="shared" si="45"/>
        <v>32.723650275214752</v>
      </c>
      <c r="S156" s="9">
        <f t="shared" si="46"/>
        <v>100</v>
      </c>
      <c r="T156" s="14">
        <f t="shared" si="53"/>
        <v>1.6838380731503122E-3</v>
      </c>
      <c r="U156" s="14">
        <f t="shared" si="50"/>
        <v>0</v>
      </c>
      <c r="V156" s="14">
        <f t="shared" si="55"/>
        <v>2.4963703971544299E-3</v>
      </c>
      <c r="W156" s="14">
        <f t="shared" si="55"/>
        <v>2.0334649781107914E-4</v>
      </c>
      <c r="X156" s="16">
        <f t="shared" si="56"/>
        <v>12.276436643987372</v>
      </c>
    </row>
    <row r="157" spans="1:24" x14ac:dyDescent="0.25">
      <c r="A157" s="10">
        <v>45400</v>
      </c>
      <c r="B157" s="11">
        <v>13455.65</v>
      </c>
      <c r="C157" s="12">
        <f t="shared" si="51"/>
        <v>5.2910645858035288E-3</v>
      </c>
      <c r="D157" s="11">
        <f t="shared" si="61"/>
        <v>13117.5335</v>
      </c>
      <c r="E157" s="11">
        <f t="shared" si="42"/>
        <v>12982.208199999999</v>
      </c>
      <c r="F157" s="11"/>
      <c r="G157" s="12">
        <f t="shared" si="52"/>
        <v>5.2771160835623776E-3</v>
      </c>
      <c r="H157" s="19">
        <f t="shared" si="57"/>
        <v>5.5538184004291752E-2</v>
      </c>
      <c r="I157" s="11">
        <f t="shared" si="58"/>
        <v>13455.65</v>
      </c>
      <c r="J157" s="11">
        <f t="shared" si="59"/>
        <v>12938.5</v>
      </c>
      <c r="K157" s="12">
        <f>(B157-MAX($B$2:B157))/MAX($B$2:B157)</f>
        <v>0</v>
      </c>
      <c r="L157" s="12">
        <f t="shared" si="60"/>
        <v>3.23040711706859E-2</v>
      </c>
      <c r="M157" s="15">
        <f t="shared" si="54"/>
        <v>97.719375545480972</v>
      </c>
      <c r="N157" s="11">
        <f t="shared" si="47"/>
        <v>13250.738158346841</v>
      </c>
      <c r="O157" s="11">
        <f t="shared" si="48"/>
        <v>13124.856885426283</v>
      </c>
      <c r="P157" s="11">
        <f t="shared" si="44"/>
        <v>125.88127292055833</v>
      </c>
      <c r="Q157" s="11">
        <f t="shared" si="49"/>
        <v>91.067753247190268</v>
      </c>
      <c r="R157" s="11">
        <f t="shared" si="45"/>
        <v>34.813519673368063</v>
      </c>
      <c r="S157" s="9">
        <f t="shared" si="46"/>
        <v>100</v>
      </c>
      <c r="T157" s="14">
        <f t="shared" si="53"/>
        <v>5.2910645858035288E-3</v>
      </c>
      <c r="U157" s="14">
        <f t="shared" si="50"/>
        <v>0</v>
      </c>
      <c r="V157" s="14">
        <f t="shared" si="55"/>
        <v>2.874303581854682E-3</v>
      </c>
      <c r="W157" s="14">
        <f t="shared" si="55"/>
        <v>6.7081957921829739E-5</v>
      </c>
      <c r="X157" s="16">
        <f t="shared" si="56"/>
        <v>42.847639975030141</v>
      </c>
    </row>
    <row r="158" spans="1:24" x14ac:dyDescent="0.25">
      <c r="A158" s="10">
        <v>45401</v>
      </c>
      <c r="B158" s="11">
        <v>13453.35</v>
      </c>
      <c r="C158" s="12">
        <f t="shared" si="51"/>
        <v>-1.7093191335970648E-4</v>
      </c>
      <c r="D158" s="11">
        <f t="shared" si="61"/>
        <v>13138.471999999998</v>
      </c>
      <c r="E158" s="11">
        <f t="shared" si="42"/>
        <v>13000.690399999998</v>
      </c>
      <c r="F158" s="11"/>
      <c r="G158" s="12">
        <f t="shared" si="52"/>
        <v>-1.709465238841692E-4</v>
      </c>
      <c r="H158" s="19">
        <f t="shared" si="57"/>
        <v>5.2294559469396408E-2</v>
      </c>
      <c r="I158" s="11">
        <f t="shared" si="58"/>
        <v>13455.65</v>
      </c>
      <c r="J158" s="11">
        <f t="shared" si="59"/>
        <v>12938.5</v>
      </c>
      <c r="K158" s="12">
        <f>(B158-MAX($B$2:B158))/MAX($B$2:B158)</f>
        <v>-1.7093191335976131E-4</v>
      </c>
      <c r="L158" s="12">
        <f t="shared" si="60"/>
        <v>3.7917368404404517E-2</v>
      </c>
      <c r="M158" s="15">
        <f t="shared" si="54"/>
        <v>97.077955533444054</v>
      </c>
      <c r="N158" s="11">
        <f t="shared" si="47"/>
        <v>13281.909210908865</v>
      </c>
      <c r="O158" s="11">
        <f t="shared" si="48"/>
        <v>13149.189708728039</v>
      </c>
      <c r="P158" s="11">
        <f t="shared" si="44"/>
        <v>132.71950218082566</v>
      </c>
      <c r="Q158" s="11">
        <f t="shared" si="49"/>
        <v>99.398103033917351</v>
      </c>
      <c r="R158" s="11">
        <f t="shared" si="45"/>
        <v>33.321399146908306</v>
      </c>
      <c r="S158" s="9">
        <f t="shared" si="46"/>
        <v>100</v>
      </c>
      <c r="T158" s="14">
        <f t="shared" si="53"/>
        <v>0</v>
      </c>
      <c r="U158" s="14">
        <f t="shared" si="50"/>
        <v>1.7093191335970648E-4</v>
      </c>
      <c r="V158" s="14">
        <f t="shared" si="55"/>
        <v>2.6342669249227141E-3</v>
      </c>
      <c r="W158" s="14">
        <f t="shared" si="55"/>
        <v>7.9291380304665916E-5</v>
      </c>
      <c r="X158" s="16">
        <f t="shared" si="56"/>
        <v>33.222614044564693</v>
      </c>
    </row>
    <row r="159" spans="1:24" x14ac:dyDescent="0.25">
      <c r="A159" s="10">
        <v>45404</v>
      </c>
      <c r="B159" s="11">
        <v>13302.28</v>
      </c>
      <c r="C159" s="12">
        <f t="shared" si="51"/>
        <v>-1.1229173402907078E-2</v>
      </c>
      <c r="D159" s="11">
        <f t="shared" si="61"/>
        <v>13155.492499999998</v>
      </c>
      <c r="E159" s="11">
        <f t="shared" si="42"/>
        <v>13015.739199999996</v>
      </c>
      <c r="F159" s="11"/>
      <c r="G159" s="12">
        <f t="shared" si="52"/>
        <v>-1.1292696559939829E-2</v>
      </c>
      <c r="H159" s="19">
        <f t="shared" si="57"/>
        <v>6.5027406908959626E-2</v>
      </c>
      <c r="I159" s="11">
        <f t="shared" si="58"/>
        <v>13455.65</v>
      </c>
      <c r="J159" s="11">
        <f t="shared" si="59"/>
        <v>12938.5</v>
      </c>
      <c r="K159" s="12">
        <f>(B159-MAX($B$2:B159))/MAX($B$2:B159)</f>
        <v>-1.1398185892171614E-2</v>
      </c>
      <c r="L159" s="12">
        <f t="shared" si="60"/>
        <v>2.5021652760611524E-2</v>
      </c>
      <c r="M159" s="15">
        <f t="shared" si="54"/>
        <v>74.733762242726314</v>
      </c>
      <c r="N159" s="11">
        <f t="shared" si="47"/>
        <v>13285.043178461348</v>
      </c>
      <c r="O159" s="11">
        <f t="shared" si="48"/>
        <v>13160.529730303741</v>
      </c>
      <c r="P159" s="11">
        <f t="shared" si="44"/>
        <v>124.51344815760785</v>
      </c>
      <c r="Q159" s="11">
        <f t="shared" si="49"/>
        <v>104.42117205865546</v>
      </c>
      <c r="R159" s="11">
        <f t="shared" si="45"/>
        <v>20.092276098952397</v>
      </c>
      <c r="S159" s="9">
        <f t="shared" si="46"/>
        <v>100</v>
      </c>
      <c r="T159" s="14">
        <f t="shared" si="53"/>
        <v>0</v>
      </c>
      <c r="U159" s="14">
        <f t="shared" si="50"/>
        <v>1.1229173402907078E-2</v>
      </c>
      <c r="V159" s="14">
        <f t="shared" si="55"/>
        <v>2.6069763487328113E-3</v>
      </c>
      <c r="W159" s="14">
        <f t="shared" si="55"/>
        <v>8.8137519479802862E-4</v>
      </c>
      <c r="X159" s="16">
        <f t="shared" si="56"/>
        <v>2.9578508268890102</v>
      </c>
    </row>
    <row r="160" spans="1:24" x14ac:dyDescent="0.25">
      <c r="A160" s="10">
        <v>45405</v>
      </c>
      <c r="B160" s="11">
        <v>13246.66</v>
      </c>
      <c r="C160" s="12">
        <f t="shared" si="51"/>
        <v>-4.1812381035432056E-3</v>
      </c>
      <c r="D160" s="11">
        <f t="shared" si="61"/>
        <v>13168.947499999998</v>
      </c>
      <c r="E160" s="11">
        <f t="shared" si="42"/>
        <v>13028.154599999998</v>
      </c>
      <c r="F160" s="11"/>
      <c r="G160" s="12">
        <f t="shared" si="52"/>
        <v>-4.1900039227669933E-3</v>
      </c>
      <c r="H160" s="19">
        <f t="shared" si="57"/>
        <v>6.7884646173317756E-2</v>
      </c>
      <c r="I160" s="11">
        <f t="shared" si="58"/>
        <v>13455.65</v>
      </c>
      <c r="J160" s="11">
        <f t="shared" si="59"/>
        <v>12938.5</v>
      </c>
      <c r="K160" s="12">
        <f>(B160-MAX($B$2:B160))/MAX($B$2:B160)</f>
        <v>-1.553176546655121E-2</v>
      </c>
      <c r="L160" s="12">
        <f t="shared" si="60"/>
        <v>2.0613894173020952E-2</v>
      </c>
      <c r="M160" s="15">
        <f t="shared" si="54"/>
        <v>67.797456680693102</v>
      </c>
      <c r="N160" s="11">
        <f t="shared" si="47"/>
        <v>13279.138074082679</v>
      </c>
      <c r="O160" s="11">
        <f t="shared" si="48"/>
        <v>13166.909750281242</v>
      </c>
      <c r="P160" s="11">
        <f t="shared" si="44"/>
        <v>112.228323801437</v>
      </c>
      <c r="Q160" s="11">
        <f t="shared" si="49"/>
        <v>105.98260240721177</v>
      </c>
      <c r="R160" s="11">
        <f t="shared" si="45"/>
        <v>6.2457213942252281</v>
      </c>
      <c r="S160" s="9">
        <f t="shared" si="46"/>
        <v>100</v>
      </c>
      <c r="T160" s="14">
        <f t="shared" si="53"/>
        <v>0</v>
      </c>
      <c r="U160" s="14">
        <f t="shared" si="50"/>
        <v>4.1812381035432056E-3</v>
      </c>
      <c r="V160" s="14">
        <f t="shared" ref="V160:W175" si="62">AVERAGE(T147:T160)</f>
        <v>2.4843806597450368E-3</v>
      </c>
      <c r="W160" s="14">
        <f t="shared" si="62"/>
        <v>1.1800350593368289E-3</v>
      </c>
      <c r="X160" s="16">
        <f t="shared" si="56"/>
        <v>2.1053447862313859</v>
      </c>
    </row>
    <row r="161" spans="1:24" x14ac:dyDescent="0.25">
      <c r="A161" s="10">
        <v>45406</v>
      </c>
      <c r="B161" s="11">
        <v>13281.24</v>
      </c>
      <c r="C161" s="12">
        <f t="shared" si="51"/>
        <v>2.6104693560489167E-3</v>
      </c>
      <c r="D161" s="11">
        <f t="shared" si="61"/>
        <v>13184.054</v>
      </c>
      <c r="E161" s="11">
        <f t="shared" si="42"/>
        <v>13040.583199999999</v>
      </c>
      <c r="F161" s="11">
        <f t="shared" ref="F161:F224" si="63">AVERAGE(B2:B161)</f>
        <v>12402.179687499996</v>
      </c>
      <c r="G161" s="12">
        <f t="shared" si="52"/>
        <v>2.6070679990590254E-3</v>
      </c>
      <c r="H161" s="19">
        <f t="shared" si="57"/>
        <v>6.8018110521437344E-2</v>
      </c>
      <c r="I161" s="11">
        <f t="shared" si="58"/>
        <v>13455.65</v>
      </c>
      <c r="J161" s="11">
        <f t="shared" si="59"/>
        <v>12938.5</v>
      </c>
      <c r="K161" s="12">
        <f>(B161-MAX($B$2:B161))/MAX($B$2:B161)</f>
        <v>-1.2961841308297991E-2</v>
      </c>
      <c r="L161" s="12">
        <f t="shared" si="60"/>
        <v>2.4531694647090374E-2</v>
      </c>
      <c r="M161" s="15">
        <f t="shared" si="54"/>
        <v>69.566011519347001</v>
      </c>
      <c r="N161" s="11">
        <f t="shared" si="47"/>
        <v>13279.461447300728</v>
      </c>
      <c r="O161" s="11">
        <f t="shared" si="48"/>
        <v>13175.378657667818</v>
      </c>
      <c r="P161" s="11">
        <f t="shared" si="44"/>
        <v>104.08278963291013</v>
      </c>
      <c r="Q161" s="11">
        <f t="shared" si="49"/>
        <v>105.60263985235144</v>
      </c>
      <c r="R161" s="11">
        <f t="shared" si="45"/>
        <v>-1.5198502194413095</v>
      </c>
      <c r="S161" s="9">
        <f t="shared" si="46"/>
        <v>60</v>
      </c>
      <c r="T161" s="14">
        <f t="shared" si="53"/>
        <v>2.6104693560489167E-3</v>
      </c>
      <c r="U161" s="14">
        <f t="shared" si="50"/>
        <v>0</v>
      </c>
      <c r="V161" s="14">
        <f t="shared" si="62"/>
        <v>2.6708427566056736E-3</v>
      </c>
      <c r="W161" s="14">
        <f t="shared" si="62"/>
        <v>1.168449878222019E-3</v>
      </c>
      <c r="X161" s="16">
        <f t="shared" si="56"/>
        <v>2.2858000213665841</v>
      </c>
    </row>
    <row r="162" spans="1:24" x14ac:dyDescent="0.25">
      <c r="A162" s="10">
        <v>45407</v>
      </c>
      <c r="B162" s="11">
        <v>13346.81</v>
      </c>
      <c r="C162" s="12">
        <f t="shared" si="51"/>
        <v>4.937039011417621E-3</v>
      </c>
      <c r="D162" s="11">
        <f t="shared" si="61"/>
        <v>13203.232999999998</v>
      </c>
      <c r="E162" s="11">
        <f t="shared" si="42"/>
        <v>13053.754999999999</v>
      </c>
      <c r="F162" s="11">
        <f t="shared" si="63"/>
        <v>12411.401249999997</v>
      </c>
      <c r="G162" s="12">
        <f t="shared" si="52"/>
        <v>4.9248917987536186E-3</v>
      </c>
      <c r="H162" s="19">
        <f t="shared" si="57"/>
        <v>6.8669696862213483E-2</v>
      </c>
      <c r="I162" s="11">
        <f t="shared" si="58"/>
        <v>13455.65</v>
      </c>
      <c r="J162" s="11">
        <f t="shared" si="59"/>
        <v>12938.5</v>
      </c>
      <c r="K162" s="12">
        <f>(B162-MAX($B$2:B162))/MAX($B$2:B162)</f>
        <v>-8.088795413079275E-3</v>
      </c>
      <c r="L162" s="12">
        <f t="shared" si="60"/>
        <v>3.1557753990029802E-2</v>
      </c>
      <c r="M162" s="15">
        <f t="shared" si="54"/>
        <v>70.336795583863022</v>
      </c>
      <c r="N162" s="11">
        <f t="shared" si="47"/>
        <v>13289.822763100616</v>
      </c>
      <c r="O162" s="11">
        <f t="shared" si="48"/>
        <v>13188.077275618351</v>
      </c>
      <c r="P162" s="11">
        <f t="shared" si="44"/>
        <v>101.74548748226516</v>
      </c>
      <c r="Q162" s="11">
        <f t="shared" si="49"/>
        <v>104.83120937833419</v>
      </c>
      <c r="R162" s="11">
        <f t="shared" si="45"/>
        <v>-3.0857218960690318</v>
      </c>
      <c r="S162" s="9">
        <f t="shared" si="46"/>
        <v>60</v>
      </c>
      <c r="T162" s="14">
        <f t="shared" si="53"/>
        <v>4.937039011417621E-3</v>
      </c>
      <c r="U162" s="14">
        <f t="shared" si="50"/>
        <v>0</v>
      </c>
      <c r="V162" s="14">
        <f t="shared" si="62"/>
        <v>2.770604924590771E-3</v>
      </c>
      <c r="W162" s="14">
        <f t="shared" si="62"/>
        <v>1.168449878222019E-3</v>
      </c>
      <c r="X162" s="16">
        <f t="shared" si="56"/>
        <v>2.3711799506596587</v>
      </c>
    </row>
    <row r="163" spans="1:24" x14ac:dyDescent="0.25">
      <c r="A163" s="10">
        <v>45408</v>
      </c>
      <c r="B163" s="11">
        <v>13354.97</v>
      </c>
      <c r="C163" s="12">
        <f t="shared" si="51"/>
        <v>6.1138204559729736E-4</v>
      </c>
      <c r="D163" s="11">
        <f t="shared" si="61"/>
        <v>13224.056499999997</v>
      </c>
      <c r="E163" s="11">
        <f t="shared" si="42"/>
        <v>13066.888799999999</v>
      </c>
      <c r="F163" s="11">
        <f t="shared" si="63"/>
        <v>12420.793312499996</v>
      </c>
      <c r="G163" s="12">
        <f t="shared" si="52"/>
        <v>6.1119522773530417E-4</v>
      </c>
      <c r="H163" s="19">
        <f t="shared" si="57"/>
        <v>6.760484669853728E-2</v>
      </c>
      <c r="I163" s="11">
        <f t="shared" si="58"/>
        <v>13455.65</v>
      </c>
      <c r="J163" s="11">
        <f t="shared" si="59"/>
        <v>12981.98</v>
      </c>
      <c r="K163" s="12">
        <f>(B163-MAX($B$2:B163))/MAX($B$2:B163)</f>
        <v>-7.4823587117679412E-3</v>
      </c>
      <c r="L163" s="12">
        <f t="shared" si="60"/>
        <v>2.8731364553018945E-2</v>
      </c>
      <c r="M163" s="15">
        <f t="shared" si="54"/>
        <v>68.853570626887802</v>
      </c>
      <c r="N163" s="11">
        <f t="shared" si="47"/>
        <v>13299.845414931289</v>
      </c>
      <c r="O163" s="11">
        <f t="shared" si="48"/>
        <v>13200.439699646622</v>
      </c>
      <c r="P163" s="11">
        <f t="shared" si="44"/>
        <v>99.405715284667167</v>
      </c>
      <c r="Q163" s="11">
        <f t="shared" si="49"/>
        <v>103.74611055960079</v>
      </c>
      <c r="R163" s="11">
        <f t="shared" si="45"/>
        <v>-4.340395274933627</v>
      </c>
      <c r="S163" s="9">
        <f t="shared" si="46"/>
        <v>60</v>
      </c>
      <c r="T163" s="14">
        <f t="shared" si="53"/>
        <v>6.1138204559729736E-4</v>
      </c>
      <c r="U163" s="14">
        <f t="shared" si="50"/>
        <v>0</v>
      </c>
      <c r="V163" s="14">
        <f t="shared" si="62"/>
        <v>2.5830230891117833E-3</v>
      </c>
      <c r="W163" s="14">
        <f t="shared" si="62"/>
        <v>1.168449878222019E-3</v>
      </c>
      <c r="X163" s="16">
        <f t="shared" si="56"/>
        <v>2.2106408988995412</v>
      </c>
    </row>
    <row r="164" spans="1:24" x14ac:dyDescent="0.25">
      <c r="A164" s="10">
        <v>45411</v>
      </c>
      <c r="B164" s="11">
        <v>13373.9</v>
      </c>
      <c r="C164" s="12">
        <f t="shared" si="51"/>
        <v>1.4174498332830687E-3</v>
      </c>
      <c r="D164" s="11">
        <f t="shared" si="61"/>
        <v>13243.6525</v>
      </c>
      <c r="E164" s="11">
        <f t="shared" si="42"/>
        <v>13079.288599999998</v>
      </c>
      <c r="F164" s="11">
        <f t="shared" si="63"/>
        <v>12430.973437499997</v>
      </c>
      <c r="G164" s="12">
        <f t="shared" si="52"/>
        <v>1.4164461995564959E-3</v>
      </c>
      <c r="H164" s="19">
        <f t="shared" si="57"/>
        <v>6.7280796365449147E-2</v>
      </c>
      <c r="I164" s="11">
        <f t="shared" si="58"/>
        <v>13455.65</v>
      </c>
      <c r="J164" s="11">
        <f t="shared" si="59"/>
        <v>12986.94</v>
      </c>
      <c r="K164" s="12">
        <f>(B164-MAX($B$2:B164))/MAX($B$2:B164)</f>
        <v>-6.0755147465934387E-3</v>
      </c>
      <c r="L164" s="12">
        <f t="shared" si="60"/>
        <v>2.9796087454011522E-2</v>
      </c>
      <c r="M164" s="15">
        <f t="shared" si="54"/>
        <v>69.192300061204676</v>
      </c>
      <c r="N164" s="11">
        <f t="shared" si="47"/>
        <v>13311.238428018783</v>
      </c>
      <c r="O164" s="11">
        <f t="shared" si="48"/>
        <v>13213.288610783909</v>
      </c>
      <c r="P164" s="11">
        <f t="shared" si="44"/>
        <v>97.94981723487399</v>
      </c>
      <c r="Q164" s="11">
        <f t="shared" si="49"/>
        <v>102.58685189465544</v>
      </c>
      <c r="R164" s="11">
        <f t="shared" si="45"/>
        <v>-4.6370346597814489</v>
      </c>
      <c r="S164" s="9">
        <f t="shared" si="46"/>
        <v>60</v>
      </c>
      <c r="T164" s="14">
        <f t="shared" si="53"/>
        <v>1.4174498332830687E-3</v>
      </c>
      <c r="U164" s="14">
        <f t="shared" si="50"/>
        <v>0</v>
      </c>
      <c r="V164" s="14">
        <f t="shared" si="62"/>
        <v>2.6242703850347026E-3</v>
      </c>
      <c r="W164" s="14">
        <f t="shared" si="62"/>
        <v>1.168449878222019E-3</v>
      </c>
      <c r="X164" s="16">
        <f t="shared" si="56"/>
        <v>2.2459417677615274</v>
      </c>
    </row>
    <row r="165" spans="1:24" x14ac:dyDescent="0.25">
      <c r="A165" s="10">
        <v>45412</v>
      </c>
      <c r="B165" s="11">
        <v>13319.36</v>
      </c>
      <c r="C165" s="12">
        <f t="shared" si="51"/>
        <v>-4.0780924038611444E-3</v>
      </c>
      <c r="D165" s="11">
        <f t="shared" si="61"/>
        <v>13260.273499999999</v>
      </c>
      <c r="E165" s="11">
        <f t="shared" si="42"/>
        <v>13091.122999999998</v>
      </c>
      <c r="F165" s="11">
        <f t="shared" si="63"/>
        <v>12440.767062499997</v>
      </c>
      <c r="G165" s="12">
        <f t="shared" si="52"/>
        <v>-4.086430499425143E-3</v>
      </c>
      <c r="H165" s="19">
        <f t="shared" si="57"/>
        <v>7.0066264313501422E-2</v>
      </c>
      <c r="I165" s="11">
        <f t="shared" si="58"/>
        <v>13455.65</v>
      </c>
      <c r="J165" s="11">
        <f t="shared" si="59"/>
        <v>13007.12</v>
      </c>
      <c r="K165" s="12">
        <f>(B165-MAX($B$2:B165))/MAX($B$2:B165)</f>
        <v>-1.0128830639916991E-2</v>
      </c>
      <c r="L165" s="12">
        <f t="shared" si="60"/>
        <v>2.3839227994278067E-2</v>
      </c>
      <c r="M165" s="15">
        <f t="shared" si="54"/>
        <v>63.65971000424237</v>
      </c>
      <c r="N165" s="11">
        <f t="shared" si="47"/>
        <v>13312.487900631279</v>
      </c>
      <c r="O165" s="11">
        <f t="shared" si="48"/>
        <v>13221.145750725842</v>
      </c>
      <c r="P165" s="11">
        <f t="shared" si="44"/>
        <v>91.3421499054366</v>
      </c>
      <c r="Q165" s="11">
        <f t="shared" si="49"/>
        <v>100.33791149681169</v>
      </c>
      <c r="R165" s="11">
        <f t="shared" si="45"/>
        <v>-8.9957615913750857</v>
      </c>
      <c r="S165" s="9">
        <f t="shared" si="46"/>
        <v>60</v>
      </c>
      <c r="T165" s="14">
        <f t="shared" si="53"/>
        <v>0</v>
      </c>
      <c r="U165" s="14">
        <f t="shared" si="50"/>
        <v>4.0780924038611444E-3</v>
      </c>
      <c r="V165" s="14">
        <f t="shared" si="62"/>
        <v>2.5571277687768757E-3</v>
      </c>
      <c r="W165" s="14">
        <f t="shared" si="62"/>
        <v>1.4597421927835291E-3</v>
      </c>
      <c r="X165" s="16">
        <f t="shared" si="56"/>
        <v>1.7517667033387465</v>
      </c>
    </row>
    <row r="166" spans="1:24" x14ac:dyDescent="0.25">
      <c r="A166" s="10">
        <v>45414</v>
      </c>
      <c r="B166" s="11">
        <v>13322.85</v>
      </c>
      <c r="C166" s="12">
        <f t="shared" si="51"/>
        <v>2.6202460178259557E-4</v>
      </c>
      <c r="D166" s="11">
        <f t="shared" si="61"/>
        <v>13275.954499999998</v>
      </c>
      <c r="E166" s="11">
        <f t="shared" si="42"/>
        <v>13100.154399999998</v>
      </c>
      <c r="F166" s="11">
        <f t="shared" si="63"/>
        <v>12450.832562499998</v>
      </c>
      <c r="G166" s="12">
        <f t="shared" si="52"/>
        <v>2.6199027933204597E-4</v>
      </c>
      <c r="H166" s="19">
        <f t="shared" si="57"/>
        <v>7.0131954836236618E-2</v>
      </c>
      <c r="I166" s="11">
        <f t="shared" si="58"/>
        <v>13455.65</v>
      </c>
      <c r="J166" s="11">
        <f t="shared" si="59"/>
        <v>13007.12</v>
      </c>
      <c r="K166" s="12">
        <f>(B166-MAX($B$2:B166))/MAX($B$2:B166)</f>
        <v>-9.8694600409492874E-3</v>
      </c>
      <c r="L166" s="12">
        <f t="shared" si="60"/>
        <v>2.4273628597260455E-2</v>
      </c>
      <c r="M166" s="15">
        <f t="shared" si="54"/>
        <v>58.108462034186886</v>
      </c>
      <c r="N166" s="11">
        <f t="shared" si="47"/>
        <v>13314.082069764929</v>
      </c>
      <c r="O166" s="11">
        <f t="shared" si="48"/>
        <v>13228.679398820224</v>
      </c>
      <c r="P166" s="11">
        <f t="shared" si="44"/>
        <v>85.402670944704369</v>
      </c>
      <c r="Q166" s="11">
        <f t="shared" si="49"/>
        <v>97.35086338639023</v>
      </c>
      <c r="R166" s="11">
        <f t="shared" si="45"/>
        <v>-11.948192441685862</v>
      </c>
      <c r="S166" s="9">
        <f t="shared" si="46"/>
        <v>60</v>
      </c>
      <c r="T166" s="14">
        <f t="shared" si="53"/>
        <v>2.6202460178259557E-4</v>
      </c>
      <c r="U166" s="14">
        <f t="shared" si="50"/>
        <v>0</v>
      </c>
      <c r="V166" s="14">
        <f t="shared" si="62"/>
        <v>2.0248331264009728E-3</v>
      </c>
      <c r="W166" s="14">
        <f t="shared" si="62"/>
        <v>1.4597421927835291E-3</v>
      </c>
      <c r="X166" s="16">
        <f t="shared" si="56"/>
        <v>1.3871169418895075</v>
      </c>
    </row>
    <row r="167" spans="1:24" x14ac:dyDescent="0.25">
      <c r="A167" s="10">
        <v>45415</v>
      </c>
      <c r="B167" s="11">
        <v>13403.47</v>
      </c>
      <c r="C167" s="12">
        <f t="shared" si="51"/>
        <v>6.0512578014462193E-3</v>
      </c>
      <c r="D167" s="11">
        <f t="shared" si="61"/>
        <v>13295.772000000001</v>
      </c>
      <c r="E167" s="11">
        <f t="shared" si="42"/>
        <v>13109.821599999999</v>
      </c>
      <c r="F167" s="11">
        <f t="shared" si="63"/>
        <v>12461.317812499998</v>
      </c>
      <c r="G167" s="12">
        <f t="shared" si="52"/>
        <v>6.0330224684466156E-3</v>
      </c>
      <c r="H167" s="19">
        <f t="shared" si="57"/>
        <v>7.197010698717124E-2</v>
      </c>
      <c r="I167" s="11">
        <f t="shared" si="58"/>
        <v>13455.65</v>
      </c>
      <c r="J167" s="11">
        <f t="shared" si="59"/>
        <v>13053.17</v>
      </c>
      <c r="K167" s="12">
        <f>(B167-MAX($B$2:B167))/MAX($B$2:B167)</f>
        <v>-3.8779248865718338E-3</v>
      </c>
      <c r="L167" s="12">
        <f t="shared" si="60"/>
        <v>2.6836392998788705E-2</v>
      </c>
      <c r="M167" s="15">
        <f t="shared" si="54"/>
        <v>55.23906946425916</v>
      </c>
      <c r="N167" s="11">
        <f t="shared" si="47"/>
        <v>13327.834059031862</v>
      </c>
      <c r="O167" s="11">
        <f t="shared" si="48"/>
        <v>13241.626850759467</v>
      </c>
      <c r="P167" s="11">
        <f t="shared" si="44"/>
        <v>86.207208272395292</v>
      </c>
      <c r="Q167" s="11">
        <f t="shared" si="49"/>
        <v>95.122132363591248</v>
      </c>
      <c r="R167" s="11">
        <f t="shared" si="45"/>
        <v>-8.9149240911959566</v>
      </c>
      <c r="S167" s="9">
        <f t="shared" si="46"/>
        <v>60</v>
      </c>
      <c r="T167" s="14">
        <f t="shared" si="53"/>
        <v>6.0512578014462193E-3</v>
      </c>
      <c r="U167" s="14">
        <f t="shared" si="50"/>
        <v>0</v>
      </c>
      <c r="V167" s="14">
        <f t="shared" si="62"/>
        <v>1.8014549613237785E-3</v>
      </c>
      <c r="W167" s="14">
        <f t="shared" si="62"/>
        <v>1.4597421927835291E-3</v>
      </c>
      <c r="X167" s="16">
        <f t="shared" si="56"/>
        <v>1.2340911773527965</v>
      </c>
    </row>
    <row r="168" spans="1:24" x14ac:dyDescent="0.25">
      <c r="A168" s="10">
        <v>45418</v>
      </c>
      <c r="B168" s="11">
        <v>13362.48</v>
      </c>
      <c r="C168" s="12">
        <f t="shared" si="51"/>
        <v>-3.0581632965194228E-3</v>
      </c>
      <c r="D168" s="11">
        <f t="shared" si="61"/>
        <v>13311.237499999999</v>
      </c>
      <c r="E168" s="11">
        <f t="shared" si="42"/>
        <v>13119.352599999995</v>
      </c>
      <c r="F168" s="11">
        <f t="shared" si="63"/>
        <v>12471.477812499998</v>
      </c>
      <c r="G168" s="12">
        <f t="shared" si="52"/>
        <v>-3.0628490334979825E-3</v>
      </c>
      <c r="H168" s="19">
        <f t="shared" si="57"/>
        <v>7.3295549453194581E-2</v>
      </c>
      <c r="I168" s="11">
        <f t="shared" si="58"/>
        <v>13455.65</v>
      </c>
      <c r="J168" s="11">
        <f t="shared" si="59"/>
        <v>13095.43</v>
      </c>
      <c r="K168" s="12">
        <f>(B168-MAX($B$2:B168))/MAX($B$2:B168)</f>
        <v>-6.9242288555365272E-3</v>
      </c>
      <c r="L168" s="12">
        <f t="shared" si="60"/>
        <v>2.0392610246475318E-2</v>
      </c>
      <c r="M168" s="15">
        <f t="shared" si="54"/>
        <v>49.320490509714823</v>
      </c>
      <c r="N168" s="11">
        <f t="shared" si="47"/>
        <v>13333.164203796192</v>
      </c>
      <c r="O168" s="11">
        <f t="shared" si="48"/>
        <v>13250.578935888396</v>
      </c>
      <c r="P168" s="11">
        <f t="shared" si="44"/>
        <v>82.585267907796151</v>
      </c>
      <c r="Q168" s="11">
        <f t="shared" si="49"/>
        <v>92.61475947243224</v>
      </c>
      <c r="R168" s="11">
        <f t="shared" si="45"/>
        <v>-10.029491564636089</v>
      </c>
      <c r="S168" s="9">
        <f t="shared" si="46"/>
        <v>60</v>
      </c>
      <c r="T168" s="14">
        <f t="shared" si="53"/>
        <v>0</v>
      </c>
      <c r="U168" s="14">
        <f t="shared" si="50"/>
        <v>3.0581632965194228E-3</v>
      </c>
      <c r="V168" s="14">
        <f t="shared" si="62"/>
        <v>1.6331803791806829E-3</v>
      </c>
      <c r="W168" s="14">
        <f t="shared" si="62"/>
        <v>1.6781824282492022E-3</v>
      </c>
      <c r="X168" s="16">
        <f t="shared" si="56"/>
        <v>0.97318405418207798</v>
      </c>
    </row>
    <row r="169" spans="1:24" x14ac:dyDescent="0.25">
      <c r="A169" s="10">
        <v>45419</v>
      </c>
      <c r="B169" s="11">
        <v>13375.47</v>
      </c>
      <c r="C169" s="12">
        <f t="shared" si="51"/>
        <v>9.7212493489240437E-4</v>
      </c>
      <c r="D169" s="11">
        <f t="shared" si="61"/>
        <v>13325.239500000001</v>
      </c>
      <c r="E169" s="11">
        <f t="shared" si="42"/>
        <v>13127.633199999997</v>
      </c>
      <c r="F169" s="11">
        <f t="shared" si="63"/>
        <v>12481.732124999997</v>
      </c>
      <c r="G169" s="12">
        <f t="shared" si="52"/>
        <v>9.7165272745285678E-4</v>
      </c>
      <c r="H169" s="19">
        <f t="shared" si="57"/>
        <v>7.2890468162725347E-2</v>
      </c>
      <c r="I169" s="11">
        <f t="shared" si="58"/>
        <v>13455.65</v>
      </c>
      <c r="J169" s="11">
        <f t="shared" si="59"/>
        <v>13106.43</v>
      </c>
      <c r="K169" s="12">
        <f>(B169-MAX($B$2:B169))/MAX($B$2:B169)</f>
        <v>-5.958835136169586E-3</v>
      </c>
      <c r="L169" s="12">
        <f t="shared" si="60"/>
        <v>2.0527328952277601E-2</v>
      </c>
      <c r="M169" s="15">
        <f t="shared" si="54"/>
        <v>51.201878602413977</v>
      </c>
      <c r="N169" s="11">
        <f t="shared" si="47"/>
        <v>13339.672787827545</v>
      </c>
      <c r="O169" s="11">
        <f t="shared" si="48"/>
        <v>13259.830125822589</v>
      </c>
      <c r="P169" s="11">
        <f t="shared" si="44"/>
        <v>79.842662004955855</v>
      </c>
      <c r="Q169" s="11">
        <f t="shared" si="49"/>
        <v>90.06033997893698</v>
      </c>
      <c r="R169" s="11">
        <f t="shared" si="45"/>
        <v>-10.217677973981125</v>
      </c>
      <c r="S169" s="9">
        <f t="shared" si="46"/>
        <v>60</v>
      </c>
      <c r="T169" s="14">
        <f t="shared" si="53"/>
        <v>9.7212493489240437E-4</v>
      </c>
      <c r="U169" s="14">
        <f t="shared" si="50"/>
        <v>0</v>
      </c>
      <c r="V169" s="14">
        <f t="shared" si="62"/>
        <v>1.7026178745301404E-3</v>
      </c>
      <c r="W169" s="14">
        <f t="shared" si="62"/>
        <v>1.6226856514421825E-3</v>
      </c>
      <c r="X169" s="16">
        <f t="shared" si="56"/>
        <v>1.0492592160514373</v>
      </c>
    </row>
    <row r="170" spans="1:24" x14ac:dyDescent="0.25">
      <c r="A170" s="10">
        <v>45420</v>
      </c>
      <c r="B170" s="11">
        <v>13418.67</v>
      </c>
      <c r="C170" s="12">
        <f t="shared" si="51"/>
        <v>3.2297930465248204E-3</v>
      </c>
      <c r="D170" s="11">
        <f t="shared" si="61"/>
        <v>13340.851499999999</v>
      </c>
      <c r="E170" s="11">
        <f t="shared" si="42"/>
        <v>13136.271199999996</v>
      </c>
      <c r="F170" s="11">
        <f t="shared" si="63"/>
        <v>12492.001749999998</v>
      </c>
      <c r="G170" s="12">
        <f t="shared" si="52"/>
        <v>3.2245884684255362E-3</v>
      </c>
      <c r="H170" s="19">
        <f t="shared" si="57"/>
        <v>7.3286269714217075E-2</v>
      </c>
      <c r="I170" s="11">
        <f t="shared" si="58"/>
        <v>13455.65</v>
      </c>
      <c r="J170" s="11">
        <f t="shared" si="59"/>
        <v>13118.75</v>
      </c>
      <c r="K170" s="12">
        <f>(B170-MAX($B$2:B170))/MAX($B$2:B170)</f>
        <v>-2.7482878939329995E-3</v>
      </c>
      <c r="L170" s="12">
        <f t="shared" si="60"/>
        <v>2.2861934254406968E-2</v>
      </c>
      <c r="M170" s="15">
        <f t="shared" si="54"/>
        <v>52.770264839141895</v>
      </c>
      <c r="N170" s="11">
        <f t="shared" si="47"/>
        <v>13351.826205084846</v>
      </c>
      <c r="O170" s="11">
        <f t="shared" si="48"/>
        <v>13271.596042428322</v>
      </c>
      <c r="P170" s="11">
        <f t="shared" si="44"/>
        <v>80.230162656524044</v>
      </c>
      <c r="Q170" s="11">
        <f t="shared" si="49"/>
        <v>88.094304514454393</v>
      </c>
      <c r="R170" s="11">
        <f t="shared" si="45"/>
        <v>-7.864141857930349</v>
      </c>
      <c r="S170" s="9">
        <f t="shared" si="46"/>
        <v>60</v>
      </c>
      <c r="T170" s="14">
        <f t="shared" si="53"/>
        <v>3.2297930465248204E-3</v>
      </c>
      <c r="U170" s="14">
        <f t="shared" si="50"/>
        <v>0</v>
      </c>
      <c r="V170" s="14">
        <f t="shared" si="62"/>
        <v>1.8130432297711766E-3</v>
      </c>
      <c r="W170" s="14">
        <f t="shared" si="62"/>
        <v>1.6226856514421825E-3</v>
      </c>
      <c r="X170" s="16">
        <f t="shared" si="56"/>
        <v>1.1173102000130533</v>
      </c>
    </row>
    <row r="171" spans="1:24" x14ac:dyDescent="0.25">
      <c r="A171" s="10">
        <v>45421</v>
      </c>
      <c r="B171" s="11">
        <v>13478.23</v>
      </c>
      <c r="C171" s="12">
        <f t="shared" si="51"/>
        <v>4.4385919021781017E-3</v>
      </c>
      <c r="D171" s="11">
        <f t="shared" si="61"/>
        <v>13358.825500000001</v>
      </c>
      <c r="E171" s="11">
        <f t="shared" si="42"/>
        <v>13144.172399999996</v>
      </c>
      <c r="F171" s="11">
        <f t="shared" si="63"/>
        <v>12502.682499999995</v>
      </c>
      <c r="G171" s="12">
        <f t="shared" si="52"/>
        <v>4.4287704048291531E-3</v>
      </c>
      <c r="H171" s="19">
        <f t="shared" si="57"/>
        <v>7.4177367074834716E-2</v>
      </c>
      <c r="I171" s="11">
        <f t="shared" si="58"/>
        <v>13478.23</v>
      </c>
      <c r="J171" s="11">
        <f t="shared" si="59"/>
        <v>13219.95</v>
      </c>
      <c r="K171" s="12">
        <f>(B171-MAX($B$2:B171))/MAX($B$2:B171)</f>
        <v>0</v>
      </c>
      <c r="L171" s="12">
        <f t="shared" si="60"/>
        <v>1.9537138945306065E-2</v>
      </c>
      <c r="M171" s="15">
        <f t="shared" si="54"/>
        <v>51.918116859321778</v>
      </c>
      <c r="N171" s="11">
        <f t="shared" si="47"/>
        <v>13371.272942764101</v>
      </c>
      <c r="O171" s="11">
        <f t="shared" si="48"/>
        <v>13286.902261507705</v>
      </c>
      <c r="P171" s="11">
        <f t="shared" si="44"/>
        <v>84.370681256395983</v>
      </c>
      <c r="Q171" s="11">
        <f t="shared" si="49"/>
        <v>87.349579862842717</v>
      </c>
      <c r="R171" s="11">
        <f t="shared" si="45"/>
        <v>-2.9788986064467338</v>
      </c>
      <c r="S171" s="9">
        <f t="shared" si="46"/>
        <v>60</v>
      </c>
      <c r="T171" s="14">
        <f t="shared" si="53"/>
        <v>4.4385919021781017E-3</v>
      </c>
      <c r="U171" s="14">
        <f t="shared" si="50"/>
        <v>0</v>
      </c>
      <c r="V171" s="14">
        <f t="shared" si="62"/>
        <v>1.7521523237979317E-3</v>
      </c>
      <c r="W171" s="14">
        <f t="shared" si="62"/>
        <v>1.6226856514421825E-3</v>
      </c>
      <c r="X171" s="16">
        <f t="shared" si="56"/>
        <v>1.0797854299387464</v>
      </c>
    </row>
    <row r="172" spans="1:24" x14ac:dyDescent="0.25">
      <c r="A172" s="10">
        <v>45422</v>
      </c>
      <c r="B172" s="11">
        <v>13527.01</v>
      </c>
      <c r="C172" s="12">
        <f t="shared" si="51"/>
        <v>3.6191695793883483E-3</v>
      </c>
      <c r="D172" s="11">
        <f t="shared" si="61"/>
        <v>13374.178500000004</v>
      </c>
      <c r="E172" s="11">
        <f t="shared" si="42"/>
        <v>13152.370999999996</v>
      </c>
      <c r="F172" s="11">
        <f t="shared" si="63"/>
        <v>12513.429312499997</v>
      </c>
      <c r="G172" s="12">
        <f t="shared" si="52"/>
        <v>3.6126361441610306E-3</v>
      </c>
      <c r="H172" s="19">
        <f t="shared" si="57"/>
        <v>7.0902490032979354E-2</v>
      </c>
      <c r="I172" s="11">
        <f t="shared" si="58"/>
        <v>13527.01</v>
      </c>
      <c r="J172" s="11">
        <f t="shared" si="59"/>
        <v>13246.66</v>
      </c>
      <c r="K172" s="12">
        <f>(B172-MAX($B$2:B172))/MAX($B$2:B172)</f>
        <v>0</v>
      </c>
      <c r="L172" s="12">
        <f t="shared" si="60"/>
        <v>1.3920692826555614E-2</v>
      </c>
      <c r="M172" s="15">
        <f t="shared" si="54"/>
        <v>55.525720270216475</v>
      </c>
      <c r="N172" s="11">
        <f t="shared" si="47"/>
        <v>13395.232490031161</v>
      </c>
      <c r="O172" s="11">
        <f t="shared" si="48"/>
        <v>13304.688019914542</v>
      </c>
      <c r="P172" s="11">
        <f t="shared" si="44"/>
        <v>90.544470116619777</v>
      </c>
      <c r="Q172" s="11">
        <f t="shared" si="49"/>
        <v>87.988557913598129</v>
      </c>
      <c r="R172" s="11">
        <f t="shared" si="45"/>
        <v>2.5559122030216486</v>
      </c>
      <c r="S172" s="9">
        <f t="shared" si="46"/>
        <v>100</v>
      </c>
      <c r="T172" s="14">
        <f t="shared" si="53"/>
        <v>3.6191695793883483E-3</v>
      </c>
      <c r="U172" s="14">
        <f t="shared" si="50"/>
        <v>0</v>
      </c>
      <c r="V172" s="14">
        <f t="shared" si="62"/>
        <v>2.0106644366113852E-3</v>
      </c>
      <c r="W172" s="14">
        <f t="shared" si="62"/>
        <v>1.6104762290593464E-3</v>
      </c>
      <c r="X172" s="16">
        <f t="shared" si="56"/>
        <v>1.2484906019294568</v>
      </c>
    </row>
    <row r="173" spans="1:24" x14ac:dyDescent="0.25">
      <c r="A173" s="10">
        <v>45425</v>
      </c>
      <c r="B173" s="11">
        <v>13541.33</v>
      </c>
      <c r="C173" s="12">
        <f t="shared" si="51"/>
        <v>1.058622711153534E-3</v>
      </c>
      <c r="D173" s="11">
        <f t="shared" si="61"/>
        <v>13384.180500000002</v>
      </c>
      <c r="E173" s="11">
        <f t="shared" si="42"/>
        <v>13161.221599999997</v>
      </c>
      <c r="F173" s="11">
        <f t="shared" si="63"/>
        <v>12524.317124999998</v>
      </c>
      <c r="G173" s="12">
        <f t="shared" si="52"/>
        <v>1.0580627652773541E-3</v>
      </c>
      <c r="H173" s="19">
        <f t="shared" si="57"/>
        <v>6.4323883562175402E-2</v>
      </c>
      <c r="I173" s="11">
        <f t="shared" si="58"/>
        <v>13541.33</v>
      </c>
      <c r="J173" s="11">
        <f t="shared" si="59"/>
        <v>13246.66</v>
      </c>
      <c r="K173" s="12">
        <f>(B173-MAX($B$2:B173))/MAX($B$2:B173)</f>
        <v>0</v>
      </c>
      <c r="L173" s="12">
        <f t="shared" si="60"/>
        <v>1.260850447777262E-2</v>
      </c>
      <c r="M173" s="15">
        <f t="shared" si="54"/>
        <v>72.07309834868505</v>
      </c>
      <c r="N173" s="11">
        <f t="shared" si="47"/>
        <v>13417.709030026368</v>
      </c>
      <c r="O173" s="11">
        <f t="shared" si="48"/>
        <v>13322.217055476427</v>
      </c>
      <c r="P173" s="11">
        <f t="shared" si="44"/>
        <v>95.491974549941006</v>
      </c>
      <c r="Q173" s="11">
        <f t="shared" si="49"/>
        <v>89.489241240866704</v>
      </c>
      <c r="R173" s="11">
        <f t="shared" si="45"/>
        <v>6.0027333090743014</v>
      </c>
      <c r="S173" s="9">
        <f t="shared" si="46"/>
        <v>100</v>
      </c>
      <c r="T173" s="14">
        <f t="shared" si="53"/>
        <v>1.058622711153534E-3</v>
      </c>
      <c r="U173" s="14">
        <f t="shared" si="50"/>
        <v>0</v>
      </c>
      <c r="V173" s="14">
        <f t="shared" si="62"/>
        <v>2.0862803445509232E-3</v>
      </c>
      <c r="W173" s="14">
        <f t="shared" si="62"/>
        <v>8.0839241456598376E-4</v>
      </c>
      <c r="X173" s="16">
        <f t="shared" si="56"/>
        <v>2.5807767452531358</v>
      </c>
    </row>
    <row r="174" spans="1:24" x14ac:dyDescent="0.25">
      <c r="A174" s="10">
        <v>45426</v>
      </c>
      <c r="B174" s="11">
        <v>13501.46</v>
      </c>
      <c r="C174" s="12">
        <f t="shared" si="51"/>
        <v>-2.9443193541550672E-3</v>
      </c>
      <c r="D174" s="11">
        <f t="shared" si="61"/>
        <v>13390.617500000002</v>
      </c>
      <c r="E174" s="11">
        <f t="shared" si="42"/>
        <v>13168.569999999996</v>
      </c>
      <c r="F174" s="11">
        <f t="shared" si="63"/>
        <v>12535.124749999997</v>
      </c>
      <c r="G174" s="12">
        <f t="shared" si="52"/>
        <v>-2.9486623893346655E-3</v>
      </c>
      <c r="H174" s="19">
        <f t="shared" si="57"/>
        <v>6.5310445925362573E-2</v>
      </c>
      <c r="I174" s="11">
        <f t="shared" si="58"/>
        <v>13541.33</v>
      </c>
      <c r="J174" s="11">
        <f t="shared" si="59"/>
        <v>13246.66</v>
      </c>
      <c r="K174" s="12">
        <f>(B174-MAX($B$2:B174))/MAX($B$2:B174)</f>
        <v>-2.9443193541550793E-3</v>
      </c>
      <c r="L174" s="12">
        <f t="shared" si="60"/>
        <v>1.0412106271885158E-2</v>
      </c>
      <c r="M174" s="15">
        <f t="shared" si="54"/>
        <v>74.342173700257305</v>
      </c>
      <c r="N174" s="11">
        <f t="shared" si="47"/>
        <v>13430.593794637694</v>
      </c>
      <c r="O174" s="11">
        <f t="shared" si="48"/>
        <v>13335.494310626322</v>
      </c>
      <c r="P174" s="11">
        <f t="shared" si="44"/>
        <v>95.099484011372624</v>
      </c>
      <c r="Q174" s="11">
        <f t="shared" si="49"/>
        <v>90.611289794967902</v>
      </c>
      <c r="R174" s="11">
        <f t="shared" si="45"/>
        <v>4.4881942164047217</v>
      </c>
      <c r="S174" s="9">
        <f t="shared" si="46"/>
        <v>100</v>
      </c>
      <c r="T174" s="14">
        <f t="shared" si="53"/>
        <v>0</v>
      </c>
      <c r="U174" s="14">
        <f t="shared" si="50"/>
        <v>2.9443193541550672E-3</v>
      </c>
      <c r="V174" s="14">
        <f t="shared" si="62"/>
        <v>2.0862803445509232E-3</v>
      </c>
      <c r="W174" s="14">
        <f t="shared" si="62"/>
        <v>7.2004107532397388E-4</v>
      </c>
      <c r="X174" s="16">
        <f t="shared" si="56"/>
        <v>2.8974462930635259</v>
      </c>
    </row>
    <row r="175" spans="1:24" x14ac:dyDescent="0.25">
      <c r="A175" s="10">
        <v>45427</v>
      </c>
      <c r="B175" s="11">
        <v>13421.4</v>
      </c>
      <c r="C175" s="12">
        <f t="shared" si="51"/>
        <v>-5.9297290811511916E-3</v>
      </c>
      <c r="D175" s="11">
        <f t="shared" si="61"/>
        <v>13393.571000000002</v>
      </c>
      <c r="E175" s="11">
        <f t="shared" si="42"/>
        <v>13176.374799999998</v>
      </c>
      <c r="F175" s="11">
        <f t="shared" si="63"/>
        <v>12545.448999999997</v>
      </c>
      <c r="G175" s="12">
        <f t="shared" si="52"/>
        <v>-5.9473797349579617E-3</v>
      </c>
      <c r="H175" s="19">
        <f t="shared" si="57"/>
        <v>6.9098118287696214E-2</v>
      </c>
      <c r="I175" s="11">
        <f t="shared" si="58"/>
        <v>13541.33</v>
      </c>
      <c r="J175" s="11">
        <f t="shared" si="59"/>
        <v>13246.66</v>
      </c>
      <c r="K175" s="12">
        <f>(B175-MAX($B$2:B175))/MAX($B$2:B175)</f>
        <v>-8.856589419207736E-3</v>
      </c>
      <c r="L175" s="12">
        <f t="shared" si="60"/>
        <v>2.7321975699354795E-3</v>
      </c>
      <c r="M175" s="15">
        <f t="shared" si="54"/>
        <v>62.42397092752158</v>
      </c>
      <c r="N175" s="11">
        <f t="shared" si="47"/>
        <v>13429.179364693435</v>
      </c>
      <c r="O175" s="11">
        <f t="shared" si="48"/>
        <v>13341.857695024371</v>
      </c>
      <c r="P175" s="11">
        <f t="shared" si="44"/>
        <v>87.32166966906334</v>
      </c>
      <c r="Q175" s="11">
        <f t="shared" si="49"/>
        <v>89.953365769786998</v>
      </c>
      <c r="R175" s="11">
        <f t="shared" si="45"/>
        <v>-2.6316961007236586</v>
      </c>
      <c r="S175" s="9">
        <f t="shared" si="46"/>
        <v>60</v>
      </c>
      <c r="T175" s="14">
        <f t="shared" si="53"/>
        <v>0</v>
      </c>
      <c r="U175" s="14">
        <f t="shared" si="50"/>
        <v>5.9297290811511916E-3</v>
      </c>
      <c r="V175" s="14">
        <f t="shared" si="62"/>
        <v>1.8998182476902864E-3</v>
      </c>
      <c r="W175" s="14">
        <f t="shared" si="62"/>
        <v>1.1435931525490589E-3</v>
      </c>
      <c r="X175" s="16">
        <f t="shared" si="56"/>
        <v>1.661271094056141</v>
      </c>
    </row>
    <row r="176" spans="1:24" x14ac:dyDescent="0.25">
      <c r="A176" s="10">
        <v>45428</v>
      </c>
      <c r="B176" s="11">
        <v>13411.39</v>
      </c>
      <c r="C176" s="12">
        <f t="shared" si="51"/>
        <v>-7.4582383357923998E-4</v>
      </c>
      <c r="D176" s="11">
        <f t="shared" si="61"/>
        <v>13394.899000000001</v>
      </c>
      <c r="E176" s="11">
        <f t="shared" si="42"/>
        <v>13184.390199999998</v>
      </c>
      <c r="F176" s="11">
        <f t="shared" si="63"/>
        <v>12555.656874999997</v>
      </c>
      <c r="G176" s="12">
        <f t="shared" si="52"/>
        <v>-7.4610209854097042E-4</v>
      </c>
      <c r="H176" s="19">
        <f t="shared" si="57"/>
        <v>6.8954242076482944E-2</v>
      </c>
      <c r="I176" s="11">
        <f t="shared" si="58"/>
        <v>13541.33</v>
      </c>
      <c r="J176" s="11">
        <f t="shared" si="59"/>
        <v>13246.66</v>
      </c>
      <c r="K176" s="12">
        <f>(B176-MAX($B$2:B176))/MAX($B$2:B176)</f>
        <v>-9.5958077973138916E-3</v>
      </c>
      <c r="L176" s="12">
        <f t="shared" si="60"/>
        <v>-3.2893245588284659E-3</v>
      </c>
      <c r="M176" s="15">
        <f t="shared" si="54"/>
        <v>56.383042202675817</v>
      </c>
      <c r="N176" s="11">
        <f t="shared" si="47"/>
        <v>13426.442539355983</v>
      </c>
      <c r="O176" s="11">
        <f t="shared" si="48"/>
        <v>13347.008236133677</v>
      </c>
      <c r="P176" s="11">
        <f t="shared" si="44"/>
        <v>79.434303222305971</v>
      </c>
      <c r="Q176" s="11">
        <f t="shared" si="49"/>
        <v>87.84955326029079</v>
      </c>
      <c r="R176" s="11">
        <f t="shared" si="45"/>
        <v>-8.4152500379848192</v>
      </c>
      <c r="S176" s="9">
        <f t="shared" si="46"/>
        <v>60</v>
      </c>
      <c r="T176" s="14">
        <f t="shared" si="53"/>
        <v>0</v>
      </c>
      <c r="U176" s="14">
        <f t="shared" si="50"/>
        <v>7.4582383357923998E-4</v>
      </c>
      <c r="V176" s="14">
        <f t="shared" ref="V176:W191" si="64">AVERAGE(T163:T176)</f>
        <v>1.5471726040175993E-3</v>
      </c>
      <c r="W176" s="14">
        <f t="shared" si="64"/>
        <v>1.1968662835190047E-3</v>
      </c>
      <c r="X176" s="16">
        <f t="shared" si="56"/>
        <v>1.2926862635553824</v>
      </c>
    </row>
    <row r="177" spans="1:24" x14ac:dyDescent="0.25">
      <c r="A177" s="10">
        <v>45429</v>
      </c>
      <c r="B177" s="11">
        <v>13426.13</v>
      </c>
      <c r="C177" s="12">
        <f t="shared" si="51"/>
        <v>1.0990657940750381E-3</v>
      </c>
      <c r="D177" s="11">
        <f t="shared" si="61"/>
        <v>13393.423000000001</v>
      </c>
      <c r="E177" s="11">
        <f t="shared" si="42"/>
        <v>13192.878799999999</v>
      </c>
      <c r="F177" s="11">
        <f t="shared" si="63"/>
        <v>12565.717624999994</v>
      </c>
      <c r="G177" s="12">
        <f t="shared" si="52"/>
        <v>1.0984622634379597E-3</v>
      </c>
      <c r="H177" s="19">
        <f t="shared" si="57"/>
        <v>6.6338122455603596E-2</v>
      </c>
      <c r="I177" s="11">
        <f t="shared" si="58"/>
        <v>13541.33</v>
      </c>
      <c r="J177" s="11">
        <f t="shared" si="59"/>
        <v>13246.66</v>
      </c>
      <c r="K177" s="12">
        <f>(B177-MAX($B$2:B177))/MAX($B$2:B177)</f>
        <v>-8.5072884273554167E-3</v>
      </c>
      <c r="L177" s="12">
        <f t="shared" si="60"/>
        <v>-2.0232878799705256E-3</v>
      </c>
      <c r="M177" s="15">
        <f t="shared" si="54"/>
        <v>56.929802348659521</v>
      </c>
      <c r="N177" s="11">
        <f t="shared" si="47"/>
        <v>13426.394456378139</v>
      </c>
      <c r="O177" s="11">
        <f t="shared" si="48"/>
        <v>13352.869107531184</v>
      </c>
      <c r="P177" s="11">
        <f t="shared" si="44"/>
        <v>73.525348846955239</v>
      </c>
      <c r="Q177" s="11">
        <f t="shared" si="49"/>
        <v>84.98471237762368</v>
      </c>
      <c r="R177" s="11">
        <f t="shared" si="45"/>
        <v>-11.45936353066844</v>
      </c>
      <c r="S177" s="9">
        <f t="shared" si="46"/>
        <v>60</v>
      </c>
      <c r="T177" s="14">
        <f t="shared" si="53"/>
        <v>1.0990657940750381E-3</v>
      </c>
      <c r="U177" s="14">
        <f t="shared" si="50"/>
        <v>0</v>
      </c>
      <c r="V177" s="14">
        <f t="shared" si="64"/>
        <v>1.5820071574802949E-3</v>
      </c>
      <c r="W177" s="14">
        <f t="shared" si="64"/>
        <v>1.1968662835190047E-3</v>
      </c>
      <c r="X177" s="16">
        <f t="shared" si="56"/>
        <v>1.3217910632664043</v>
      </c>
    </row>
    <row r="178" spans="1:24" x14ac:dyDescent="0.25">
      <c r="A178" s="10">
        <v>45432</v>
      </c>
      <c r="B178" s="11">
        <v>13444.34</v>
      </c>
      <c r="C178" s="12">
        <f t="shared" si="51"/>
        <v>1.3563104185645436E-3</v>
      </c>
      <c r="D178" s="11">
        <f t="shared" si="61"/>
        <v>13392.9725</v>
      </c>
      <c r="E178" s="11">
        <f t="shared" si="42"/>
        <v>13201.7168</v>
      </c>
      <c r="F178" s="11">
        <f t="shared" si="63"/>
        <v>12575.658249999997</v>
      </c>
      <c r="G178" s="12">
        <f t="shared" si="52"/>
        <v>1.355391460423276E-3</v>
      </c>
      <c r="H178" s="19">
        <f t="shared" si="57"/>
        <v>6.6540406327199222E-2</v>
      </c>
      <c r="I178" s="11">
        <f t="shared" si="58"/>
        <v>13541.33</v>
      </c>
      <c r="J178" s="11">
        <f t="shared" si="59"/>
        <v>13246.66</v>
      </c>
      <c r="K178" s="12">
        <f>(B178-MAX($B$2:B178))/MAX($B$2:B178)</f>
        <v>-7.1625165327187049E-3</v>
      </c>
      <c r="L178" s="12">
        <f t="shared" si="60"/>
        <v>1.0679372257988762E-2</v>
      </c>
      <c r="M178" s="15">
        <f t="shared" si="54"/>
        <v>56.862009421775319</v>
      </c>
      <c r="N178" s="11">
        <f t="shared" si="47"/>
        <v>13429.15530924304</v>
      </c>
      <c r="O178" s="11">
        <f t="shared" si="48"/>
        <v>13359.644729195539</v>
      </c>
      <c r="P178" s="11">
        <f t="shared" si="44"/>
        <v>69.510580047501207</v>
      </c>
      <c r="Q178" s="11">
        <f t="shared" si="49"/>
        <v>81.889885911599194</v>
      </c>
      <c r="R178" s="11">
        <f t="shared" si="45"/>
        <v>-12.379305864097987</v>
      </c>
      <c r="S178" s="9">
        <f t="shared" si="46"/>
        <v>60</v>
      </c>
      <c r="T178" s="14">
        <f t="shared" si="53"/>
        <v>1.3563104185645436E-3</v>
      </c>
      <c r="U178" s="14">
        <f t="shared" si="50"/>
        <v>0</v>
      </c>
      <c r="V178" s="14">
        <f t="shared" si="64"/>
        <v>1.5776400564289719E-3</v>
      </c>
      <c r="W178" s="14">
        <f t="shared" si="64"/>
        <v>1.1968662835190047E-3</v>
      </c>
      <c r="X178" s="16">
        <f t="shared" si="56"/>
        <v>1.3181422838568257</v>
      </c>
    </row>
    <row r="179" spans="1:24" x14ac:dyDescent="0.25">
      <c r="A179" s="10">
        <v>45433</v>
      </c>
      <c r="B179" s="11">
        <v>13426.85</v>
      </c>
      <c r="C179" s="12">
        <f t="shared" si="51"/>
        <v>-1.3009191972235268E-3</v>
      </c>
      <c r="D179" s="11">
        <f t="shared" si="61"/>
        <v>13399.201000000001</v>
      </c>
      <c r="E179" s="11">
        <f t="shared" si="42"/>
        <v>13211.534199999996</v>
      </c>
      <c r="F179" s="11">
        <f t="shared" si="63"/>
        <v>12585.417812499996</v>
      </c>
      <c r="G179" s="12">
        <f t="shared" si="52"/>
        <v>-1.301766127207047E-3</v>
      </c>
      <c r="H179" s="19">
        <f t="shared" si="57"/>
        <v>5.1974986214774241E-2</v>
      </c>
      <c r="I179" s="11">
        <f t="shared" si="58"/>
        <v>13541.33</v>
      </c>
      <c r="J179" s="11">
        <f t="shared" si="59"/>
        <v>13246.66</v>
      </c>
      <c r="K179" s="12">
        <f>(B179-MAX($B$2:B179))/MAX($B$2:B179)</f>
        <v>-8.4541178746843602E-3</v>
      </c>
      <c r="L179" s="12">
        <f t="shared" si="60"/>
        <v>1.3602674183530006E-2</v>
      </c>
      <c r="M179" s="15">
        <f t="shared" si="54"/>
        <v>61.240538196714375</v>
      </c>
      <c r="N179" s="11">
        <f t="shared" si="47"/>
        <v>13428.800646282572</v>
      </c>
      <c r="O179" s="11">
        <f t="shared" si="48"/>
        <v>13364.622897403278</v>
      </c>
      <c r="P179" s="11">
        <f t="shared" si="44"/>
        <v>64.177748879294086</v>
      </c>
      <c r="Q179" s="11">
        <f t="shared" si="49"/>
        <v>78.347458505138178</v>
      </c>
      <c r="R179" s="11">
        <f t="shared" si="45"/>
        <v>-14.169709625844092</v>
      </c>
      <c r="S179" s="9">
        <f t="shared" si="46"/>
        <v>60</v>
      </c>
      <c r="T179" s="14">
        <f t="shared" si="53"/>
        <v>0</v>
      </c>
      <c r="U179" s="14">
        <f t="shared" si="50"/>
        <v>1.3009191972235268E-3</v>
      </c>
      <c r="V179" s="14">
        <f t="shared" si="64"/>
        <v>1.5776400564289719E-3</v>
      </c>
      <c r="W179" s="14">
        <f t="shared" si="64"/>
        <v>9.9849676875917478E-4</v>
      </c>
      <c r="X179" s="16">
        <f t="shared" si="56"/>
        <v>1.5800151846154642</v>
      </c>
    </row>
    <row r="180" spans="1:24" x14ac:dyDescent="0.25">
      <c r="A180" s="10">
        <v>45434</v>
      </c>
      <c r="B180" s="11">
        <v>13392.04</v>
      </c>
      <c r="C180" s="12">
        <f t="shared" si="51"/>
        <v>-2.5925663874996063E-3</v>
      </c>
      <c r="D180" s="11">
        <f t="shared" si="61"/>
        <v>13406.469999999998</v>
      </c>
      <c r="E180" s="11">
        <f t="shared" ref="E180:E243" si="65">AVERAGE(B131:B180)</f>
        <v>13221.865199999998</v>
      </c>
      <c r="F180" s="11">
        <f t="shared" si="63"/>
        <v>12595.436249999997</v>
      </c>
      <c r="G180" s="12">
        <f t="shared" si="52"/>
        <v>-2.5959329076131661E-3</v>
      </c>
      <c r="H180" s="19">
        <f t="shared" si="57"/>
        <v>5.0364036349019058E-2</v>
      </c>
      <c r="I180" s="11">
        <f t="shared" si="58"/>
        <v>13541.33</v>
      </c>
      <c r="J180" s="11">
        <f t="shared" si="59"/>
        <v>13281.24</v>
      </c>
      <c r="K180" s="12">
        <f>(B180-MAX($B$2:B180))/MAX($B$2:B180)</f>
        <v>-1.102476640034613E-2</v>
      </c>
      <c r="L180" s="12">
        <f t="shared" si="60"/>
        <v>8.3425945167772131E-3</v>
      </c>
      <c r="M180" s="15">
        <f t="shared" si="54"/>
        <v>56.841015294460192</v>
      </c>
      <c r="N180" s="11">
        <f t="shared" si="47"/>
        <v>13423.1451622391</v>
      </c>
      <c r="O180" s="11">
        <f t="shared" si="48"/>
        <v>13366.653793891925</v>
      </c>
      <c r="P180" s="11">
        <f t="shared" si="44"/>
        <v>56.491368347175012</v>
      </c>
      <c r="Q180" s="11">
        <f t="shared" si="49"/>
        <v>73.976240473545545</v>
      </c>
      <c r="R180" s="11">
        <f t="shared" si="45"/>
        <v>-17.484872126370533</v>
      </c>
      <c r="S180" s="9">
        <f t="shared" si="46"/>
        <v>60</v>
      </c>
      <c r="T180" s="14">
        <f t="shared" si="53"/>
        <v>0</v>
      </c>
      <c r="U180" s="14">
        <f t="shared" si="50"/>
        <v>2.5925663874996063E-3</v>
      </c>
      <c r="V180" s="14">
        <f t="shared" si="64"/>
        <v>1.5589240134445007E-3</v>
      </c>
      <c r="W180" s="14">
        <f t="shared" si="64"/>
        <v>1.1836800821520038E-3</v>
      </c>
      <c r="X180" s="16">
        <f t="shared" si="56"/>
        <v>1.3170146536640881</v>
      </c>
    </row>
    <row r="181" spans="1:24" x14ac:dyDescent="0.25">
      <c r="A181" s="10">
        <v>45435</v>
      </c>
      <c r="B181" s="11">
        <v>13375.53</v>
      </c>
      <c r="C181" s="12">
        <f t="shared" si="51"/>
        <v>-1.2328218852393213E-3</v>
      </c>
      <c r="D181" s="11">
        <f t="shared" si="61"/>
        <v>13411.184499999999</v>
      </c>
      <c r="E181" s="11">
        <f t="shared" si="65"/>
        <v>13231.226599999996</v>
      </c>
      <c r="F181" s="11">
        <f t="shared" si="63"/>
        <v>12605.811749999997</v>
      </c>
      <c r="G181" s="12">
        <f t="shared" si="52"/>
        <v>-1.233582435285772E-3</v>
      </c>
      <c r="H181" s="19">
        <f t="shared" si="57"/>
        <v>5.0123750456330649E-2</v>
      </c>
      <c r="I181" s="11">
        <f t="shared" si="58"/>
        <v>13541.33</v>
      </c>
      <c r="J181" s="11">
        <f t="shared" si="59"/>
        <v>13319.36</v>
      </c>
      <c r="K181" s="12">
        <f>(B181-MAX($B$2:B181))/MAX($B$2:B181)</f>
        <v>-1.2243996712287439E-2</v>
      </c>
      <c r="L181" s="12">
        <f t="shared" si="60"/>
        <v>2.1518250428380625E-3</v>
      </c>
      <c r="M181" s="15">
        <f t="shared" si="54"/>
        <v>46.976199664862634</v>
      </c>
      <c r="N181" s="11">
        <f t="shared" si="47"/>
        <v>13415.819752663854</v>
      </c>
      <c r="O181" s="11">
        <f t="shared" si="48"/>
        <v>13367.311290640671</v>
      </c>
      <c r="P181" s="11">
        <f t="shared" si="44"/>
        <v>48.508462023182801</v>
      </c>
      <c r="Q181" s="11">
        <f t="shared" si="49"/>
        <v>68.882684783472996</v>
      </c>
      <c r="R181" s="11">
        <f t="shared" si="45"/>
        <v>-20.374222760290195</v>
      </c>
      <c r="S181" s="9">
        <f t="shared" si="46"/>
        <v>60</v>
      </c>
      <c r="T181" s="14">
        <f t="shared" si="53"/>
        <v>0</v>
      </c>
      <c r="U181" s="14">
        <f t="shared" si="50"/>
        <v>1.2328218852393213E-3</v>
      </c>
      <c r="V181" s="14">
        <f t="shared" si="64"/>
        <v>1.1266913133411993E-3</v>
      </c>
      <c r="W181" s="14">
        <f t="shared" si="64"/>
        <v>1.2717387882405268E-3</v>
      </c>
      <c r="X181" s="16">
        <f t="shared" si="56"/>
        <v>0.8859455446035398</v>
      </c>
    </row>
    <row r="182" spans="1:24" x14ac:dyDescent="0.25">
      <c r="A182" s="10">
        <v>45436</v>
      </c>
      <c r="B182" s="11">
        <v>13370.7</v>
      </c>
      <c r="C182" s="12">
        <f t="shared" si="51"/>
        <v>-3.6110718603299397E-4</v>
      </c>
      <c r="D182" s="11">
        <f t="shared" si="61"/>
        <v>13412.378999999997</v>
      </c>
      <c r="E182" s="11">
        <f t="shared" si="65"/>
        <v>13241.598599999996</v>
      </c>
      <c r="F182" s="11">
        <f t="shared" si="63"/>
        <v>12616.502312499997</v>
      </c>
      <c r="G182" s="12">
        <f t="shared" si="52"/>
        <v>-3.6117240093308154E-4</v>
      </c>
      <c r="H182" s="19">
        <f t="shared" si="57"/>
        <v>4.7153968477492959E-2</v>
      </c>
      <c r="I182" s="11">
        <f t="shared" si="58"/>
        <v>13541.33</v>
      </c>
      <c r="J182" s="11">
        <f t="shared" si="59"/>
        <v>13319.36</v>
      </c>
      <c r="K182" s="12">
        <f>(B182-MAX($B$2:B182))/MAX($B$2:B182)</f>
        <v>-1.2600682503121866E-2</v>
      </c>
      <c r="L182" s="12">
        <f t="shared" si="60"/>
        <v>1.1778386623109149E-3</v>
      </c>
      <c r="M182" s="15">
        <f t="shared" si="54"/>
        <v>51.0789679907517</v>
      </c>
      <c r="N182" s="11">
        <f t="shared" si="47"/>
        <v>13408.87825225403</v>
      </c>
      <c r="O182" s="11">
        <f t="shared" si="48"/>
        <v>13367.562306148769</v>
      </c>
      <c r="P182" s="11">
        <f t="shared" si="44"/>
        <v>41.315946105260082</v>
      </c>
      <c r="Q182" s="11">
        <f t="shared" si="49"/>
        <v>63.369337047830413</v>
      </c>
      <c r="R182" s="11">
        <f t="shared" si="45"/>
        <v>-22.053390942570331</v>
      </c>
      <c r="S182" s="9">
        <f t="shared" si="46"/>
        <v>60</v>
      </c>
      <c r="T182" s="14">
        <f t="shared" si="53"/>
        <v>0</v>
      </c>
      <c r="U182" s="14">
        <f t="shared" si="50"/>
        <v>3.6110718603299397E-4</v>
      </c>
      <c r="V182" s="14">
        <f t="shared" si="64"/>
        <v>1.1266913133411993E-3</v>
      </c>
      <c r="W182" s="14">
        <f t="shared" si="64"/>
        <v>1.0790919232057819E-3</v>
      </c>
      <c r="X182" s="16">
        <f t="shared" si="56"/>
        <v>1.0441105980980827</v>
      </c>
    </row>
    <row r="183" spans="1:24" x14ac:dyDescent="0.25">
      <c r="A183" s="10">
        <v>45439</v>
      </c>
      <c r="B183" s="11">
        <v>13326.59</v>
      </c>
      <c r="C183" s="12">
        <f t="shared" si="51"/>
        <v>-3.2990045397772727E-3</v>
      </c>
      <c r="D183" s="11">
        <f t="shared" si="61"/>
        <v>13410.960000000001</v>
      </c>
      <c r="E183" s="11">
        <f t="shared" si="65"/>
        <v>13251.199999999995</v>
      </c>
      <c r="F183" s="11">
        <f t="shared" si="63"/>
        <v>12623.216624999997</v>
      </c>
      <c r="G183" s="12">
        <f t="shared" si="52"/>
        <v>-3.3044582531073516E-3</v>
      </c>
      <c r="H183" s="19">
        <f t="shared" si="57"/>
        <v>4.8605434577106164E-2</v>
      </c>
      <c r="I183" s="11">
        <f t="shared" si="58"/>
        <v>13541.33</v>
      </c>
      <c r="J183" s="11">
        <f t="shared" si="59"/>
        <v>13319.36</v>
      </c>
      <c r="K183" s="12">
        <f>(B183-MAX($B$2:B183))/MAX($B$2:B183)</f>
        <v>-1.585811733411709E-2</v>
      </c>
      <c r="L183" s="12">
        <f t="shared" si="60"/>
        <v>-3.5374871952085218E-3</v>
      </c>
      <c r="M183" s="15">
        <f t="shared" si="54"/>
        <v>44.572460179464819</v>
      </c>
      <c r="N183" s="11">
        <f t="shared" si="47"/>
        <v>13396.218521138026</v>
      </c>
      <c r="O183" s="11">
        <f t="shared" si="48"/>
        <v>13364.527320508119</v>
      </c>
      <c r="P183" s="11">
        <f t="shared" si="44"/>
        <v>31.691200629906234</v>
      </c>
      <c r="Q183" s="11">
        <f t="shared" si="49"/>
        <v>57.033709764245586</v>
      </c>
      <c r="R183" s="11">
        <f t="shared" si="45"/>
        <v>-25.342509134339352</v>
      </c>
      <c r="S183" s="9">
        <f t="shared" si="46"/>
        <v>60</v>
      </c>
      <c r="T183" s="14">
        <f t="shared" si="53"/>
        <v>0</v>
      </c>
      <c r="U183" s="14">
        <f t="shared" si="50"/>
        <v>3.2990045397772727E-3</v>
      </c>
      <c r="V183" s="14">
        <f t="shared" si="64"/>
        <v>1.0572538179917418E-3</v>
      </c>
      <c r="W183" s="14">
        <f t="shared" si="64"/>
        <v>1.3147351046184444E-3</v>
      </c>
      <c r="X183" s="16">
        <f t="shared" si="56"/>
        <v>0.80415728938687814</v>
      </c>
    </row>
    <row r="184" spans="1:24" x14ac:dyDescent="0.25">
      <c r="A184" s="10">
        <v>45440</v>
      </c>
      <c r="B184" s="11">
        <v>13374.25</v>
      </c>
      <c r="C184" s="12">
        <f t="shared" si="51"/>
        <v>3.5763087181341913E-3</v>
      </c>
      <c r="D184" s="11">
        <f t="shared" si="61"/>
        <v>13410.977500000003</v>
      </c>
      <c r="E184" s="11">
        <f t="shared" si="65"/>
        <v>13260.950199999997</v>
      </c>
      <c r="F184" s="11">
        <f t="shared" si="63"/>
        <v>12629.965937499997</v>
      </c>
      <c r="G184" s="12">
        <f t="shared" si="52"/>
        <v>3.5699289323083755E-3</v>
      </c>
      <c r="H184" s="19">
        <f t="shared" si="57"/>
        <v>5.0079034182323116E-2</v>
      </c>
      <c r="I184" s="11">
        <f t="shared" si="58"/>
        <v>13541.33</v>
      </c>
      <c r="J184" s="11">
        <f t="shared" si="59"/>
        <v>13319.36</v>
      </c>
      <c r="K184" s="12">
        <f>(B184-MAX($B$2:B184))/MAX($B$2:B184)</f>
        <v>-1.2338522139258103E-2</v>
      </c>
      <c r="L184" s="12">
        <f t="shared" si="60"/>
        <v>4.1210688801864848E-3</v>
      </c>
      <c r="M184" s="15">
        <f t="shared" si="54"/>
        <v>45.144860035993446</v>
      </c>
      <c r="N184" s="11">
        <f t="shared" si="47"/>
        <v>13392.838748655253</v>
      </c>
      <c r="O184" s="11">
        <f t="shared" si="48"/>
        <v>13365.247518988999</v>
      </c>
      <c r="P184" s="11">
        <f t="shared" si="44"/>
        <v>27.591229666253639</v>
      </c>
      <c r="Q184" s="11">
        <f t="shared" si="49"/>
        <v>51.145213744647194</v>
      </c>
      <c r="R184" s="11">
        <f t="shared" si="45"/>
        <v>-23.553984078393555</v>
      </c>
      <c r="S184" s="9">
        <f t="shared" si="46"/>
        <v>60</v>
      </c>
      <c r="T184" s="14">
        <f t="shared" si="53"/>
        <v>3.5763087181341913E-3</v>
      </c>
      <c r="U184" s="14">
        <f t="shared" si="50"/>
        <v>0</v>
      </c>
      <c r="V184" s="14">
        <f t="shared" si="64"/>
        <v>1.0820049373924112E-3</v>
      </c>
      <c r="W184" s="14">
        <f t="shared" si="64"/>
        <v>1.3147351046184444E-3</v>
      </c>
      <c r="X184" s="16">
        <f t="shared" si="56"/>
        <v>0.82298322573992966</v>
      </c>
    </row>
    <row r="185" spans="1:24" x14ac:dyDescent="0.25">
      <c r="A185" s="10">
        <v>45441</v>
      </c>
      <c r="B185" s="11">
        <v>13347.62</v>
      </c>
      <c r="C185" s="12">
        <f t="shared" si="51"/>
        <v>-1.991139690076027E-3</v>
      </c>
      <c r="D185" s="11">
        <f t="shared" si="61"/>
        <v>13412.390500000003</v>
      </c>
      <c r="E185" s="11">
        <f t="shared" si="65"/>
        <v>13268.527199999997</v>
      </c>
      <c r="F185" s="11">
        <f t="shared" si="63"/>
        <v>12636.954562499999</v>
      </c>
      <c r="G185" s="12">
        <f t="shared" si="52"/>
        <v>-1.9931246440267874E-3</v>
      </c>
      <c r="H185" s="19">
        <f t="shared" si="57"/>
        <v>4.8333624550875184E-2</v>
      </c>
      <c r="I185" s="11">
        <f t="shared" si="58"/>
        <v>13541.33</v>
      </c>
      <c r="J185" s="11">
        <f t="shared" si="59"/>
        <v>13322.85</v>
      </c>
      <c r="K185" s="12">
        <f>(B185-MAX($B$2:B185))/MAX($B$2:B185)</f>
        <v>-1.4305094108185763E-2</v>
      </c>
      <c r="L185" s="12">
        <f t="shared" si="60"/>
        <v>1.859211805282035E-3</v>
      </c>
      <c r="M185" s="15">
        <f t="shared" si="54"/>
        <v>34.427970442608142</v>
      </c>
      <c r="N185" s="11">
        <f t="shared" si="47"/>
        <v>13385.882018092905</v>
      </c>
      <c r="O185" s="11">
        <f t="shared" si="48"/>
        <v>13363.941776841666</v>
      </c>
      <c r="P185" s="11">
        <f t="shared" si="44"/>
        <v>21.940241251239058</v>
      </c>
      <c r="Q185" s="11">
        <f t="shared" si="49"/>
        <v>45.304219245965569</v>
      </c>
      <c r="R185" s="11">
        <f t="shared" si="45"/>
        <v>-23.363977994726511</v>
      </c>
      <c r="S185" s="9">
        <f t="shared" si="46"/>
        <v>60</v>
      </c>
      <c r="T185" s="14">
        <f t="shared" si="53"/>
        <v>0</v>
      </c>
      <c r="U185" s="14">
        <f t="shared" si="50"/>
        <v>1.991139690076027E-3</v>
      </c>
      <c r="V185" s="14">
        <f t="shared" si="64"/>
        <v>7.649626586654039E-4</v>
      </c>
      <c r="W185" s="14">
        <f t="shared" si="64"/>
        <v>1.4569593681953033E-3</v>
      </c>
      <c r="X185" s="16">
        <f t="shared" si="56"/>
        <v>0.52504048868084963</v>
      </c>
    </row>
    <row r="186" spans="1:24" x14ac:dyDescent="0.25">
      <c r="A186" s="10">
        <v>45442</v>
      </c>
      <c r="B186" s="11">
        <v>13313.64</v>
      </c>
      <c r="C186" s="12">
        <f t="shared" si="51"/>
        <v>-2.5457722050823417E-3</v>
      </c>
      <c r="D186" s="11">
        <f t="shared" si="61"/>
        <v>13411.929999999998</v>
      </c>
      <c r="E186" s="11">
        <f t="shared" si="65"/>
        <v>13273.526399999997</v>
      </c>
      <c r="F186" s="11">
        <f t="shared" si="63"/>
        <v>12643.756312499998</v>
      </c>
      <c r="G186" s="12">
        <f t="shared" si="52"/>
        <v>-2.5490181933438736E-3</v>
      </c>
      <c r="H186" s="19">
        <f t="shared" si="57"/>
        <v>4.9234825772479382E-2</v>
      </c>
      <c r="I186" s="11">
        <f t="shared" si="58"/>
        <v>13541.33</v>
      </c>
      <c r="J186" s="11">
        <f t="shared" si="59"/>
        <v>13313.64</v>
      </c>
      <c r="K186" s="12">
        <f>(B186-MAX($B$2:B186))/MAX($B$2:B186)</f>
        <v>-1.6814448802296416E-2</v>
      </c>
      <c r="L186" s="12">
        <f t="shared" si="60"/>
        <v>-6.7019958264539214E-3</v>
      </c>
      <c r="M186" s="15">
        <f t="shared" si="54"/>
        <v>23.607987895639667</v>
      </c>
      <c r="N186" s="11">
        <f t="shared" si="47"/>
        <v>13374.767861463228</v>
      </c>
      <c r="O186" s="11">
        <f t="shared" si="48"/>
        <v>13360.215719297839</v>
      </c>
      <c r="P186" s="11">
        <f t="shared" si="44"/>
        <v>14.552142165388432</v>
      </c>
      <c r="Q186" s="11">
        <f t="shared" si="49"/>
        <v>39.153803829850141</v>
      </c>
      <c r="R186" s="11">
        <f t="shared" si="45"/>
        <v>-24.601661664461709</v>
      </c>
      <c r="S186" s="9">
        <f t="shared" si="46"/>
        <v>60</v>
      </c>
      <c r="T186" s="14">
        <f t="shared" si="53"/>
        <v>0</v>
      </c>
      <c r="U186" s="14">
        <f t="shared" si="50"/>
        <v>2.5457722050823417E-3</v>
      </c>
      <c r="V186" s="14">
        <f t="shared" si="64"/>
        <v>5.0645054585195053E-4</v>
      </c>
      <c r="W186" s="14">
        <f t="shared" si="64"/>
        <v>1.6388002399868992E-3</v>
      </c>
      <c r="X186" s="16">
        <f t="shared" si="56"/>
        <v>0.30903738814194898</v>
      </c>
    </row>
    <row r="187" spans="1:24" x14ac:dyDescent="0.25">
      <c r="A187" s="10">
        <v>45443</v>
      </c>
      <c r="B187" s="11">
        <v>13310.4</v>
      </c>
      <c r="C187" s="12">
        <f t="shared" si="51"/>
        <v>-2.4335944189568526E-4</v>
      </c>
      <c r="D187" s="11">
        <f t="shared" si="61"/>
        <v>13407.276500000002</v>
      </c>
      <c r="E187" s="11">
        <f t="shared" si="65"/>
        <v>13278.021799999997</v>
      </c>
      <c r="F187" s="11">
        <f t="shared" si="63"/>
        <v>12650.205312499997</v>
      </c>
      <c r="G187" s="12">
        <f t="shared" si="52"/>
        <v>-2.4338905860976729E-4</v>
      </c>
      <c r="H187" s="19">
        <f t="shared" si="57"/>
        <v>4.3706168326690234E-2</v>
      </c>
      <c r="I187" s="11">
        <f t="shared" si="58"/>
        <v>13541.33</v>
      </c>
      <c r="J187" s="11">
        <f t="shared" si="59"/>
        <v>13310.4</v>
      </c>
      <c r="K187" s="12">
        <f>(B187-MAX($B$2:B187))/MAX($B$2:B187)</f>
        <v>-1.7053716289315769E-2</v>
      </c>
      <c r="L187" s="12">
        <f t="shared" si="60"/>
        <v>-3.8974801084828981E-3</v>
      </c>
      <c r="M187" s="15">
        <f t="shared" si="54"/>
        <v>20.643554623802771</v>
      </c>
      <c r="N187" s="11">
        <f t="shared" si="47"/>
        <v>13364.865113545808</v>
      </c>
      <c r="O187" s="11">
        <f t="shared" si="48"/>
        <v>13356.525666016518</v>
      </c>
      <c r="P187" s="11">
        <f t="shared" si="44"/>
        <v>8.3394475292898278</v>
      </c>
      <c r="Q187" s="11">
        <f t="shared" si="49"/>
        <v>32.990932569738078</v>
      </c>
      <c r="R187" s="11">
        <f t="shared" si="45"/>
        <v>-24.65148504044825</v>
      </c>
      <c r="S187" s="9">
        <f t="shared" si="46"/>
        <v>60</v>
      </c>
      <c r="T187" s="14">
        <f t="shared" si="53"/>
        <v>0</v>
      </c>
      <c r="U187" s="14">
        <f t="shared" si="50"/>
        <v>2.4335944189568526E-4</v>
      </c>
      <c r="V187" s="14">
        <f t="shared" si="64"/>
        <v>4.3083463791241235E-4</v>
      </c>
      <c r="W187" s="14">
        <f t="shared" si="64"/>
        <v>1.6561830572651623E-3</v>
      </c>
      <c r="X187" s="16">
        <f t="shared" si="56"/>
        <v>0.260137088121071</v>
      </c>
    </row>
    <row r="188" spans="1:24" x14ac:dyDescent="0.25">
      <c r="A188" s="10">
        <v>45446</v>
      </c>
      <c r="B188" s="11">
        <v>13314.09</v>
      </c>
      <c r="C188" s="12">
        <f t="shared" si="51"/>
        <v>2.7722683014785865E-4</v>
      </c>
      <c r="D188" s="11">
        <f t="shared" si="61"/>
        <v>13404.857</v>
      </c>
      <c r="E188" s="11">
        <f t="shared" si="65"/>
        <v>13283.611999999997</v>
      </c>
      <c r="F188" s="11">
        <f t="shared" si="63"/>
        <v>12656.735687499999</v>
      </c>
      <c r="G188" s="12">
        <f t="shared" si="52"/>
        <v>2.7718840989076845E-4</v>
      </c>
      <c r="H188" s="19">
        <f t="shared" si="57"/>
        <v>4.2547566886253899E-2</v>
      </c>
      <c r="I188" s="11">
        <f t="shared" si="58"/>
        <v>13541.33</v>
      </c>
      <c r="J188" s="11">
        <f t="shared" si="59"/>
        <v>13310.4</v>
      </c>
      <c r="K188" s="12">
        <f>(B188-MAX($B$2:B188))/MAX($B$2:B188)</f>
        <v>-1.6781217206877003E-2</v>
      </c>
      <c r="L188" s="12">
        <f t="shared" si="60"/>
        <v>-4.5889976202704297E-3</v>
      </c>
      <c r="M188" s="15">
        <f t="shared" si="54"/>
        <v>23.761345641589799</v>
      </c>
      <c r="N188" s="11">
        <f t="shared" si="47"/>
        <v>13357.053557615684</v>
      </c>
      <c r="O188" s="11">
        <f t="shared" si="48"/>
        <v>13353.382283348628</v>
      </c>
      <c r="P188" s="11">
        <f t="shared" si="44"/>
        <v>3.6712742670551961</v>
      </c>
      <c r="Q188" s="11">
        <f t="shared" si="49"/>
        <v>27.127000909201502</v>
      </c>
      <c r="R188" s="11">
        <f t="shared" si="45"/>
        <v>-23.455726642146306</v>
      </c>
      <c r="S188" s="9">
        <f t="shared" si="46"/>
        <v>60</v>
      </c>
      <c r="T188" s="14">
        <f t="shared" si="53"/>
        <v>2.7722683014785865E-4</v>
      </c>
      <c r="U188" s="14">
        <f t="shared" si="50"/>
        <v>0</v>
      </c>
      <c r="V188" s="14">
        <f t="shared" si="64"/>
        <v>4.5063655435154511E-4</v>
      </c>
      <c r="W188" s="14">
        <f t="shared" si="64"/>
        <v>1.4458745319683719E-3</v>
      </c>
      <c r="X188" s="16">
        <f t="shared" si="56"/>
        <v>0.31167058025295008</v>
      </c>
    </row>
    <row r="189" spans="1:24" x14ac:dyDescent="0.25">
      <c r="A189" s="10">
        <v>45447</v>
      </c>
      <c r="B189" s="11">
        <v>13238.72</v>
      </c>
      <c r="C189" s="12">
        <f t="shared" si="51"/>
        <v>-5.6609201229674833E-3</v>
      </c>
      <c r="D189" s="11">
        <f t="shared" si="61"/>
        <v>13398.019499999999</v>
      </c>
      <c r="E189" s="11">
        <f t="shared" si="65"/>
        <v>13289.148999999998</v>
      </c>
      <c r="F189" s="11">
        <f t="shared" si="63"/>
        <v>12662.995749999998</v>
      </c>
      <c r="G189" s="12">
        <f t="shared" si="52"/>
        <v>-5.6770038591719427E-3</v>
      </c>
      <c r="H189" s="19">
        <f t="shared" si="57"/>
        <v>4.6517924000776249E-2</v>
      </c>
      <c r="I189" s="11">
        <f t="shared" si="58"/>
        <v>13541.33</v>
      </c>
      <c r="J189" s="11">
        <f t="shared" si="59"/>
        <v>13238.72</v>
      </c>
      <c r="K189" s="12">
        <f>(B189-MAX($B$2:B189))/MAX($B$2:B189)</f>
        <v>-2.2347140199670237E-2</v>
      </c>
      <c r="L189" s="12">
        <f t="shared" si="60"/>
        <v>-1.3410419959653308E-2</v>
      </c>
      <c r="M189" s="15">
        <f t="shared" si="54"/>
        <v>24.004370465406168</v>
      </c>
      <c r="N189" s="11">
        <f t="shared" si="47"/>
        <v>13338.848394905577</v>
      </c>
      <c r="O189" s="11">
        <f t="shared" si="48"/>
        <v>13344.88878087836</v>
      </c>
      <c r="P189" s="11">
        <f t="shared" si="44"/>
        <v>-6.0403859727830422</v>
      </c>
      <c r="Q189" s="11">
        <f t="shared" si="49"/>
        <v>20.493523532804595</v>
      </c>
      <c r="R189" s="11">
        <f t="shared" si="45"/>
        <v>-26.533909505587637</v>
      </c>
      <c r="S189" s="9">
        <f t="shared" si="46"/>
        <v>60</v>
      </c>
      <c r="T189" s="14">
        <f t="shared" si="53"/>
        <v>0</v>
      </c>
      <c r="U189" s="14">
        <f t="shared" si="50"/>
        <v>5.6609201229674833E-3</v>
      </c>
      <c r="V189" s="14">
        <f t="shared" si="64"/>
        <v>4.5063655435154511E-4</v>
      </c>
      <c r="W189" s="14">
        <f t="shared" si="64"/>
        <v>1.426673892098107E-3</v>
      </c>
      <c r="X189" s="16">
        <f t="shared" si="56"/>
        <v>0.31586514398803939</v>
      </c>
    </row>
    <row r="190" spans="1:24" x14ac:dyDescent="0.25">
      <c r="A190" s="10">
        <v>45448</v>
      </c>
      <c r="B190" s="11">
        <v>13053.28</v>
      </c>
      <c r="C190" s="12">
        <f t="shared" si="51"/>
        <v>-1.4007396485460677E-2</v>
      </c>
      <c r="D190" s="11">
        <f t="shared" si="61"/>
        <v>13379.75</v>
      </c>
      <c r="E190" s="11">
        <f t="shared" si="65"/>
        <v>13290.663399999996</v>
      </c>
      <c r="F190" s="11">
        <f t="shared" si="63"/>
        <v>12668.372562499999</v>
      </c>
      <c r="G190" s="12">
        <f t="shared" si="52"/>
        <v>-1.4106425914190486E-2</v>
      </c>
      <c r="H190" s="19">
        <f t="shared" si="57"/>
        <v>6.5037295071700169E-2</v>
      </c>
      <c r="I190" s="11">
        <f t="shared" si="58"/>
        <v>13541.33</v>
      </c>
      <c r="J190" s="11">
        <f t="shared" si="59"/>
        <v>13053.28</v>
      </c>
      <c r="K190" s="12">
        <f>(B190-MAX($B$2:B190))/MAX($B$2:B190)</f>
        <v>-3.6041511432038008E-2</v>
      </c>
      <c r="L190" s="12">
        <f t="shared" si="60"/>
        <v>-3.1528620597808366E-2</v>
      </c>
      <c r="M190" s="15">
        <f t="shared" si="54"/>
        <v>15.954189508957285</v>
      </c>
      <c r="N190" s="11">
        <f t="shared" si="47"/>
        <v>13294.914795689334</v>
      </c>
      <c r="O190" s="11">
        <f t="shared" si="48"/>
        <v>13323.288130442927</v>
      </c>
      <c r="P190" s="11">
        <f t="shared" si="44"/>
        <v>-28.373334753592644</v>
      </c>
      <c r="Q190" s="11">
        <f t="shared" si="49"/>
        <v>10.720151875525147</v>
      </c>
      <c r="R190" s="11">
        <f t="shared" si="45"/>
        <v>-39.093486629117791</v>
      </c>
      <c r="S190" s="9">
        <f t="shared" si="46"/>
        <v>60</v>
      </c>
      <c r="T190" s="14">
        <f t="shared" si="53"/>
        <v>0</v>
      </c>
      <c r="U190" s="14">
        <f t="shared" si="50"/>
        <v>1.4007396485460677E-2</v>
      </c>
      <c r="V190" s="14">
        <f t="shared" si="64"/>
        <v>4.5063655435154511E-4</v>
      </c>
      <c r="W190" s="14">
        <f t="shared" si="64"/>
        <v>2.3739290815182096E-3</v>
      </c>
      <c r="X190" s="16">
        <f t="shared" si="56"/>
        <v>0.18982730270246637</v>
      </c>
    </row>
    <row r="191" spans="1:24" x14ac:dyDescent="0.25">
      <c r="A191" s="10">
        <v>45449</v>
      </c>
      <c r="B191" s="11">
        <v>13243.9</v>
      </c>
      <c r="C191" s="12">
        <f t="shared" si="51"/>
        <v>1.4603226162313243E-2</v>
      </c>
      <c r="D191" s="11">
        <f t="shared" si="61"/>
        <v>13368.033500000001</v>
      </c>
      <c r="E191" s="11">
        <f t="shared" si="65"/>
        <v>13295.959199999998</v>
      </c>
      <c r="F191" s="11">
        <f t="shared" si="63"/>
        <v>12675.293874999999</v>
      </c>
      <c r="G191" s="12">
        <f t="shared" si="52"/>
        <v>1.4497625883533658E-2</v>
      </c>
      <c r="H191" s="19">
        <f t="shared" si="57"/>
        <v>8.4016811773036479E-2</v>
      </c>
      <c r="I191" s="11">
        <f t="shared" si="58"/>
        <v>13541.33</v>
      </c>
      <c r="J191" s="11">
        <f t="shared" si="59"/>
        <v>13053.28</v>
      </c>
      <c r="K191" s="12">
        <f>(B191-MAX($B$2:B191))/MAX($B$2:B191)</f>
        <v>-2.1964607612398507E-2</v>
      </c>
      <c r="L191" s="12">
        <f t="shared" si="60"/>
        <v>-2.0929237133705092E-2</v>
      </c>
      <c r="M191" s="15">
        <f t="shared" si="54"/>
        <v>37.349273341569798</v>
      </c>
      <c r="N191" s="11">
        <f t="shared" si="47"/>
        <v>13287.066365583281</v>
      </c>
      <c r="O191" s="11">
        <f t="shared" si="48"/>
        <v>13317.407528187894</v>
      </c>
      <c r="P191" s="11">
        <f t="shared" si="44"/>
        <v>-30.341162604612691</v>
      </c>
      <c r="Q191" s="11">
        <f t="shared" si="49"/>
        <v>2.5078889794975794</v>
      </c>
      <c r="R191" s="11">
        <f t="shared" si="45"/>
        <v>-32.849051584110271</v>
      </c>
      <c r="S191" s="9">
        <f t="shared" si="46"/>
        <v>60</v>
      </c>
      <c r="T191" s="14">
        <f t="shared" si="53"/>
        <v>1.4603226162313243E-2</v>
      </c>
      <c r="U191" s="14">
        <f t="shared" si="50"/>
        <v>0</v>
      </c>
      <c r="V191" s="14">
        <f t="shared" si="64"/>
        <v>1.4152194377971311E-3</v>
      </c>
      <c r="W191" s="14">
        <f t="shared" si="64"/>
        <v>2.3739290815182096E-3</v>
      </c>
      <c r="X191" s="16">
        <f t="shared" si="56"/>
        <v>0.59615068066483667</v>
      </c>
    </row>
    <row r="192" spans="1:24" x14ac:dyDescent="0.25">
      <c r="A192" s="10">
        <v>45450</v>
      </c>
      <c r="B192" s="11">
        <v>13197.04</v>
      </c>
      <c r="C192" s="12">
        <f t="shared" si="51"/>
        <v>-3.5382326958069976E-3</v>
      </c>
      <c r="D192" s="11">
        <f t="shared" si="61"/>
        <v>13351.535</v>
      </c>
      <c r="E192" s="11">
        <f t="shared" si="65"/>
        <v>13300.635399999997</v>
      </c>
      <c r="F192" s="11">
        <f t="shared" si="63"/>
        <v>12681.2131875</v>
      </c>
      <c r="G192" s="12">
        <f t="shared" si="52"/>
        <v>-3.5445070455568852E-3</v>
      </c>
      <c r="H192" s="19">
        <f t="shared" si="57"/>
        <v>8.2776196560535364E-2</v>
      </c>
      <c r="I192" s="11">
        <f t="shared" si="58"/>
        <v>13541.33</v>
      </c>
      <c r="J192" s="11">
        <f t="shared" si="59"/>
        <v>13053.28</v>
      </c>
      <c r="K192" s="12">
        <f>(B192-MAX($B$2:B192))/MAX($B$2:B192)</f>
        <v>-2.542512441540078E-2</v>
      </c>
      <c r="L192" s="12">
        <f t="shared" si="60"/>
        <v>-2.542512441540079E-2</v>
      </c>
      <c r="M192" s="15">
        <f t="shared" si="54"/>
        <v>33.417999625926512</v>
      </c>
      <c r="N192" s="11">
        <f t="shared" si="47"/>
        <v>13273.216155493545</v>
      </c>
      <c r="O192" s="11">
        <f t="shared" si="48"/>
        <v>13308.491414988792</v>
      </c>
      <c r="P192" s="11">
        <f t="shared" si="44"/>
        <v>-35.275259495247155</v>
      </c>
      <c r="Q192" s="11">
        <f t="shared" si="49"/>
        <v>-5.0487407154513679</v>
      </c>
      <c r="R192" s="11">
        <f t="shared" si="45"/>
        <v>-30.226518779795789</v>
      </c>
      <c r="S192" s="9">
        <f t="shared" si="46"/>
        <v>60</v>
      </c>
      <c r="T192" s="14">
        <f t="shared" si="53"/>
        <v>0</v>
      </c>
      <c r="U192" s="14">
        <f t="shared" si="50"/>
        <v>3.5382326958069976E-3</v>
      </c>
      <c r="V192" s="14">
        <f t="shared" ref="V192:W207" si="66">AVERAGE(T179:T192)</f>
        <v>1.318340122185378E-3</v>
      </c>
      <c r="W192" s="14">
        <f t="shared" si="66"/>
        <v>2.6266599883615666E-3</v>
      </c>
      <c r="X192" s="16">
        <f t="shared" si="56"/>
        <v>0.50190741398840888</v>
      </c>
    </row>
    <row r="193" spans="1:24" x14ac:dyDescent="0.25">
      <c r="A193" s="10">
        <v>45453</v>
      </c>
      <c r="B193" s="11">
        <v>13159.07</v>
      </c>
      <c r="C193" s="12">
        <f t="shared" si="51"/>
        <v>-2.8771603329231787E-3</v>
      </c>
      <c r="D193" s="11">
        <f t="shared" si="61"/>
        <v>13332.422</v>
      </c>
      <c r="E193" s="11">
        <f t="shared" si="65"/>
        <v>13305.0468</v>
      </c>
      <c r="F193" s="11">
        <f t="shared" si="63"/>
        <v>12686.815562500002</v>
      </c>
      <c r="G193" s="12">
        <f t="shared" si="52"/>
        <v>-2.8813073149787948E-3</v>
      </c>
      <c r="H193" s="19">
        <f t="shared" si="57"/>
        <v>8.2509617739907185E-2</v>
      </c>
      <c r="I193" s="11">
        <f t="shared" si="58"/>
        <v>13501.46</v>
      </c>
      <c r="J193" s="11">
        <f t="shared" si="59"/>
        <v>13053.28</v>
      </c>
      <c r="K193" s="12">
        <f>(B193-MAX($B$2:B193))/MAX($B$2:B193)</f>
        <v>-2.822913258889638E-2</v>
      </c>
      <c r="L193" s="12">
        <f t="shared" si="60"/>
        <v>-2.5359479641460902E-2</v>
      </c>
      <c r="M193" s="15">
        <f t="shared" si="54"/>
        <v>32.490727847421539</v>
      </c>
      <c r="N193" s="11">
        <f t="shared" si="47"/>
        <v>13255.655208494538</v>
      </c>
      <c r="O193" s="11">
        <f t="shared" si="48"/>
        <v>13297.423162026658</v>
      </c>
      <c r="P193" s="11">
        <f t="shared" si="44"/>
        <v>-41.767953532120373</v>
      </c>
      <c r="Q193" s="11">
        <f t="shared" si="49"/>
        <v>-12.392583278785171</v>
      </c>
      <c r="R193" s="11">
        <f t="shared" si="45"/>
        <v>-29.375370253335202</v>
      </c>
      <c r="S193" s="9">
        <f t="shared" si="46"/>
        <v>60</v>
      </c>
      <c r="T193" s="14">
        <f t="shared" si="53"/>
        <v>0</v>
      </c>
      <c r="U193" s="14">
        <f t="shared" si="50"/>
        <v>2.8771603329231787E-3</v>
      </c>
      <c r="V193" s="14">
        <f t="shared" si="66"/>
        <v>1.318340122185378E-3</v>
      </c>
      <c r="W193" s="14">
        <f t="shared" si="66"/>
        <v>2.7392486409115418E-3</v>
      </c>
      <c r="X193" s="16">
        <f t="shared" si="56"/>
        <v>0.48127800539737531</v>
      </c>
    </row>
    <row r="194" spans="1:24" x14ac:dyDescent="0.25">
      <c r="A194" s="10">
        <v>45454</v>
      </c>
      <c r="B194" s="11">
        <v>13186.16</v>
      </c>
      <c r="C194" s="12">
        <f t="shared" si="51"/>
        <v>2.0586561208353338E-3</v>
      </c>
      <c r="D194" s="11">
        <f t="shared" si="61"/>
        <v>13316.656999999997</v>
      </c>
      <c r="E194" s="11">
        <f t="shared" si="65"/>
        <v>13309.1304</v>
      </c>
      <c r="F194" s="11">
        <f t="shared" si="63"/>
        <v>12692.7526875</v>
      </c>
      <c r="G194" s="12">
        <f t="shared" si="52"/>
        <v>2.0565399920799915E-3</v>
      </c>
      <c r="H194" s="19">
        <f t="shared" si="57"/>
        <v>8.3199126223105935E-2</v>
      </c>
      <c r="I194" s="11">
        <f t="shared" si="58"/>
        <v>13444.34</v>
      </c>
      <c r="J194" s="11">
        <f t="shared" si="59"/>
        <v>13053.28</v>
      </c>
      <c r="K194" s="12">
        <f>(B194-MAX($B$2:B194))/MAX($B$2:B194)</f>
        <v>-2.6228590544651084E-2</v>
      </c>
      <c r="L194" s="12">
        <f t="shared" si="60"/>
        <v>-1.7527232628488765E-2</v>
      </c>
      <c r="M194" s="15">
        <f t="shared" si="54"/>
        <v>36.457379586677561</v>
      </c>
      <c r="N194" s="11">
        <f t="shared" si="47"/>
        <v>13244.963637956917</v>
      </c>
      <c r="O194" s="11">
        <f t="shared" si="48"/>
        <v>13289.181446320979</v>
      </c>
      <c r="P194" s="11">
        <f t="shared" ref="P194:P257" si="67">N194-O194</f>
        <v>-44.217808364062876</v>
      </c>
      <c r="Q194" s="11">
        <f t="shared" si="49"/>
        <v>-18.757628295840711</v>
      </c>
      <c r="R194" s="11">
        <f t="shared" ref="R194:R257" si="68">P194-Q194</f>
        <v>-25.460180068222165</v>
      </c>
      <c r="S194" s="9">
        <f t="shared" ref="S194:S257" si="69">IF(AND(D194&gt;E194,P194&gt;Q194),100,IF(OR(D194&gt;E194,P194&gt;Q194),60,20))</f>
        <v>60</v>
      </c>
      <c r="T194" s="14">
        <f t="shared" si="53"/>
        <v>2.0586561208353338E-3</v>
      </c>
      <c r="U194" s="14">
        <f t="shared" si="50"/>
        <v>0</v>
      </c>
      <c r="V194" s="14">
        <f t="shared" si="66"/>
        <v>1.4653869879593304E-3</v>
      </c>
      <c r="W194" s="14">
        <f t="shared" si="66"/>
        <v>2.5540653275187126E-3</v>
      </c>
      <c r="X194" s="16">
        <f t="shared" si="56"/>
        <v>0.57374687020357518</v>
      </c>
    </row>
    <row r="195" spans="1:24" x14ac:dyDescent="0.25">
      <c r="A195" s="10">
        <v>45455</v>
      </c>
      <c r="B195" s="11">
        <v>13162.89</v>
      </c>
      <c r="C195" s="12">
        <f t="shared" si="51"/>
        <v>-1.7647290795804738E-3</v>
      </c>
      <c r="D195" s="11">
        <f t="shared" si="61"/>
        <v>13303.7315</v>
      </c>
      <c r="E195" s="11">
        <f t="shared" si="65"/>
        <v>13312.649400000002</v>
      </c>
      <c r="F195" s="11">
        <f t="shared" si="63"/>
        <v>12698.4986875</v>
      </c>
      <c r="G195" s="12">
        <f t="shared" si="52"/>
        <v>-1.7662880483175875E-3</v>
      </c>
      <c r="H195" s="19">
        <f t="shared" si="57"/>
        <v>8.1325170021843751E-2</v>
      </c>
      <c r="I195" s="11">
        <f t="shared" si="58"/>
        <v>13444.34</v>
      </c>
      <c r="J195" s="11">
        <f t="shared" si="59"/>
        <v>13053.28</v>
      </c>
      <c r="K195" s="12">
        <f>(B195-MAX($B$2:B195))/MAX($B$2:B195)</f>
        <v>-2.7947033267780971E-2</v>
      </c>
      <c r="L195" s="12">
        <f t="shared" si="60"/>
        <v>-1.8529026446923114E-2</v>
      </c>
      <c r="M195" s="15">
        <f t="shared" si="54"/>
        <v>36.115997629595363</v>
      </c>
      <c r="N195" s="11">
        <f t="shared" ref="N195:N258" si="70">(B195*(2/13))+N194*(1-2/13)</f>
        <v>13232.336924425083</v>
      </c>
      <c r="O195" s="11">
        <f t="shared" ref="O195:O258" si="71">(B195*(2/27))+O194*(1-2/27)</f>
        <v>13279.826524371276</v>
      </c>
      <c r="P195" s="11">
        <f t="shared" si="67"/>
        <v>-47.489599946193266</v>
      </c>
      <c r="Q195" s="11">
        <f t="shared" ref="Q195:Q258" si="72">(P195*(2/10))+Q194*(1-2/10)</f>
        <v>-24.504022625911222</v>
      </c>
      <c r="R195" s="11">
        <f t="shared" si="68"/>
        <v>-22.985577320282044</v>
      </c>
      <c r="S195" s="9">
        <f t="shared" si="69"/>
        <v>20</v>
      </c>
      <c r="T195" s="14">
        <f t="shared" si="53"/>
        <v>0</v>
      </c>
      <c r="U195" s="14">
        <f t="shared" ref="U195:U258" si="73">ABS(MIN(C195,0))</f>
        <v>1.7647290795804738E-3</v>
      </c>
      <c r="V195" s="14">
        <f t="shared" si="66"/>
        <v>1.4653869879593304E-3</v>
      </c>
      <c r="W195" s="14">
        <f t="shared" si="66"/>
        <v>2.592058698543081E-3</v>
      </c>
      <c r="X195" s="16">
        <f t="shared" si="56"/>
        <v>0.56533711554563981</v>
      </c>
    </row>
    <row r="196" spans="1:24" x14ac:dyDescent="0.25">
      <c r="A196" s="10">
        <v>45456</v>
      </c>
      <c r="B196" s="11">
        <v>13188.79</v>
      </c>
      <c r="C196" s="12">
        <f t="shared" ref="C196:C259" si="74">(B196/B195)-1</f>
        <v>1.9676530002150638E-3</v>
      </c>
      <c r="D196" s="11">
        <f t="shared" si="61"/>
        <v>13292.601499999999</v>
      </c>
      <c r="E196" s="11">
        <f t="shared" si="65"/>
        <v>13316.240600000001</v>
      </c>
      <c r="F196" s="11">
        <f t="shared" si="63"/>
        <v>12704.604437500002</v>
      </c>
      <c r="G196" s="12">
        <f t="shared" ref="G196:G259" si="75">LN(B196/B195)</f>
        <v>1.9657197066689333E-3</v>
      </c>
      <c r="H196" s="19">
        <f t="shared" si="57"/>
        <v>8.1992227923557356E-2</v>
      </c>
      <c r="I196" s="11">
        <f t="shared" si="58"/>
        <v>13444.34</v>
      </c>
      <c r="J196" s="11">
        <f t="shared" si="59"/>
        <v>13053.28</v>
      </c>
      <c r="K196" s="12">
        <f>(B196-MAX($B$2:B196))/MAX($B$2:B196)</f>
        <v>-2.6034370331422325E-2</v>
      </c>
      <c r="L196" s="12">
        <f t="shared" si="60"/>
        <v>-1.7677469233501997E-2</v>
      </c>
      <c r="M196" s="15">
        <f t="shared" si="54"/>
        <v>38.491300310335816</v>
      </c>
      <c r="N196" s="11">
        <f t="shared" si="70"/>
        <v>13225.637397590453</v>
      </c>
      <c r="O196" s="11">
        <f t="shared" si="71"/>
        <v>13273.083078121552</v>
      </c>
      <c r="P196" s="11">
        <f t="shared" si="67"/>
        <v>-47.445680531098333</v>
      </c>
      <c r="Q196" s="11">
        <f t="shared" si="72"/>
        <v>-29.092354206948649</v>
      </c>
      <c r="R196" s="11">
        <f t="shared" si="68"/>
        <v>-18.353326324149684</v>
      </c>
      <c r="S196" s="9">
        <f t="shared" si="69"/>
        <v>20</v>
      </c>
      <c r="T196" s="14">
        <f t="shared" ref="T196:T259" si="76">MAX(C196,0)</f>
        <v>1.9676530002150638E-3</v>
      </c>
      <c r="U196" s="14">
        <f t="shared" si="73"/>
        <v>0</v>
      </c>
      <c r="V196" s="14">
        <f t="shared" si="66"/>
        <v>1.605933630831835E-3</v>
      </c>
      <c r="W196" s="14">
        <f t="shared" si="66"/>
        <v>2.5662653281121528E-3</v>
      </c>
      <c r="X196" s="16">
        <f t="shared" si="56"/>
        <v>0.62578627908799433</v>
      </c>
    </row>
    <row r="197" spans="1:24" x14ac:dyDescent="0.25">
      <c r="A197" s="10">
        <v>45457</v>
      </c>
      <c r="B197" s="11">
        <v>13162.23</v>
      </c>
      <c r="C197" s="12">
        <f t="shared" si="74"/>
        <v>-2.0138314432182058E-3</v>
      </c>
      <c r="D197" s="11">
        <f t="shared" si="61"/>
        <v>13279.406500000001</v>
      </c>
      <c r="E197" s="11">
        <f t="shared" si="65"/>
        <v>13319.342800000002</v>
      </c>
      <c r="F197" s="11">
        <f t="shared" si="63"/>
        <v>12710.9831875</v>
      </c>
      <c r="G197" s="12">
        <f t="shared" si="75"/>
        <v>-2.0158619282534323E-3</v>
      </c>
      <c r="H197" s="19">
        <f t="shared" si="57"/>
        <v>8.1762175834699705E-2</v>
      </c>
      <c r="I197" s="11">
        <f t="shared" si="58"/>
        <v>13444.34</v>
      </c>
      <c r="J197" s="11">
        <f t="shared" si="59"/>
        <v>13053.28</v>
      </c>
      <c r="K197" s="12">
        <f>(B197-MAX($B$2:B197))/MAX($B$2:B197)</f>
        <v>-2.7995772941062685E-2</v>
      </c>
      <c r="L197" s="12">
        <f t="shared" si="60"/>
        <v>-2.0983551442465775E-2</v>
      </c>
      <c r="M197" s="15">
        <f t="shared" si="54"/>
        <v>39.357251353903081</v>
      </c>
      <c r="N197" s="11">
        <f t="shared" si="70"/>
        <v>13215.882413345767</v>
      </c>
      <c r="O197" s="11">
        <f t="shared" si="71"/>
        <v>13264.871739001437</v>
      </c>
      <c r="P197" s="11">
        <f t="shared" si="67"/>
        <v>-48.989325655669745</v>
      </c>
      <c r="Q197" s="11">
        <f t="shared" si="72"/>
        <v>-33.071748496692869</v>
      </c>
      <c r="R197" s="11">
        <f t="shared" si="68"/>
        <v>-15.917577158976876</v>
      </c>
      <c r="S197" s="9">
        <f t="shared" si="69"/>
        <v>20</v>
      </c>
      <c r="T197" s="14">
        <f t="shared" si="76"/>
        <v>0</v>
      </c>
      <c r="U197" s="14">
        <f t="shared" si="73"/>
        <v>2.0138314432182058E-3</v>
      </c>
      <c r="V197" s="14">
        <f t="shared" si="66"/>
        <v>1.605933630831835E-3</v>
      </c>
      <c r="W197" s="14">
        <f t="shared" si="66"/>
        <v>2.474467249786505E-3</v>
      </c>
      <c r="X197" s="16">
        <f t="shared" si="56"/>
        <v>0.64900177238975121</v>
      </c>
    </row>
    <row r="198" spans="1:24" x14ac:dyDescent="0.25">
      <c r="A198" s="10">
        <v>45462</v>
      </c>
      <c r="B198" s="11">
        <v>13188.96</v>
      </c>
      <c r="C198" s="12">
        <f t="shared" si="74"/>
        <v>2.0308108884283804E-3</v>
      </c>
      <c r="D198" s="11">
        <f t="shared" si="61"/>
        <v>13266.637500000003</v>
      </c>
      <c r="E198" s="11">
        <f t="shared" si="65"/>
        <v>13322.058600000004</v>
      </c>
      <c r="F198" s="11">
        <f t="shared" si="63"/>
        <v>12718.1939375</v>
      </c>
      <c r="G198" s="12">
        <f t="shared" si="75"/>
        <v>2.0287515795693475E-3</v>
      </c>
      <c r="H198" s="19">
        <f t="shared" si="57"/>
        <v>8.2053063211070323E-2</v>
      </c>
      <c r="I198" s="11">
        <f t="shared" si="58"/>
        <v>13426.85</v>
      </c>
      <c r="J198" s="11">
        <f t="shared" si="59"/>
        <v>13053.28</v>
      </c>
      <c r="K198" s="12">
        <f>(B198-MAX($B$2:B198))/MAX($B$2:B198)</f>
        <v>-2.6021816173152919E-2</v>
      </c>
      <c r="L198" s="12">
        <f t="shared" si="60"/>
        <v>-1.7717483996618766E-2</v>
      </c>
      <c r="M198" s="15">
        <f t="shared" si="54"/>
        <v>37.670978533761506</v>
      </c>
      <c r="N198" s="11">
        <f t="shared" si="70"/>
        <v>13211.740503600266</v>
      </c>
      <c r="O198" s="11">
        <f t="shared" si="71"/>
        <v>13259.248647223552</v>
      </c>
      <c r="P198" s="11">
        <f t="shared" si="67"/>
        <v>-47.508143623286742</v>
      </c>
      <c r="Q198" s="11">
        <f t="shared" si="72"/>
        <v>-35.959027522011645</v>
      </c>
      <c r="R198" s="11">
        <f t="shared" si="68"/>
        <v>-11.549116101275096</v>
      </c>
      <c r="S198" s="9">
        <f t="shared" si="69"/>
        <v>20</v>
      </c>
      <c r="T198" s="14">
        <f t="shared" si="76"/>
        <v>2.0308108884283804E-3</v>
      </c>
      <c r="U198" s="14">
        <f t="shared" si="73"/>
        <v>0</v>
      </c>
      <c r="V198" s="14">
        <f t="shared" si="66"/>
        <v>1.4955409287099914E-3</v>
      </c>
      <c r="W198" s="14">
        <f t="shared" si="66"/>
        <v>2.474467249786505E-3</v>
      </c>
      <c r="X198" s="16">
        <f t="shared" si="56"/>
        <v>0.60438905741792515</v>
      </c>
    </row>
    <row r="199" spans="1:24" x14ac:dyDescent="0.25">
      <c r="A199" s="10">
        <v>45463</v>
      </c>
      <c r="B199" s="11">
        <v>13138.13</v>
      </c>
      <c r="C199" s="12">
        <f t="shared" si="74"/>
        <v>-3.8539809052419161E-3</v>
      </c>
      <c r="D199" s="11">
        <f t="shared" si="61"/>
        <v>13252.201499999999</v>
      </c>
      <c r="E199" s="11">
        <f t="shared" si="65"/>
        <v>13322.912600000005</v>
      </c>
      <c r="F199" s="11">
        <f t="shared" si="63"/>
        <v>12725.3836875</v>
      </c>
      <c r="G199" s="12">
        <f t="shared" si="75"/>
        <v>-3.8614266262519906E-3</v>
      </c>
      <c r="H199" s="19">
        <f t="shared" si="57"/>
        <v>8.2695455779915106E-2</v>
      </c>
      <c r="I199" s="11">
        <f t="shared" si="58"/>
        <v>13392.04</v>
      </c>
      <c r="J199" s="11">
        <f t="shared" si="59"/>
        <v>13053.28</v>
      </c>
      <c r="K199" s="12">
        <f>(B199-MAX($B$2:B199))/MAX($B$2:B199)</f>
        <v>-2.9775509495743827E-2</v>
      </c>
      <c r="L199" s="12">
        <f t="shared" si="60"/>
        <v>-1.8959770132108478E-2</v>
      </c>
      <c r="M199" s="15">
        <f t="shared" si="54"/>
        <v>36.449330891227781</v>
      </c>
      <c r="N199" s="11">
        <f t="shared" si="70"/>
        <v>13200.415810738687</v>
      </c>
      <c r="O199" s="11">
        <f t="shared" si="71"/>
        <v>13250.276895577363</v>
      </c>
      <c r="P199" s="11">
        <f t="shared" si="67"/>
        <v>-49.861084838676106</v>
      </c>
      <c r="Q199" s="11">
        <f t="shared" si="72"/>
        <v>-38.739438985344535</v>
      </c>
      <c r="R199" s="11">
        <f t="shared" si="68"/>
        <v>-11.121645853331572</v>
      </c>
      <c r="S199" s="9">
        <f t="shared" si="69"/>
        <v>20</v>
      </c>
      <c r="T199" s="14">
        <f t="shared" si="76"/>
        <v>0</v>
      </c>
      <c r="U199" s="14">
        <f t="shared" si="73"/>
        <v>3.8539809052419161E-3</v>
      </c>
      <c r="V199" s="14">
        <f t="shared" si="66"/>
        <v>1.4955409287099914E-3</v>
      </c>
      <c r="W199" s="14">
        <f t="shared" si="66"/>
        <v>2.6075273365840685E-3</v>
      </c>
      <c r="X199" s="16">
        <f t="shared" si="56"/>
        <v>0.573547555083043</v>
      </c>
    </row>
    <row r="200" spans="1:24" x14ac:dyDescent="0.25">
      <c r="A200" s="10">
        <v>45464</v>
      </c>
      <c r="B200" s="11">
        <v>13140.91</v>
      </c>
      <c r="C200" s="12">
        <f t="shared" si="74"/>
        <v>2.115978453554046E-4</v>
      </c>
      <c r="D200" s="11">
        <f t="shared" si="61"/>
        <v>13239.645</v>
      </c>
      <c r="E200" s="11">
        <f t="shared" si="65"/>
        <v>13323.602200000005</v>
      </c>
      <c r="F200" s="11">
        <f t="shared" si="63"/>
        <v>12732.983749999999</v>
      </c>
      <c r="G200" s="12">
        <f t="shared" si="75"/>
        <v>2.1157546168882647E-4</v>
      </c>
      <c r="H200" s="19">
        <f t="shared" si="57"/>
        <v>8.2616402535749395E-2</v>
      </c>
      <c r="I200" s="11">
        <f t="shared" si="58"/>
        <v>13375.53</v>
      </c>
      <c r="J200" s="11">
        <f t="shared" si="59"/>
        <v>13053.28</v>
      </c>
      <c r="K200" s="12">
        <f>(B200-MAX($B$2:B200))/MAX($B$2:B200)</f>
        <v>-2.9570212084041973E-2</v>
      </c>
      <c r="L200" s="12">
        <f t="shared" si="60"/>
        <v>-1.7540987160882704E-2</v>
      </c>
      <c r="M200" s="15">
        <f t="shared" si="54"/>
        <v>38.377133965802287</v>
      </c>
      <c r="N200" s="11">
        <f t="shared" si="70"/>
        <v>13191.261070625043</v>
      </c>
      <c r="O200" s="11">
        <f t="shared" si="71"/>
        <v>13242.175644053114</v>
      </c>
      <c r="P200" s="11">
        <f t="shared" si="67"/>
        <v>-50.914573428070071</v>
      </c>
      <c r="Q200" s="11">
        <f t="shared" si="72"/>
        <v>-41.174465873889645</v>
      </c>
      <c r="R200" s="11">
        <f t="shared" si="68"/>
        <v>-9.7401075541804261</v>
      </c>
      <c r="S200" s="9">
        <f t="shared" si="69"/>
        <v>20</v>
      </c>
      <c r="T200" s="14">
        <f t="shared" si="76"/>
        <v>2.115978453554046E-4</v>
      </c>
      <c r="U200" s="14">
        <f t="shared" si="73"/>
        <v>0</v>
      </c>
      <c r="V200" s="14">
        <f t="shared" si="66"/>
        <v>1.5106550605210917E-3</v>
      </c>
      <c r="W200" s="14">
        <f t="shared" si="66"/>
        <v>2.4256864647924726E-3</v>
      </c>
      <c r="X200" s="16">
        <f t="shared" si="56"/>
        <v>0.62277424656790281</v>
      </c>
    </row>
    <row r="201" spans="1:24" x14ac:dyDescent="0.25">
      <c r="A201" s="10">
        <v>45467</v>
      </c>
      <c r="B201" s="11">
        <v>13125.47</v>
      </c>
      <c r="C201" s="12">
        <f t="shared" si="74"/>
        <v>-1.1749566810822509E-3</v>
      </c>
      <c r="D201" s="11">
        <f t="shared" si="61"/>
        <v>13227.142000000002</v>
      </c>
      <c r="E201" s="11">
        <f t="shared" si="65"/>
        <v>13323.736600000004</v>
      </c>
      <c r="F201" s="11">
        <f t="shared" si="63"/>
        <v>12739.8826875</v>
      </c>
      <c r="G201" s="12">
        <f t="shared" si="75"/>
        <v>-1.1756474838453569E-3</v>
      </c>
      <c r="H201" s="19">
        <f t="shared" si="57"/>
        <v>8.2613988457897997E-2</v>
      </c>
      <c r="I201" s="11">
        <f t="shared" si="58"/>
        <v>13374.25</v>
      </c>
      <c r="J201" s="11">
        <f t="shared" si="59"/>
        <v>13053.28</v>
      </c>
      <c r="K201" s="12">
        <f>(B201-MAX($B$2:B201))/MAX($B$2:B201)</f>
        <v>-3.0710425046875055E-2</v>
      </c>
      <c r="L201" s="12">
        <f t="shared" si="60"/>
        <v>-1.8340849768523793E-2</v>
      </c>
      <c r="M201" s="15">
        <f t="shared" si="54"/>
        <v>37.739164827340176</v>
      </c>
      <c r="N201" s="11">
        <f t="shared" si="70"/>
        <v>13181.13936745196</v>
      </c>
      <c r="O201" s="11">
        <f t="shared" si="71"/>
        <v>13233.530781530661</v>
      </c>
      <c r="P201" s="11">
        <f t="shared" si="67"/>
        <v>-52.391414078700109</v>
      </c>
      <c r="Q201" s="11">
        <f t="shared" si="72"/>
        <v>-43.417855514851738</v>
      </c>
      <c r="R201" s="11">
        <f t="shared" si="68"/>
        <v>-8.9735585638483713</v>
      </c>
      <c r="S201" s="9">
        <f t="shared" si="69"/>
        <v>20</v>
      </c>
      <c r="T201" s="14">
        <f t="shared" si="76"/>
        <v>0</v>
      </c>
      <c r="U201" s="14">
        <f t="shared" si="73"/>
        <v>1.1749566810822509E-3</v>
      </c>
      <c r="V201" s="14">
        <f t="shared" si="66"/>
        <v>1.5106550605210917E-3</v>
      </c>
      <c r="W201" s="14">
        <f t="shared" si="66"/>
        <v>2.4922291247343703E-3</v>
      </c>
      <c r="X201" s="16">
        <f t="shared" si="56"/>
        <v>0.60614613862282907</v>
      </c>
    </row>
    <row r="202" spans="1:24" x14ac:dyDescent="0.25">
      <c r="A202" s="10">
        <v>45468</v>
      </c>
      <c r="B202" s="11">
        <v>13409.92</v>
      </c>
      <c r="C202" s="12">
        <f t="shared" si="74"/>
        <v>2.1671604902529173E-2</v>
      </c>
      <c r="D202" s="11">
        <f t="shared" si="61"/>
        <v>13229.103000000003</v>
      </c>
      <c r="E202" s="11">
        <f t="shared" si="65"/>
        <v>13327.536000000006</v>
      </c>
      <c r="F202" s="11">
        <f t="shared" si="63"/>
        <v>12748.5088125</v>
      </c>
      <c r="G202" s="12">
        <f t="shared" si="75"/>
        <v>2.1440114218200142E-2</v>
      </c>
      <c r="H202" s="19">
        <f t="shared" si="57"/>
        <v>0.11467620963426002</v>
      </c>
      <c r="I202" s="11">
        <f t="shared" si="58"/>
        <v>13409.92</v>
      </c>
      <c r="J202" s="11">
        <f t="shared" si="59"/>
        <v>13053.28</v>
      </c>
      <c r="K202" s="12">
        <f>(B202-MAX($B$2:B202))/MAX($B$2:B202)</f>
        <v>-9.7043643423504085E-3</v>
      </c>
      <c r="L202" s="12">
        <f t="shared" si="60"/>
        <v>6.252912410451561E-3</v>
      </c>
      <c r="M202" s="15">
        <f t="shared" si="54"/>
        <v>54.94115401331117</v>
      </c>
      <c r="N202" s="11">
        <f t="shared" si="70"/>
        <v>13216.336387843967</v>
      </c>
      <c r="O202" s="11">
        <f t="shared" si="71"/>
        <v>13246.596649565427</v>
      </c>
      <c r="P202" s="11">
        <f t="shared" si="67"/>
        <v>-30.260261721459756</v>
      </c>
      <c r="Q202" s="11">
        <f t="shared" si="72"/>
        <v>-40.786336756173341</v>
      </c>
      <c r="R202" s="11">
        <f t="shared" si="68"/>
        <v>10.526075034713585</v>
      </c>
      <c r="S202" s="9">
        <f t="shared" si="69"/>
        <v>60</v>
      </c>
      <c r="T202" s="14">
        <f t="shared" si="76"/>
        <v>2.1671604902529173E-2</v>
      </c>
      <c r="U202" s="14">
        <f t="shared" si="73"/>
        <v>0</v>
      </c>
      <c r="V202" s="14">
        <f t="shared" si="66"/>
        <v>3.038824922834043E-3</v>
      </c>
      <c r="W202" s="14">
        <f t="shared" si="66"/>
        <v>2.4922291247343703E-3</v>
      </c>
      <c r="X202" s="16">
        <f t="shared" si="56"/>
        <v>1.2193200427179547</v>
      </c>
    </row>
    <row r="203" spans="1:24" x14ac:dyDescent="0.25">
      <c r="A203" s="10">
        <v>45469</v>
      </c>
      <c r="B203" s="11">
        <v>13356.07</v>
      </c>
      <c r="C203" s="12">
        <f t="shared" si="74"/>
        <v>-4.0156839116117782E-3</v>
      </c>
      <c r="D203" s="11">
        <f t="shared" si="61"/>
        <v>13230.577000000001</v>
      </c>
      <c r="E203" s="11">
        <f t="shared" si="65"/>
        <v>13327.831600000003</v>
      </c>
      <c r="F203" s="11">
        <f t="shared" si="63"/>
        <v>12756.9390625</v>
      </c>
      <c r="G203" s="12">
        <f t="shared" si="75"/>
        <v>-4.0237684207311501E-3</v>
      </c>
      <c r="H203" s="19">
        <f t="shared" si="57"/>
        <v>0.11499129506249332</v>
      </c>
      <c r="I203" s="11">
        <f t="shared" si="58"/>
        <v>13409.92</v>
      </c>
      <c r="J203" s="11">
        <f t="shared" si="59"/>
        <v>13053.28</v>
      </c>
      <c r="K203" s="12">
        <f>(B203-MAX($B$2:B203))/MAX($B$2:B203)</f>
        <v>-1.3681078594200143E-2</v>
      </c>
      <c r="L203" s="12">
        <f t="shared" si="60"/>
        <v>-1.3593285604800442E-3</v>
      </c>
      <c r="M203" s="15">
        <f t="shared" si="54"/>
        <v>56.133814628316834</v>
      </c>
      <c r="N203" s="11">
        <f t="shared" si="70"/>
        <v>13237.833866637204</v>
      </c>
      <c r="O203" s="11">
        <f t="shared" si="71"/>
        <v>13254.705786634653</v>
      </c>
      <c r="P203" s="11">
        <f t="shared" si="67"/>
        <v>-16.871919997449368</v>
      </c>
      <c r="Q203" s="11">
        <f t="shared" si="72"/>
        <v>-36.003453404428548</v>
      </c>
      <c r="R203" s="11">
        <f t="shared" si="68"/>
        <v>19.13153340697918</v>
      </c>
      <c r="S203" s="9">
        <f t="shared" si="69"/>
        <v>60</v>
      </c>
      <c r="T203" s="14">
        <f t="shared" si="76"/>
        <v>0</v>
      </c>
      <c r="U203" s="14">
        <f t="shared" si="73"/>
        <v>4.0156839116117782E-3</v>
      </c>
      <c r="V203" s="14">
        <f t="shared" si="66"/>
        <v>3.038824922834043E-3</v>
      </c>
      <c r="W203" s="14">
        <f t="shared" si="66"/>
        <v>2.3747122524946768E-3</v>
      </c>
      <c r="X203" s="16">
        <f t="shared" si="56"/>
        <v>1.2796602702671467</v>
      </c>
    </row>
    <row r="204" spans="1:24" x14ac:dyDescent="0.25">
      <c r="A204" s="10">
        <v>45470</v>
      </c>
      <c r="B204" s="11">
        <v>13318.19</v>
      </c>
      <c r="C204" s="12">
        <f t="shared" si="74"/>
        <v>-2.8361636319664818E-3</v>
      </c>
      <c r="D204" s="11">
        <f t="shared" si="61"/>
        <v>13227.774000000001</v>
      </c>
      <c r="E204" s="11">
        <f t="shared" si="65"/>
        <v>13326.741000000004</v>
      </c>
      <c r="F204" s="11">
        <f t="shared" si="63"/>
        <v>12765.319437499998</v>
      </c>
      <c r="G204" s="12">
        <f t="shared" si="75"/>
        <v>-2.8401931647865281E-3</v>
      </c>
      <c r="H204" s="19">
        <f t="shared" si="57"/>
        <v>0.11468432462349763</v>
      </c>
      <c r="I204" s="11">
        <f t="shared" si="58"/>
        <v>13409.92</v>
      </c>
      <c r="J204" s="11">
        <f t="shared" si="59"/>
        <v>13053.28</v>
      </c>
      <c r="K204" s="12">
        <f>(B204-MAX($B$2:B204))/MAX($B$2:B204)</f>
        <v>-1.6478440448611725E-2</v>
      </c>
      <c r="L204" s="12">
        <f t="shared" si="60"/>
        <v>-2.2048874630833382E-3</v>
      </c>
      <c r="M204" s="15">
        <f t="shared" si="54"/>
        <v>65.838248735869001</v>
      </c>
      <c r="N204" s="11">
        <f t="shared" si="70"/>
        <v>13250.196348693018</v>
      </c>
      <c r="O204" s="11">
        <f t="shared" si="71"/>
        <v>13259.408320958011</v>
      </c>
      <c r="P204" s="11">
        <f t="shared" si="67"/>
        <v>-9.2119722649931646</v>
      </c>
      <c r="Q204" s="11">
        <f t="shared" si="72"/>
        <v>-30.645157176541474</v>
      </c>
      <c r="R204" s="11">
        <f t="shared" si="68"/>
        <v>21.43318491154831</v>
      </c>
      <c r="S204" s="9">
        <f t="shared" si="69"/>
        <v>60</v>
      </c>
      <c r="T204" s="14">
        <f t="shared" si="76"/>
        <v>0</v>
      </c>
      <c r="U204" s="14">
        <f t="shared" si="73"/>
        <v>2.8361636319664818E-3</v>
      </c>
      <c r="V204" s="14">
        <f t="shared" si="66"/>
        <v>3.038824922834043E-3</v>
      </c>
      <c r="W204" s="14">
        <f t="shared" si="66"/>
        <v>1.5767670486736632E-3</v>
      </c>
      <c r="X204" s="16">
        <f t="shared" si="56"/>
        <v>1.9272503984594467</v>
      </c>
    </row>
    <row r="205" spans="1:24" x14ac:dyDescent="0.25">
      <c r="A205" s="10">
        <v>45471</v>
      </c>
      <c r="B205" s="11">
        <v>13301.37</v>
      </c>
      <c r="C205" s="12">
        <f t="shared" si="74"/>
        <v>-1.2629343777195157E-3</v>
      </c>
      <c r="D205" s="11">
        <f t="shared" si="61"/>
        <v>13225.461500000001</v>
      </c>
      <c r="E205" s="11">
        <f t="shared" si="65"/>
        <v>13325.521800000002</v>
      </c>
      <c r="F205" s="11">
        <f t="shared" si="63"/>
        <v>12773.522999999999</v>
      </c>
      <c r="G205" s="12">
        <f t="shared" si="75"/>
        <v>-1.2637325514388564E-3</v>
      </c>
      <c r="H205" s="19">
        <f t="shared" si="57"/>
        <v>0.11456307459513604</v>
      </c>
      <c r="I205" s="11">
        <f t="shared" si="58"/>
        <v>13409.92</v>
      </c>
      <c r="J205" s="11">
        <f t="shared" si="59"/>
        <v>13053.28</v>
      </c>
      <c r="K205" s="12">
        <f>(B205-MAX($B$2:B205))/MAX($B$2:B205)</f>
        <v>-1.7720563637397446E-2</v>
      </c>
      <c r="L205" s="12">
        <f t="shared" si="60"/>
        <v>-9.2161121977152316E-4</v>
      </c>
      <c r="M205" s="15">
        <f t="shared" si="54"/>
        <v>54.487938369005313</v>
      </c>
      <c r="N205" s="11">
        <f t="shared" si="70"/>
        <v>13258.069218124863</v>
      </c>
      <c r="O205" s="11">
        <f t="shared" si="71"/>
        <v>13262.516593479641</v>
      </c>
      <c r="P205" s="11">
        <f t="shared" si="67"/>
        <v>-4.4473753547772503</v>
      </c>
      <c r="Q205" s="11">
        <f t="shared" si="72"/>
        <v>-25.405600812188631</v>
      </c>
      <c r="R205" s="11">
        <f t="shared" si="68"/>
        <v>20.95822545741138</v>
      </c>
      <c r="S205" s="9">
        <f t="shared" si="69"/>
        <v>60</v>
      </c>
      <c r="T205" s="14">
        <f t="shared" si="76"/>
        <v>0</v>
      </c>
      <c r="U205" s="14">
        <f t="shared" si="73"/>
        <v>1.2629343777195157E-3</v>
      </c>
      <c r="V205" s="14">
        <f t="shared" si="66"/>
        <v>1.9957373398116684E-3</v>
      </c>
      <c r="W205" s="14">
        <f t="shared" si="66"/>
        <v>1.6669766470821998E-3</v>
      </c>
      <c r="X205" s="16">
        <f t="shared" si="56"/>
        <v>1.1972197350844216</v>
      </c>
    </row>
    <row r="206" spans="1:24" x14ac:dyDescent="0.25">
      <c r="A206" s="10">
        <v>45474</v>
      </c>
      <c r="B206" s="11">
        <v>13303.38</v>
      </c>
      <c r="C206" s="12">
        <f t="shared" si="74"/>
        <v>1.5111225385044946E-4</v>
      </c>
      <c r="D206" s="11">
        <f t="shared" si="61"/>
        <v>13224.948500000002</v>
      </c>
      <c r="E206" s="11">
        <f t="shared" si="65"/>
        <v>13323.8928</v>
      </c>
      <c r="F206" s="11">
        <f t="shared" si="63"/>
        <v>12781.912</v>
      </c>
      <c r="G206" s="12">
        <f t="shared" si="75"/>
        <v>1.5110083754389897E-4</v>
      </c>
      <c r="H206" s="19">
        <f t="shared" si="57"/>
        <v>0.11422092330861876</v>
      </c>
      <c r="I206" s="11">
        <f t="shared" si="58"/>
        <v>13409.92</v>
      </c>
      <c r="J206" s="11">
        <f t="shared" si="59"/>
        <v>13053.28</v>
      </c>
      <c r="K206" s="12">
        <f>(B206-MAX($B$2:B206))/MAX($B$2:B206)</f>
        <v>-1.7572129177857769E-2</v>
      </c>
      <c r="L206" s="12">
        <f t="shared" si="60"/>
        <v>-5.2740714028132185E-4</v>
      </c>
      <c r="M206" s="15">
        <f t="shared" si="54"/>
        <v>58.657175905658207</v>
      </c>
      <c r="N206" s="11">
        <f t="shared" si="70"/>
        <v>13265.040107644116</v>
      </c>
      <c r="O206" s="11">
        <f t="shared" si="71"/>
        <v>13265.543512481148</v>
      </c>
      <c r="P206" s="11">
        <f t="shared" si="67"/>
        <v>-0.50340483703257632</v>
      </c>
      <c r="Q206" s="11">
        <f t="shared" si="72"/>
        <v>-20.425161617157421</v>
      </c>
      <c r="R206" s="11">
        <f t="shared" si="68"/>
        <v>19.921756780124845</v>
      </c>
      <c r="S206" s="9">
        <f t="shared" si="69"/>
        <v>60</v>
      </c>
      <c r="T206" s="14">
        <f t="shared" si="76"/>
        <v>1.5111225385044946E-4</v>
      </c>
      <c r="U206" s="14">
        <f t="shared" si="73"/>
        <v>0</v>
      </c>
      <c r="V206" s="14">
        <f t="shared" si="66"/>
        <v>2.0065310722295576E-3</v>
      </c>
      <c r="W206" s="14">
        <f t="shared" si="66"/>
        <v>1.4142457402388428E-3</v>
      </c>
      <c r="X206" s="16">
        <f t="shared" si="56"/>
        <v>1.418799445625827</v>
      </c>
    </row>
    <row r="207" spans="1:24" x14ac:dyDescent="0.25">
      <c r="A207" s="10">
        <v>45475</v>
      </c>
      <c r="B207" s="11">
        <v>13245.01</v>
      </c>
      <c r="C207" s="12">
        <f t="shared" si="74"/>
        <v>-4.3876067585830736E-3</v>
      </c>
      <c r="D207" s="11">
        <f t="shared" si="61"/>
        <v>13221.679</v>
      </c>
      <c r="E207" s="11">
        <f t="shared" si="65"/>
        <v>13319.68</v>
      </c>
      <c r="F207" s="11">
        <f t="shared" si="63"/>
        <v>12790.025062499999</v>
      </c>
      <c r="G207" s="12">
        <f t="shared" si="75"/>
        <v>-4.3972605535032936E-3</v>
      </c>
      <c r="H207" s="19">
        <f t="shared" si="57"/>
        <v>0.11526664231197077</v>
      </c>
      <c r="I207" s="11">
        <f t="shared" si="58"/>
        <v>13409.92</v>
      </c>
      <c r="J207" s="11">
        <f t="shared" si="59"/>
        <v>13053.28</v>
      </c>
      <c r="K207" s="12">
        <f>(B207-MAX($B$2:B207))/MAX($B$2:B207)</f>
        <v>-2.1882636343697384E-2</v>
      </c>
      <c r="L207" s="12">
        <f t="shared" si="60"/>
        <v>-5.1884882857183845E-3</v>
      </c>
      <c r="M207" s="15">
        <f t="shared" si="54"/>
        <v>56.863731551187207</v>
      </c>
      <c r="N207" s="11">
        <f t="shared" si="70"/>
        <v>13261.958552621945</v>
      </c>
      <c r="O207" s="11">
        <f t="shared" si="71"/>
        <v>13264.022511556619</v>
      </c>
      <c r="P207" s="11">
        <f t="shared" si="67"/>
        <v>-2.0639589346737921</v>
      </c>
      <c r="Q207" s="11">
        <f t="shared" si="72"/>
        <v>-16.752921080660695</v>
      </c>
      <c r="R207" s="11">
        <f t="shared" si="68"/>
        <v>14.688962145986903</v>
      </c>
      <c r="S207" s="9">
        <f t="shared" si="69"/>
        <v>60</v>
      </c>
      <c r="T207" s="14">
        <f t="shared" si="76"/>
        <v>0</v>
      </c>
      <c r="U207" s="14">
        <f t="shared" si="73"/>
        <v>4.3876067585830736E-3</v>
      </c>
      <c r="V207" s="14">
        <f t="shared" si="66"/>
        <v>2.0065310722295576E-3</v>
      </c>
      <c r="W207" s="14">
        <f t="shared" si="66"/>
        <v>1.5221347706431212E-3</v>
      </c>
      <c r="X207" s="16">
        <f t="shared" si="56"/>
        <v>1.3182348310601779</v>
      </c>
    </row>
    <row r="208" spans="1:24" x14ac:dyDescent="0.25">
      <c r="A208" s="10">
        <v>45476</v>
      </c>
      <c r="B208" s="11">
        <v>13208.62</v>
      </c>
      <c r="C208" s="12">
        <f t="shared" si="74"/>
        <v>-2.747449794299861E-3</v>
      </c>
      <c r="D208" s="11">
        <f t="shared" si="61"/>
        <v>13216.405500000003</v>
      </c>
      <c r="E208" s="11">
        <f t="shared" si="65"/>
        <v>13314.785400000001</v>
      </c>
      <c r="F208" s="11">
        <f t="shared" si="63"/>
        <v>12797.900187499999</v>
      </c>
      <c r="G208" s="12">
        <f t="shared" si="75"/>
        <v>-2.7512309617858462E-3</v>
      </c>
      <c r="H208" s="19">
        <f t="shared" si="57"/>
        <v>0.11558507260556099</v>
      </c>
      <c r="I208" s="11">
        <f t="shared" si="58"/>
        <v>13409.92</v>
      </c>
      <c r="J208" s="11">
        <f t="shared" si="59"/>
        <v>13053.28</v>
      </c>
      <c r="K208" s="12">
        <f>(B208-MAX($B$2:B208))/MAX($B$2:B208)</f>
        <v>-2.4569964693276002E-2</v>
      </c>
      <c r="L208" s="12">
        <f t="shared" si="60"/>
        <v>-2.2736337047689625E-3</v>
      </c>
      <c r="M208" s="15">
        <f t="shared" ref="M208:M271" si="77">IF(X208=0,100,100-(100/(1+X208)))</f>
        <v>51.971888354013522</v>
      </c>
      <c r="N208" s="11">
        <f t="shared" si="70"/>
        <v>13253.752621449337</v>
      </c>
      <c r="O208" s="11">
        <f t="shared" si="71"/>
        <v>13259.918621811685</v>
      </c>
      <c r="P208" s="11">
        <f t="shared" si="67"/>
        <v>-6.166000362347404</v>
      </c>
      <c r="Q208" s="11">
        <f t="shared" si="72"/>
        <v>-14.635536936998038</v>
      </c>
      <c r="R208" s="11">
        <f t="shared" si="68"/>
        <v>8.4695365746506344</v>
      </c>
      <c r="S208" s="9">
        <f t="shared" si="69"/>
        <v>60</v>
      </c>
      <c r="T208" s="14">
        <f t="shared" si="76"/>
        <v>0</v>
      </c>
      <c r="U208" s="14">
        <f t="shared" si="73"/>
        <v>2.747449794299861E-3</v>
      </c>
      <c r="V208" s="14">
        <f t="shared" ref="V208:W223" si="78">AVERAGE(T195:T208)</f>
        <v>1.8594842064556052E-3</v>
      </c>
      <c r="W208" s="14">
        <f t="shared" si="78"/>
        <v>1.7183811845216826E-3</v>
      </c>
      <c r="X208" s="16">
        <f t="shared" ref="X208:X271" si="79">IF(W208=0,0,V208/W208)</f>
        <v>1.0821139239680393</v>
      </c>
    </row>
    <row r="209" spans="1:24" x14ac:dyDescent="0.25">
      <c r="A209" s="10">
        <v>45477</v>
      </c>
      <c r="B209" s="11">
        <v>13295.62</v>
      </c>
      <c r="C209" s="12">
        <f t="shared" si="74"/>
        <v>6.5866078363976399E-3</v>
      </c>
      <c r="D209" s="11">
        <f t="shared" si="61"/>
        <v>13219.250500000004</v>
      </c>
      <c r="E209" s="11">
        <f t="shared" si="65"/>
        <v>13314.6522</v>
      </c>
      <c r="F209" s="11">
        <f t="shared" si="63"/>
        <v>12806.174625000001</v>
      </c>
      <c r="G209" s="12">
        <f t="shared" si="75"/>
        <v>6.5650109167585706E-3</v>
      </c>
      <c r="H209" s="19">
        <f t="shared" si="57"/>
        <v>0.11633504230605687</v>
      </c>
      <c r="I209" s="11">
        <f t="shared" si="58"/>
        <v>13409.92</v>
      </c>
      <c r="J209" s="11">
        <f t="shared" si="59"/>
        <v>13053.28</v>
      </c>
      <c r="K209" s="12">
        <f>(B209-MAX($B$2:B209))/MAX($B$2:B209)</f>
        <v>-1.8145189578867005E-2</v>
      </c>
      <c r="L209" s="12">
        <f t="shared" si="60"/>
        <v>1.8565448684162211E-2</v>
      </c>
      <c r="M209" s="15">
        <f t="shared" si="77"/>
        <v>59.40302694135022</v>
      </c>
      <c r="N209" s="11">
        <f t="shared" si="70"/>
        <v>13260.193756610977</v>
      </c>
      <c r="O209" s="11">
        <f t="shared" si="71"/>
        <v>13262.563168344153</v>
      </c>
      <c r="P209" s="11">
        <f t="shared" si="67"/>
        <v>-2.3694117331760935</v>
      </c>
      <c r="Q209" s="11">
        <f t="shared" si="72"/>
        <v>-12.182311896233649</v>
      </c>
      <c r="R209" s="11">
        <f t="shared" si="68"/>
        <v>9.8129001630575559</v>
      </c>
      <c r="S209" s="9">
        <f t="shared" si="69"/>
        <v>60</v>
      </c>
      <c r="T209" s="14">
        <f t="shared" si="76"/>
        <v>6.5866078363976399E-3</v>
      </c>
      <c r="U209" s="14">
        <f t="shared" si="73"/>
        <v>0</v>
      </c>
      <c r="V209" s="14">
        <f t="shared" si="78"/>
        <v>2.3299561947697223E-3</v>
      </c>
      <c r="W209" s="14">
        <f t="shared" si="78"/>
        <v>1.5923291074087917E-3</v>
      </c>
      <c r="X209" s="16">
        <f t="shared" si="79"/>
        <v>1.4632378343954764</v>
      </c>
    </row>
    <row r="210" spans="1:24" x14ac:dyDescent="0.25">
      <c r="A210" s="10">
        <v>45478</v>
      </c>
      <c r="B210" s="11">
        <v>13367.73</v>
      </c>
      <c r="C210" s="12">
        <f t="shared" si="74"/>
        <v>5.4235906260857725E-3</v>
      </c>
      <c r="D210" s="11">
        <f t="shared" si="61"/>
        <v>13234.973000000002</v>
      </c>
      <c r="E210" s="11">
        <f t="shared" si="65"/>
        <v>13317.073599999998</v>
      </c>
      <c r="F210" s="11">
        <f t="shared" si="63"/>
        <v>12814.8870625</v>
      </c>
      <c r="G210" s="12">
        <f t="shared" si="75"/>
        <v>5.4089359219771736E-3</v>
      </c>
      <c r="H210" s="19">
        <f t="shared" si="57"/>
        <v>0.10449426857778157</v>
      </c>
      <c r="I210" s="11">
        <f t="shared" si="58"/>
        <v>13409.92</v>
      </c>
      <c r="J210" s="11">
        <f t="shared" si="59"/>
        <v>13125.47</v>
      </c>
      <c r="K210" s="12">
        <f>(B210-MAX($B$2:B210))/MAX($B$2:B210)</f>
        <v>-1.2820011032889706E-2</v>
      </c>
      <c r="L210" s="12">
        <f t="shared" si="60"/>
        <v>9.3499648894963538E-3</v>
      </c>
      <c r="M210" s="15">
        <f t="shared" si="77"/>
        <v>61.80675450591589</v>
      </c>
      <c r="N210" s="11">
        <f t="shared" si="70"/>
        <v>13276.737794055442</v>
      </c>
      <c r="O210" s="11">
        <f t="shared" si="71"/>
        <v>13270.353304022365</v>
      </c>
      <c r="P210" s="11">
        <f t="shared" si="67"/>
        <v>6.3844900330768724</v>
      </c>
      <c r="Q210" s="11">
        <f t="shared" si="72"/>
        <v>-8.4689515103715465</v>
      </c>
      <c r="R210" s="11">
        <f t="shared" si="68"/>
        <v>14.853441543448419</v>
      </c>
      <c r="S210" s="9">
        <f t="shared" si="69"/>
        <v>60</v>
      </c>
      <c r="T210" s="14">
        <f t="shared" si="76"/>
        <v>5.4235906260857725E-3</v>
      </c>
      <c r="U210" s="14">
        <f t="shared" si="73"/>
        <v>0</v>
      </c>
      <c r="V210" s="14">
        <f t="shared" si="78"/>
        <v>2.5768088823319157E-3</v>
      </c>
      <c r="W210" s="14">
        <f t="shared" si="78"/>
        <v>1.5923291074087917E-3</v>
      </c>
      <c r="X210" s="16">
        <f t="shared" si="79"/>
        <v>1.6182640073226915</v>
      </c>
    </row>
    <row r="211" spans="1:24" x14ac:dyDescent="0.25">
      <c r="A211" s="10">
        <v>45481</v>
      </c>
      <c r="B211" s="11">
        <v>13357.79</v>
      </c>
      <c r="C211" s="12">
        <f t="shared" si="74"/>
        <v>-7.4358174499322693E-4</v>
      </c>
      <c r="D211" s="11">
        <f t="shared" si="61"/>
        <v>13240.667500000001</v>
      </c>
      <c r="E211" s="11">
        <f t="shared" si="65"/>
        <v>13318.604599999999</v>
      </c>
      <c r="F211" s="11">
        <f t="shared" si="63"/>
        <v>12824.026437500001</v>
      </c>
      <c r="G211" s="12">
        <f t="shared" si="75"/>
        <v>-7.438583390209834E-4</v>
      </c>
      <c r="H211" s="19">
        <f t="shared" si="57"/>
        <v>9.201017924776099E-2</v>
      </c>
      <c r="I211" s="11">
        <f t="shared" si="58"/>
        <v>13409.92</v>
      </c>
      <c r="J211" s="11">
        <f t="shared" si="59"/>
        <v>13125.47</v>
      </c>
      <c r="K211" s="12">
        <f>(B211-MAX($B$2:B211))/MAX($B$2:B211)</f>
        <v>-1.3554060051708292E-2</v>
      </c>
      <c r="L211" s="12">
        <f t="shared" si="60"/>
        <v>1.2180761746573454E-2</v>
      </c>
      <c r="M211" s="15">
        <f t="shared" si="77"/>
        <v>63.181766735693508</v>
      </c>
      <c r="N211" s="11">
        <f t="shared" si="70"/>
        <v>13289.207364200758</v>
      </c>
      <c r="O211" s="11">
        <f t="shared" si="71"/>
        <v>13276.830096317004</v>
      </c>
      <c r="P211" s="11">
        <f t="shared" si="67"/>
        <v>12.37726788375403</v>
      </c>
      <c r="Q211" s="11">
        <f t="shared" si="72"/>
        <v>-4.2997076315464318</v>
      </c>
      <c r="R211" s="11">
        <f t="shared" si="68"/>
        <v>16.676975515300462</v>
      </c>
      <c r="S211" s="9">
        <f t="shared" si="69"/>
        <v>60</v>
      </c>
      <c r="T211" s="14">
        <f t="shared" si="76"/>
        <v>0</v>
      </c>
      <c r="U211" s="14">
        <f t="shared" si="73"/>
        <v>7.4358174499322693E-4</v>
      </c>
      <c r="V211" s="14">
        <f t="shared" si="78"/>
        <v>2.5768088823319157E-3</v>
      </c>
      <c r="W211" s="14">
        <f t="shared" si="78"/>
        <v>1.5015969861070075E-3</v>
      </c>
      <c r="X211" s="16">
        <f t="shared" si="79"/>
        <v>1.7160455875797063</v>
      </c>
    </row>
    <row r="212" spans="1:24" x14ac:dyDescent="0.25">
      <c r="A212" s="10">
        <v>45482</v>
      </c>
      <c r="B212" s="11">
        <v>13348.65</v>
      </c>
      <c r="C212" s="12">
        <f t="shared" si="74"/>
        <v>-6.8424492374874468E-4</v>
      </c>
      <c r="D212" s="11">
        <f t="shared" si="61"/>
        <v>13248.248000000003</v>
      </c>
      <c r="E212" s="11">
        <f t="shared" si="65"/>
        <v>13318.641399999999</v>
      </c>
      <c r="F212" s="11">
        <f t="shared" si="63"/>
        <v>12832.643562499999</v>
      </c>
      <c r="G212" s="12">
        <f t="shared" si="75"/>
        <v>-6.8447912614721148E-4</v>
      </c>
      <c r="H212" s="19">
        <f t="shared" si="57"/>
        <v>9.092606727060154E-2</v>
      </c>
      <c r="I212" s="11">
        <f t="shared" si="58"/>
        <v>13409.92</v>
      </c>
      <c r="J212" s="11">
        <f t="shared" si="59"/>
        <v>13125.47</v>
      </c>
      <c r="K212" s="12">
        <f>(B212-MAX($B$2:B212))/MAX($B$2:B212)</f>
        <v>-1.4229030678670433E-2</v>
      </c>
      <c r="L212" s="12">
        <f t="shared" si="60"/>
        <v>1.4406793185232747E-2</v>
      </c>
      <c r="M212" s="15">
        <f t="shared" si="77"/>
        <v>61.065169253434377</v>
      </c>
      <c r="N212" s="11">
        <f t="shared" si="70"/>
        <v>13298.352385092949</v>
      </c>
      <c r="O212" s="11">
        <f t="shared" si="71"/>
        <v>13282.150089182411</v>
      </c>
      <c r="P212" s="11">
        <f t="shared" si="67"/>
        <v>16.202295910537941</v>
      </c>
      <c r="Q212" s="11">
        <f t="shared" si="72"/>
        <v>-0.19930692312955722</v>
      </c>
      <c r="R212" s="11">
        <f t="shared" si="68"/>
        <v>16.4016028336675</v>
      </c>
      <c r="S212" s="9">
        <f t="shared" si="69"/>
        <v>60</v>
      </c>
      <c r="T212" s="14">
        <f t="shared" si="76"/>
        <v>0</v>
      </c>
      <c r="U212" s="14">
        <f t="shared" si="73"/>
        <v>6.8424492374874468E-4</v>
      </c>
      <c r="V212" s="14">
        <f t="shared" si="78"/>
        <v>2.4317509617298888E-3</v>
      </c>
      <c r="W212" s="14">
        <f t="shared" si="78"/>
        <v>1.5504716235176322E-3</v>
      </c>
      <c r="X212" s="16">
        <f t="shared" si="79"/>
        <v>1.5683943677813685</v>
      </c>
    </row>
    <row r="213" spans="1:24" x14ac:dyDescent="0.25">
      <c r="A213" s="10">
        <v>45483</v>
      </c>
      <c r="B213" s="11">
        <v>13360.07</v>
      </c>
      <c r="C213" s="12">
        <f t="shared" si="74"/>
        <v>8.5551722458832025E-4</v>
      </c>
      <c r="D213" s="11">
        <f t="shared" si="61"/>
        <v>13258.298000000001</v>
      </c>
      <c r="E213" s="11">
        <f t="shared" si="65"/>
        <v>13318.743399999999</v>
      </c>
      <c r="F213" s="11">
        <f t="shared" si="63"/>
        <v>12841.471750000001</v>
      </c>
      <c r="G213" s="12">
        <f t="shared" si="75"/>
        <v>8.5515147831416308E-4</v>
      </c>
      <c r="H213" s="19">
        <f t="shared" ref="H213:H276" si="80">STDEV(G194:G213)*SQRT(252)</f>
        <v>9.0007071165096791E-2</v>
      </c>
      <c r="I213" s="11">
        <f t="shared" ref="I213:I276" si="81">MAX(B194:B213)</f>
        <v>13409.92</v>
      </c>
      <c r="J213" s="11">
        <f t="shared" ref="J213:J276" si="82">MIN(B194:B213)</f>
        <v>13125.47</v>
      </c>
      <c r="K213" s="12">
        <f>(B213-MAX($B$2:B213))/MAX($B$2:B213)</f>
        <v>-1.338568663491697E-2</v>
      </c>
      <c r="L213" s="12">
        <f t="shared" ref="L213:L276" si="83">(B213/B194)-1</f>
        <v>1.3188828286627707E-2</v>
      </c>
      <c r="M213" s="15">
        <f t="shared" si="77"/>
        <v>66.157868896413916</v>
      </c>
      <c r="N213" s="11">
        <f t="shared" si="70"/>
        <v>13307.847402770956</v>
      </c>
      <c r="O213" s="11">
        <f t="shared" si="71"/>
        <v>13287.921934428159</v>
      </c>
      <c r="P213" s="11">
        <f t="shared" si="67"/>
        <v>19.925468342797103</v>
      </c>
      <c r="Q213" s="11">
        <f t="shared" si="72"/>
        <v>3.8256481300557748</v>
      </c>
      <c r="R213" s="11">
        <f t="shared" si="68"/>
        <v>16.099820212741328</v>
      </c>
      <c r="S213" s="9">
        <f t="shared" si="69"/>
        <v>60</v>
      </c>
      <c r="T213" s="14">
        <f t="shared" si="76"/>
        <v>8.5551722458832025E-4</v>
      </c>
      <c r="U213" s="14">
        <f t="shared" si="73"/>
        <v>0</v>
      </c>
      <c r="V213" s="14">
        <f t="shared" si="78"/>
        <v>2.4928593349147687E-3</v>
      </c>
      <c r="W213" s="14">
        <f t="shared" si="78"/>
        <v>1.2751872731432095E-3</v>
      </c>
      <c r="X213" s="16">
        <f t="shared" si="79"/>
        <v>1.9548966551164826</v>
      </c>
    </row>
    <row r="214" spans="1:24" x14ac:dyDescent="0.25">
      <c r="A214" s="10">
        <v>45484</v>
      </c>
      <c r="B214" s="11">
        <v>13433.97</v>
      </c>
      <c r="C214" s="12">
        <f t="shared" si="74"/>
        <v>5.5314081438195828E-3</v>
      </c>
      <c r="D214" s="11">
        <f t="shared" ref="D214:D277" si="84">AVERAGE(B195:B214)</f>
        <v>13270.6885</v>
      </c>
      <c r="E214" s="11">
        <f t="shared" si="65"/>
        <v>13319.944799999999</v>
      </c>
      <c r="F214" s="11">
        <f t="shared" si="63"/>
        <v>12850.562375</v>
      </c>
      <c r="G214" s="12">
        <f t="shared" si="75"/>
        <v>5.5161660866532318E-3</v>
      </c>
      <c r="H214" s="19">
        <f t="shared" si="80"/>
        <v>9.1494561558867843E-2</v>
      </c>
      <c r="I214" s="11">
        <f t="shared" si="81"/>
        <v>13433.97</v>
      </c>
      <c r="J214" s="11">
        <f t="shared" si="82"/>
        <v>13125.47</v>
      </c>
      <c r="K214" s="12">
        <f>(B214-MAX($B$2:B214))/MAX($B$2:B214)</f>
        <v>-7.9283201871603887E-3</v>
      </c>
      <c r="L214" s="12">
        <f t="shared" si="83"/>
        <v>2.0594261594528263E-2</v>
      </c>
      <c r="M214" s="15">
        <f t="shared" si="77"/>
        <v>69.258025301901768</v>
      </c>
      <c r="N214" s="11">
        <f t="shared" si="70"/>
        <v>13327.250879267733</v>
      </c>
      <c r="O214" s="11">
        <f t="shared" si="71"/>
        <v>13298.740309655703</v>
      </c>
      <c r="P214" s="11">
        <f t="shared" si="67"/>
        <v>28.51056961202994</v>
      </c>
      <c r="Q214" s="11">
        <f t="shared" si="72"/>
        <v>8.7626324264506081</v>
      </c>
      <c r="R214" s="11">
        <f t="shared" si="68"/>
        <v>19.747937185579332</v>
      </c>
      <c r="S214" s="9">
        <f t="shared" si="69"/>
        <v>60</v>
      </c>
      <c r="T214" s="14">
        <f t="shared" si="76"/>
        <v>5.5314081438195828E-3</v>
      </c>
      <c r="U214" s="14">
        <f t="shared" si="73"/>
        <v>0</v>
      </c>
      <c r="V214" s="14">
        <f t="shared" si="78"/>
        <v>2.872845784805067E-3</v>
      </c>
      <c r="W214" s="14">
        <f t="shared" si="78"/>
        <v>1.2751872731432095E-3</v>
      </c>
      <c r="X214" s="16">
        <f t="shared" si="79"/>
        <v>2.2528814749882096</v>
      </c>
    </row>
    <row r="215" spans="1:24" x14ac:dyDescent="0.25">
      <c r="A215" s="10">
        <v>45485</v>
      </c>
      <c r="B215" s="11">
        <v>13516.89</v>
      </c>
      <c r="C215" s="12">
        <f t="shared" si="74"/>
        <v>6.1724121759985096E-3</v>
      </c>
      <c r="D215" s="11">
        <f t="shared" si="84"/>
        <v>13288.388500000001</v>
      </c>
      <c r="E215" s="11">
        <f t="shared" si="65"/>
        <v>13323.895400000001</v>
      </c>
      <c r="F215" s="11">
        <f t="shared" si="63"/>
        <v>12860.191437499998</v>
      </c>
      <c r="G215" s="12">
        <f t="shared" si="75"/>
        <v>6.153440865771252E-3</v>
      </c>
      <c r="H215" s="19">
        <f t="shared" si="80"/>
        <v>9.2708772861855748E-2</v>
      </c>
      <c r="I215" s="11">
        <f t="shared" si="81"/>
        <v>13516.89</v>
      </c>
      <c r="J215" s="11">
        <f t="shared" si="82"/>
        <v>13125.47</v>
      </c>
      <c r="K215" s="12">
        <f>(B215-MAX($B$2:B215))/MAX($B$2:B215)</f>
        <v>-1.8048448712202206E-3</v>
      </c>
      <c r="L215" s="12">
        <f t="shared" si="83"/>
        <v>2.4877187368970155E-2</v>
      </c>
      <c r="M215" s="15">
        <f t="shared" si="77"/>
        <v>73.556862620376521</v>
      </c>
      <c r="N215" s="11">
        <f t="shared" si="70"/>
        <v>13356.426128611158</v>
      </c>
      <c r="O215" s="11">
        <f t="shared" si="71"/>
        <v>13314.899545977501</v>
      </c>
      <c r="P215" s="11">
        <f t="shared" si="67"/>
        <v>41.52658263365629</v>
      </c>
      <c r="Q215" s="11">
        <f t="shared" si="72"/>
        <v>15.315422467891747</v>
      </c>
      <c r="R215" s="11">
        <f t="shared" si="68"/>
        <v>26.211160165764543</v>
      </c>
      <c r="S215" s="9">
        <f t="shared" si="69"/>
        <v>60</v>
      </c>
      <c r="T215" s="14">
        <f t="shared" si="76"/>
        <v>6.1724121759985096E-3</v>
      </c>
      <c r="U215" s="14">
        <f t="shared" si="73"/>
        <v>0</v>
      </c>
      <c r="V215" s="14">
        <f t="shared" si="78"/>
        <v>3.3137323688049608E-3</v>
      </c>
      <c r="W215" s="14">
        <f t="shared" si="78"/>
        <v>1.1912617959230487E-3</v>
      </c>
      <c r="X215" s="16">
        <f t="shared" si="79"/>
        <v>2.7816995224272398</v>
      </c>
    </row>
    <row r="216" spans="1:24" x14ac:dyDescent="0.25">
      <c r="A216" s="10">
        <v>45488</v>
      </c>
      <c r="B216" s="11">
        <v>13433.94</v>
      </c>
      <c r="C216" s="12">
        <f t="shared" si="74"/>
        <v>-6.13676666748042E-3</v>
      </c>
      <c r="D216" s="11">
        <f t="shared" si="84"/>
        <v>13300.646000000002</v>
      </c>
      <c r="E216" s="11">
        <f t="shared" si="65"/>
        <v>13326.117199999997</v>
      </c>
      <c r="F216" s="11">
        <f t="shared" si="63"/>
        <v>12869.155374999998</v>
      </c>
      <c r="G216" s="12">
        <f t="shared" si="75"/>
        <v>-6.1556740130462514E-3</v>
      </c>
      <c r="H216" s="19">
        <f t="shared" si="80"/>
        <v>9.6376134712325243E-2</v>
      </c>
      <c r="I216" s="11">
        <f t="shared" si="81"/>
        <v>13516.89</v>
      </c>
      <c r="J216" s="11">
        <f t="shared" si="82"/>
        <v>13125.47</v>
      </c>
      <c r="K216" s="12">
        <f>(B216-MAX($B$2:B216))/MAX($B$2:B216)</f>
        <v>-7.9305356268549263E-3</v>
      </c>
      <c r="L216" s="12">
        <f t="shared" si="83"/>
        <v>2.0643158492140046E-2</v>
      </c>
      <c r="M216" s="15">
        <f t="shared" si="77"/>
        <v>52.005062837260638</v>
      </c>
      <c r="N216" s="11">
        <f t="shared" si="70"/>
        <v>13368.351339594057</v>
      </c>
      <c r="O216" s="11">
        <f t="shared" si="71"/>
        <v>13323.717357386575</v>
      </c>
      <c r="P216" s="11">
        <f t="shared" si="67"/>
        <v>44.633982207482404</v>
      </c>
      <c r="Q216" s="11">
        <f t="shared" si="72"/>
        <v>21.17913441580988</v>
      </c>
      <c r="R216" s="11">
        <f t="shared" si="68"/>
        <v>23.454847791672524</v>
      </c>
      <c r="S216" s="9">
        <f t="shared" si="69"/>
        <v>60</v>
      </c>
      <c r="T216" s="14">
        <f t="shared" si="76"/>
        <v>0</v>
      </c>
      <c r="U216" s="14">
        <f t="shared" si="73"/>
        <v>6.13676666748042E-3</v>
      </c>
      <c r="V216" s="14">
        <f t="shared" si="78"/>
        <v>1.7657605900528767E-3</v>
      </c>
      <c r="W216" s="14">
        <f t="shared" si="78"/>
        <v>1.6296022721716502E-3</v>
      </c>
      <c r="X216" s="16">
        <f t="shared" si="79"/>
        <v>1.0835530977137007</v>
      </c>
    </row>
    <row r="217" spans="1:24" x14ac:dyDescent="0.25">
      <c r="A217" s="10">
        <v>45489</v>
      </c>
      <c r="B217" s="11">
        <v>13456.34</v>
      </c>
      <c r="C217" s="12">
        <f t="shared" si="74"/>
        <v>1.6674184937552905E-3</v>
      </c>
      <c r="D217" s="11">
        <f t="shared" si="84"/>
        <v>13315.351500000001</v>
      </c>
      <c r="E217" s="11">
        <f t="shared" si="65"/>
        <v>13327.174599999997</v>
      </c>
      <c r="F217" s="11">
        <f t="shared" si="63"/>
        <v>12878.406437499998</v>
      </c>
      <c r="G217" s="12">
        <f t="shared" si="75"/>
        <v>1.6660298949079382E-3</v>
      </c>
      <c r="H217" s="19">
        <f t="shared" si="80"/>
        <v>9.577237906471664E-2</v>
      </c>
      <c r="I217" s="11">
        <f t="shared" si="81"/>
        <v>13516.89</v>
      </c>
      <c r="J217" s="11">
        <f t="shared" si="82"/>
        <v>13125.47</v>
      </c>
      <c r="K217" s="12">
        <f>(B217-MAX($B$2:B217))/MAX($B$2:B217)</f>
        <v>-6.2763406548691884E-3</v>
      </c>
      <c r="L217" s="12">
        <f t="shared" si="83"/>
        <v>2.0273016219626294E-2</v>
      </c>
      <c r="M217" s="15">
        <f t="shared" si="77"/>
        <v>58.397713928206919</v>
      </c>
      <c r="N217" s="11">
        <f t="shared" si="70"/>
        <v>13381.888056579588</v>
      </c>
      <c r="O217" s="11">
        <f t="shared" si="71"/>
        <v>13333.54125683942</v>
      </c>
      <c r="P217" s="11">
        <f t="shared" si="67"/>
        <v>48.346799740167626</v>
      </c>
      <c r="Q217" s="11">
        <f t="shared" si="72"/>
        <v>26.612667480681431</v>
      </c>
      <c r="R217" s="11">
        <f t="shared" si="68"/>
        <v>21.734132259486195</v>
      </c>
      <c r="S217" s="9">
        <f t="shared" si="69"/>
        <v>60</v>
      </c>
      <c r="T217" s="14">
        <f t="shared" si="76"/>
        <v>1.6674184937552905E-3</v>
      </c>
      <c r="U217" s="14">
        <f t="shared" si="73"/>
        <v>0</v>
      </c>
      <c r="V217" s="14">
        <f t="shared" si="78"/>
        <v>1.8848619110353976E-3</v>
      </c>
      <c r="W217" s="14">
        <f t="shared" si="78"/>
        <v>1.3427677070565231E-3</v>
      </c>
      <c r="X217" s="16">
        <f t="shared" si="79"/>
        <v>1.4037140609876577</v>
      </c>
    </row>
    <row r="218" spans="1:24" x14ac:dyDescent="0.25">
      <c r="A218" s="10">
        <v>45490</v>
      </c>
      <c r="B218" s="11">
        <v>13585.39</v>
      </c>
      <c r="C218" s="12">
        <f t="shared" si="74"/>
        <v>9.5902749187370961E-3</v>
      </c>
      <c r="D218" s="11">
        <f t="shared" si="84"/>
        <v>13335.173000000001</v>
      </c>
      <c r="E218" s="11">
        <f t="shared" si="65"/>
        <v>13331.632799999998</v>
      </c>
      <c r="F218" s="11">
        <f t="shared" si="63"/>
        <v>12888.579687499998</v>
      </c>
      <c r="G218" s="12">
        <f t="shared" si="75"/>
        <v>9.544580150193837E-3</v>
      </c>
      <c r="H218" s="19">
        <f t="shared" si="80"/>
        <v>0.10034076470481729</v>
      </c>
      <c r="I218" s="11">
        <f t="shared" si="81"/>
        <v>13585.39</v>
      </c>
      <c r="J218" s="11">
        <f t="shared" si="82"/>
        <v>13125.47</v>
      </c>
      <c r="K218" s="12">
        <f>(B218-MAX($B$2:B218))/MAX($B$2:B218)</f>
        <v>0</v>
      </c>
      <c r="L218" s="12">
        <f t="shared" si="83"/>
        <v>3.4042896515714238E-2</v>
      </c>
      <c r="M218" s="15">
        <f t="shared" si="77"/>
        <v>69.267809578045473</v>
      </c>
      <c r="N218" s="11">
        <f t="shared" si="70"/>
        <v>13413.196047875035</v>
      </c>
      <c r="O218" s="11">
        <f t="shared" si="71"/>
        <v>13352.19671929576</v>
      </c>
      <c r="P218" s="11">
        <f t="shared" si="67"/>
        <v>60.999328579275243</v>
      </c>
      <c r="Q218" s="11">
        <f t="shared" si="72"/>
        <v>33.489999700400197</v>
      </c>
      <c r="R218" s="11">
        <f t="shared" si="68"/>
        <v>27.509328878875046</v>
      </c>
      <c r="S218" s="9">
        <f t="shared" si="69"/>
        <v>100</v>
      </c>
      <c r="T218" s="14">
        <f t="shared" si="76"/>
        <v>9.5902749187370961E-3</v>
      </c>
      <c r="U218" s="14">
        <f t="shared" si="73"/>
        <v>0</v>
      </c>
      <c r="V218" s="14">
        <f t="shared" si="78"/>
        <v>2.5698815480880472E-3</v>
      </c>
      <c r="W218" s="14">
        <f t="shared" si="78"/>
        <v>1.1401845904874888E-3</v>
      </c>
      <c r="X218" s="16">
        <f t="shared" si="79"/>
        <v>2.2539171021328115</v>
      </c>
    </row>
    <row r="219" spans="1:24" x14ac:dyDescent="0.25">
      <c r="A219" s="10">
        <v>45491</v>
      </c>
      <c r="B219" s="11">
        <v>13595.96</v>
      </c>
      <c r="C219" s="12">
        <f t="shared" si="74"/>
        <v>7.7804170509643278E-4</v>
      </c>
      <c r="D219" s="11">
        <f t="shared" si="84"/>
        <v>13358.064500000002</v>
      </c>
      <c r="E219" s="11">
        <f t="shared" si="65"/>
        <v>13336.042599999995</v>
      </c>
      <c r="F219" s="11">
        <f t="shared" si="63"/>
        <v>12899.530749999998</v>
      </c>
      <c r="G219" s="12">
        <f t="shared" si="75"/>
        <v>7.7773918755300541E-4</v>
      </c>
      <c r="H219" s="19">
        <f t="shared" si="80"/>
        <v>9.8397344342119344E-2</v>
      </c>
      <c r="I219" s="11">
        <f t="shared" si="81"/>
        <v>13595.96</v>
      </c>
      <c r="J219" s="11">
        <f t="shared" si="82"/>
        <v>13125.47</v>
      </c>
      <c r="K219" s="12">
        <f>(B219-MAX($B$2:B219))/MAX($B$2:B219)</f>
        <v>0</v>
      </c>
      <c r="L219" s="12">
        <f t="shared" si="83"/>
        <v>3.4628499852749961E-2</v>
      </c>
      <c r="M219" s="15">
        <f t="shared" si="77"/>
        <v>71.432601862824768</v>
      </c>
      <c r="N219" s="11">
        <f t="shared" si="70"/>
        <v>13441.313578971183</v>
      </c>
      <c r="O219" s="11">
        <f t="shared" si="71"/>
        <v>13370.253258607187</v>
      </c>
      <c r="P219" s="11">
        <f t="shared" si="67"/>
        <v>71.060320363996652</v>
      </c>
      <c r="Q219" s="11">
        <f t="shared" si="72"/>
        <v>41.004063833119488</v>
      </c>
      <c r="R219" s="11">
        <f t="shared" si="68"/>
        <v>30.056256530877164</v>
      </c>
      <c r="S219" s="9">
        <f t="shared" si="69"/>
        <v>100</v>
      </c>
      <c r="T219" s="14">
        <f t="shared" si="76"/>
        <v>7.7804170509643278E-4</v>
      </c>
      <c r="U219" s="14">
        <f t="shared" si="73"/>
        <v>0</v>
      </c>
      <c r="V219" s="14">
        <f t="shared" si="78"/>
        <v>2.6254559555949353E-3</v>
      </c>
      <c r="W219" s="14">
        <f t="shared" si="78"/>
        <v>1.0499749920789519E-3</v>
      </c>
      <c r="X219" s="16">
        <f t="shared" si="79"/>
        <v>2.5004937978537267</v>
      </c>
    </row>
    <row r="220" spans="1:24" x14ac:dyDescent="0.25">
      <c r="A220" s="10">
        <v>45492</v>
      </c>
      <c r="B220" s="11">
        <v>13623.01</v>
      </c>
      <c r="C220" s="12">
        <f t="shared" si="74"/>
        <v>1.9895616050651377E-3</v>
      </c>
      <c r="D220" s="11">
        <f t="shared" si="84"/>
        <v>13382.169499999998</v>
      </c>
      <c r="E220" s="11">
        <f t="shared" si="65"/>
        <v>13340.129399999998</v>
      </c>
      <c r="F220" s="11">
        <f t="shared" si="63"/>
        <v>12911.079749999997</v>
      </c>
      <c r="G220" s="12">
        <f t="shared" si="75"/>
        <v>1.9875850485946709E-3</v>
      </c>
      <c r="H220" s="19">
        <f t="shared" si="80"/>
        <v>9.8239813489524361E-2</v>
      </c>
      <c r="I220" s="11">
        <f t="shared" si="81"/>
        <v>13623.01</v>
      </c>
      <c r="J220" s="11">
        <f t="shared" si="82"/>
        <v>13125.47</v>
      </c>
      <c r="K220" s="12">
        <f>(B220-MAX($B$2:B220))/MAX($B$2:B220)</f>
        <v>0</v>
      </c>
      <c r="L220" s="12">
        <f t="shared" si="83"/>
        <v>3.7906452111810207E-2</v>
      </c>
      <c r="M220" s="15">
        <f t="shared" si="77"/>
        <v>72.418064372086533</v>
      </c>
      <c r="N220" s="11">
        <f t="shared" si="70"/>
        <v>13469.266874514078</v>
      </c>
      <c r="O220" s="11">
        <f t="shared" si="71"/>
        <v>13388.975980191841</v>
      </c>
      <c r="P220" s="11">
        <f t="shared" si="67"/>
        <v>80.290894322237364</v>
      </c>
      <c r="Q220" s="11">
        <f t="shared" si="72"/>
        <v>48.861429930943061</v>
      </c>
      <c r="R220" s="11">
        <f t="shared" si="68"/>
        <v>31.429464391294303</v>
      </c>
      <c r="S220" s="9">
        <f t="shared" si="69"/>
        <v>100</v>
      </c>
      <c r="T220" s="14">
        <f t="shared" si="76"/>
        <v>1.9895616050651377E-3</v>
      </c>
      <c r="U220" s="14">
        <f t="shared" si="73"/>
        <v>0</v>
      </c>
      <c r="V220" s="14">
        <f t="shared" si="78"/>
        <v>2.7567737663959846E-3</v>
      </c>
      <c r="W220" s="14">
        <f t="shared" si="78"/>
        <v>1.0499749920789519E-3</v>
      </c>
      <c r="X220" s="16">
        <f t="shared" si="79"/>
        <v>2.625561358311562</v>
      </c>
    </row>
    <row r="221" spans="1:24" x14ac:dyDescent="0.25">
      <c r="A221" s="10">
        <v>45495</v>
      </c>
      <c r="B221" s="11">
        <v>13609.34</v>
      </c>
      <c r="C221" s="12">
        <f t="shared" si="74"/>
        <v>-1.0034493111287235E-3</v>
      </c>
      <c r="D221" s="11">
        <f t="shared" si="84"/>
        <v>13406.362999999998</v>
      </c>
      <c r="E221" s="11">
        <f t="shared" si="65"/>
        <v>13342.751599999994</v>
      </c>
      <c r="F221" s="11">
        <f t="shared" si="63"/>
        <v>12922.486062499998</v>
      </c>
      <c r="G221" s="12">
        <f t="shared" si="75"/>
        <v>-1.0039531034369525E-3</v>
      </c>
      <c r="H221" s="19">
        <f t="shared" si="80"/>
        <v>9.8172670377046967E-2</v>
      </c>
      <c r="I221" s="11">
        <f t="shared" si="81"/>
        <v>13623.01</v>
      </c>
      <c r="J221" s="11">
        <f t="shared" si="82"/>
        <v>13208.62</v>
      </c>
      <c r="K221" s="12">
        <f>(B221-MAX($B$2:B221))/MAX($B$2:B221)</f>
        <v>-1.0034493111287499E-3</v>
      </c>
      <c r="L221" s="12">
        <f t="shared" si="83"/>
        <v>1.4871080513530366E-2</v>
      </c>
      <c r="M221" s="15">
        <f t="shared" si="77"/>
        <v>77.328353596498715</v>
      </c>
      <c r="N221" s="11">
        <f t="shared" si="70"/>
        <v>13490.816586127297</v>
      </c>
      <c r="O221" s="11">
        <f t="shared" si="71"/>
        <v>13405.299240918372</v>
      </c>
      <c r="P221" s="11">
        <f t="shared" si="67"/>
        <v>85.51734520892569</v>
      </c>
      <c r="Q221" s="11">
        <f t="shared" si="72"/>
        <v>56.192612986539594</v>
      </c>
      <c r="R221" s="11">
        <f t="shared" si="68"/>
        <v>29.324732222386096</v>
      </c>
      <c r="S221" s="9">
        <f t="shared" si="69"/>
        <v>100</v>
      </c>
      <c r="T221" s="14">
        <f t="shared" si="76"/>
        <v>0</v>
      </c>
      <c r="U221" s="14">
        <f t="shared" si="73"/>
        <v>1.0034493111287235E-3</v>
      </c>
      <c r="V221" s="14">
        <f t="shared" si="78"/>
        <v>2.7567737663959846E-3</v>
      </c>
      <c r="W221" s="14">
        <f t="shared" si="78"/>
        <v>8.0824946011792687E-4</v>
      </c>
      <c r="X221" s="16">
        <f t="shared" si="79"/>
        <v>3.4107956793361298</v>
      </c>
    </row>
    <row r="222" spans="1:24" x14ac:dyDescent="0.25">
      <c r="A222" s="10">
        <v>45496</v>
      </c>
      <c r="B222" s="11">
        <v>13602.92</v>
      </c>
      <c r="C222" s="12">
        <f t="shared" si="74"/>
        <v>-4.7173485268203752E-4</v>
      </c>
      <c r="D222" s="11">
        <f t="shared" si="84"/>
        <v>13416.012999999997</v>
      </c>
      <c r="E222" s="11">
        <f t="shared" si="65"/>
        <v>13344.269799999995</v>
      </c>
      <c r="F222" s="11">
        <f t="shared" si="63"/>
        <v>12933.869562499998</v>
      </c>
      <c r="G222" s="12">
        <f t="shared" si="75"/>
        <v>-4.7184615457235193E-4</v>
      </c>
      <c r="H222" s="19">
        <f t="shared" si="80"/>
        <v>6.5404383358985588E-2</v>
      </c>
      <c r="I222" s="11">
        <f t="shared" si="81"/>
        <v>13623.01</v>
      </c>
      <c r="J222" s="11">
        <f t="shared" si="82"/>
        <v>13208.62</v>
      </c>
      <c r="K222" s="12">
        <f>(B222-MAX($B$2:B222))/MAX($B$2:B222)</f>
        <v>-1.4747108017978512E-3</v>
      </c>
      <c r="L222" s="12">
        <f t="shared" si="83"/>
        <v>1.8482233171883689E-2</v>
      </c>
      <c r="M222" s="15">
        <f t="shared" si="77"/>
        <v>81.022669322860878</v>
      </c>
      <c r="N222" s="11">
        <f t="shared" si="70"/>
        <v>13508.063265184635</v>
      </c>
      <c r="O222" s="11">
        <f t="shared" si="71"/>
        <v>13419.93781566516</v>
      </c>
      <c r="P222" s="11">
        <f t="shared" si="67"/>
        <v>88.125449519475296</v>
      </c>
      <c r="Q222" s="11">
        <f t="shared" si="72"/>
        <v>62.57918029312674</v>
      </c>
      <c r="R222" s="11">
        <f t="shared" si="68"/>
        <v>25.546269226348556</v>
      </c>
      <c r="S222" s="9">
        <f t="shared" si="69"/>
        <v>100</v>
      </c>
      <c r="T222" s="14">
        <f t="shared" si="76"/>
        <v>0</v>
      </c>
      <c r="U222" s="14">
        <f t="shared" si="73"/>
        <v>4.7173485268203752E-4</v>
      </c>
      <c r="V222" s="14">
        <f t="shared" si="78"/>
        <v>2.7567737663959846E-3</v>
      </c>
      <c r="W222" s="14">
        <f t="shared" si="78"/>
        <v>6.4569839285951087E-4</v>
      </c>
      <c r="X222" s="16">
        <f t="shared" si="79"/>
        <v>4.2694449868265281</v>
      </c>
    </row>
    <row r="223" spans="1:24" x14ac:dyDescent="0.25">
      <c r="A223" s="10">
        <v>45497</v>
      </c>
      <c r="B223" s="11">
        <v>13641.18</v>
      </c>
      <c r="C223" s="12">
        <f t="shared" si="74"/>
        <v>2.8126314056100554E-3</v>
      </c>
      <c r="D223" s="11">
        <f t="shared" si="84"/>
        <v>13430.2685</v>
      </c>
      <c r="E223" s="11">
        <f t="shared" si="65"/>
        <v>13346.266799999998</v>
      </c>
      <c r="F223" s="11">
        <f t="shared" si="63"/>
        <v>12945.700749999996</v>
      </c>
      <c r="G223" s="12">
        <f t="shared" si="75"/>
        <v>2.8086833590986707E-3</v>
      </c>
      <c r="H223" s="19">
        <f t="shared" si="80"/>
        <v>6.3302221076593765E-2</v>
      </c>
      <c r="I223" s="11">
        <f t="shared" si="81"/>
        <v>13641.18</v>
      </c>
      <c r="J223" s="11">
        <f t="shared" si="82"/>
        <v>13208.62</v>
      </c>
      <c r="K223" s="12">
        <f>(B223-MAX($B$2:B223))/MAX($B$2:B223)</f>
        <v>0</v>
      </c>
      <c r="L223" s="12">
        <f t="shared" si="83"/>
        <v>2.4251793975007097E-2</v>
      </c>
      <c r="M223" s="15">
        <f t="shared" si="77"/>
        <v>79.389770012209283</v>
      </c>
      <c r="N223" s="11">
        <f t="shared" si="70"/>
        <v>13528.542762848538</v>
      </c>
      <c r="O223" s="11">
        <f t="shared" si="71"/>
        <v>13436.326125615889</v>
      </c>
      <c r="P223" s="11">
        <f t="shared" si="67"/>
        <v>92.216637232648281</v>
      </c>
      <c r="Q223" s="11">
        <f t="shared" si="72"/>
        <v>68.506671681031051</v>
      </c>
      <c r="R223" s="11">
        <f t="shared" si="68"/>
        <v>23.709965551617231</v>
      </c>
      <c r="S223" s="9">
        <f t="shared" si="69"/>
        <v>100</v>
      </c>
      <c r="T223" s="14">
        <f t="shared" si="76"/>
        <v>2.8126314056100554E-3</v>
      </c>
      <c r="U223" s="14">
        <f t="shared" si="73"/>
        <v>0</v>
      </c>
      <c r="V223" s="14">
        <f t="shared" si="78"/>
        <v>2.4872040213397284E-3</v>
      </c>
      <c r="W223" s="14">
        <f t="shared" si="78"/>
        <v>6.4569839285951087E-4</v>
      </c>
      <c r="X223" s="16">
        <f t="shared" si="79"/>
        <v>3.8519594424341195</v>
      </c>
    </row>
    <row r="224" spans="1:24" x14ac:dyDescent="0.25">
      <c r="A224" s="10">
        <v>45498</v>
      </c>
      <c r="B224" s="11">
        <v>13660.65</v>
      </c>
      <c r="C224" s="12">
        <f t="shared" si="74"/>
        <v>1.4272958790955137E-3</v>
      </c>
      <c r="D224" s="11">
        <f t="shared" si="84"/>
        <v>13447.391499999998</v>
      </c>
      <c r="E224" s="11">
        <f t="shared" si="65"/>
        <v>13349.450599999998</v>
      </c>
      <c r="F224" s="11">
        <f t="shared" si="63"/>
        <v>12957.779437499996</v>
      </c>
      <c r="G224" s="12">
        <f t="shared" si="75"/>
        <v>1.4262782605123962E-3</v>
      </c>
      <c r="H224" s="19">
        <f t="shared" si="80"/>
        <v>6.1608172457139378E-2</v>
      </c>
      <c r="I224" s="11">
        <f t="shared" si="81"/>
        <v>13660.65</v>
      </c>
      <c r="J224" s="11">
        <f t="shared" si="82"/>
        <v>13208.62</v>
      </c>
      <c r="K224" s="12">
        <f>(B224-MAX($B$2:B224))/MAX($B$2:B224)</f>
        <v>0</v>
      </c>
      <c r="L224" s="12">
        <f t="shared" si="83"/>
        <v>2.7010751524090937E-2</v>
      </c>
      <c r="M224" s="15">
        <f t="shared" si="77"/>
        <v>77.323648867507856</v>
      </c>
      <c r="N224" s="11">
        <f t="shared" si="70"/>
        <v>13548.866953179531</v>
      </c>
      <c r="O224" s="11">
        <f t="shared" si="71"/>
        <v>13452.942708903602</v>
      </c>
      <c r="P224" s="11">
        <f t="shared" si="67"/>
        <v>95.924244275929595</v>
      </c>
      <c r="Q224" s="11">
        <f t="shared" si="72"/>
        <v>73.990186200010754</v>
      </c>
      <c r="R224" s="11">
        <f t="shared" si="68"/>
        <v>21.934058075918841</v>
      </c>
      <c r="S224" s="9">
        <f t="shared" si="69"/>
        <v>100</v>
      </c>
      <c r="T224" s="14">
        <f t="shared" si="76"/>
        <v>1.4272958790955137E-3</v>
      </c>
      <c r="U224" s="14">
        <f t="shared" si="73"/>
        <v>0</v>
      </c>
      <c r="V224" s="14">
        <f t="shared" ref="V224:W239" si="85">AVERAGE(T211:T224)</f>
        <v>2.2017543965547099E-3</v>
      </c>
      <c r="W224" s="14">
        <f t="shared" si="85"/>
        <v>6.4569839285951087E-4</v>
      </c>
      <c r="X224" s="16">
        <f t="shared" si="79"/>
        <v>3.4098805586368575</v>
      </c>
    </row>
    <row r="225" spans="1:24" x14ac:dyDescent="0.25">
      <c r="A225" s="10">
        <v>45499</v>
      </c>
      <c r="B225" s="11">
        <v>13773.16</v>
      </c>
      <c r="C225" s="12">
        <f t="shared" si="74"/>
        <v>8.2360649017434451E-3</v>
      </c>
      <c r="D225" s="11">
        <f t="shared" si="84"/>
        <v>13470.980999999996</v>
      </c>
      <c r="E225" s="11">
        <f t="shared" si="65"/>
        <v>13356.485799999999</v>
      </c>
      <c r="F225" s="11">
        <f t="shared" ref="F225:F288" si="86">AVERAGE(B66:B225)</f>
        <v>12970.364749999997</v>
      </c>
      <c r="G225" s="12">
        <f t="shared" si="75"/>
        <v>8.2023336014357302E-3</v>
      </c>
      <c r="H225" s="19">
        <f t="shared" si="80"/>
        <v>6.5486869321730465E-2</v>
      </c>
      <c r="I225" s="11">
        <f t="shared" si="81"/>
        <v>13773.16</v>
      </c>
      <c r="J225" s="11">
        <f t="shared" si="82"/>
        <v>13208.62</v>
      </c>
      <c r="K225" s="12">
        <f>(B225-MAX($B$2:B225))/MAX($B$2:B225)</f>
        <v>0</v>
      </c>
      <c r="L225" s="12">
        <f t="shared" si="83"/>
        <v>3.5312830273208862E-2</v>
      </c>
      <c r="M225" s="15">
        <f t="shared" si="77"/>
        <v>82.481519307809009</v>
      </c>
      <c r="N225" s="11">
        <f t="shared" si="70"/>
        <v>13583.373575767297</v>
      </c>
      <c r="O225" s="11">
        <f t="shared" si="71"/>
        <v>13476.662508244077</v>
      </c>
      <c r="P225" s="11">
        <f t="shared" si="67"/>
        <v>106.71106752321975</v>
      </c>
      <c r="Q225" s="11">
        <f t="shared" si="72"/>
        <v>80.53436246465256</v>
      </c>
      <c r="R225" s="11">
        <f t="shared" si="68"/>
        <v>26.176705058567194</v>
      </c>
      <c r="S225" s="9">
        <f t="shared" si="69"/>
        <v>100</v>
      </c>
      <c r="T225" s="14">
        <f t="shared" si="76"/>
        <v>8.2360649017434451E-3</v>
      </c>
      <c r="U225" s="14">
        <f t="shared" si="73"/>
        <v>0</v>
      </c>
      <c r="V225" s="14">
        <f t="shared" si="85"/>
        <v>2.7900447466792416E-3</v>
      </c>
      <c r="W225" s="14">
        <f t="shared" si="85"/>
        <v>5.9258541107428037E-4</v>
      </c>
      <c r="X225" s="16">
        <f t="shared" si="79"/>
        <v>4.7082575685102555</v>
      </c>
    </row>
    <row r="226" spans="1:24" x14ac:dyDescent="0.25">
      <c r="A226" s="10">
        <v>45502</v>
      </c>
      <c r="B226" s="11">
        <v>13905.07</v>
      </c>
      <c r="C226" s="12">
        <f t="shared" si="74"/>
        <v>9.5773228511104591E-3</v>
      </c>
      <c r="D226" s="11">
        <f t="shared" si="84"/>
        <v>13501.065499999997</v>
      </c>
      <c r="E226" s="11">
        <f t="shared" si="65"/>
        <v>13366.359399999998</v>
      </c>
      <c r="F226" s="11">
        <f t="shared" si="86"/>
        <v>12983.786437499997</v>
      </c>
      <c r="G226" s="12">
        <f t="shared" si="75"/>
        <v>9.5317510342342506E-3</v>
      </c>
      <c r="H226" s="19">
        <f t="shared" si="80"/>
        <v>7.071940283427057E-2</v>
      </c>
      <c r="I226" s="11">
        <f t="shared" si="81"/>
        <v>13905.07</v>
      </c>
      <c r="J226" s="11">
        <f t="shared" si="82"/>
        <v>13208.62</v>
      </c>
      <c r="K226" s="12">
        <f>(B226-MAX($B$2:B226))/MAX($B$2:B226)</f>
        <v>0</v>
      </c>
      <c r="L226" s="12">
        <f t="shared" si="83"/>
        <v>4.9834616961406564E-2</v>
      </c>
      <c r="M226" s="15">
        <f t="shared" si="77"/>
        <v>86.467618941724012</v>
      </c>
      <c r="N226" s="11">
        <f t="shared" si="70"/>
        <v>13632.865333341559</v>
      </c>
      <c r="O226" s="11">
        <f t="shared" si="71"/>
        <v>13508.396396522294</v>
      </c>
      <c r="P226" s="11">
        <f t="shared" si="67"/>
        <v>124.46893681926485</v>
      </c>
      <c r="Q226" s="11">
        <f t="shared" si="72"/>
        <v>89.321277335575019</v>
      </c>
      <c r="R226" s="11">
        <f t="shared" si="68"/>
        <v>35.147659483689836</v>
      </c>
      <c r="S226" s="9">
        <f t="shared" si="69"/>
        <v>100</v>
      </c>
      <c r="T226" s="14">
        <f t="shared" si="76"/>
        <v>9.5773228511104591E-3</v>
      </c>
      <c r="U226" s="14">
        <f t="shared" si="73"/>
        <v>0</v>
      </c>
      <c r="V226" s="14">
        <f t="shared" si="85"/>
        <v>3.4741392360442746E-3</v>
      </c>
      <c r="W226" s="14">
        <f t="shared" si="85"/>
        <v>5.437107736636558E-4</v>
      </c>
      <c r="X226" s="16">
        <f t="shared" si="79"/>
        <v>6.3896825377115061</v>
      </c>
    </row>
    <row r="227" spans="1:24" x14ac:dyDescent="0.25">
      <c r="A227" s="10">
        <v>45504</v>
      </c>
      <c r="B227" s="11">
        <v>13984.33</v>
      </c>
      <c r="C227" s="12">
        <f t="shared" si="74"/>
        <v>5.7000791797523487E-3</v>
      </c>
      <c r="D227" s="11">
        <f t="shared" si="84"/>
        <v>13538.031500000001</v>
      </c>
      <c r="E227" s="11">
        <f t="shared" si="65"/>
        <v>13377.523399999998</v>
      </c>
      <c r="F227" s="11">
        <f t="shared" si="86"/>
        <v>12997.269624999997</v>
      </c>
      <c r="G227" s="12">
        <f t="shared" si="75"/>
        <v>5.6838951992803019E-3</v>
      </c>
      <c r="H227" s="19">
        <f t="shared" si="80"/>
        <v>6.7189347378380615E-2</v>
      </c>
      <c r="I227" s="11">
        <f t="shared" si="81"/>
        <v>13984.33</v>
      </c>
      <c r="J227" s="11">
        <f t="shared" si="82"/>
        <v>13208.62</v>
      </c>
      <c r="K227" s="12">
        <f>(B227-MAX($B$2:B227))/MAX($B$2:B227)</f>
        <v>0</v>
      </c>
      <c r="L227" s="12">
        <f t="shared" si="83"/>
        <v>5.8727558215771136E-2</v>
      </c>
      <c r="M227" s="15">
        <f t="shared" si="77"/>
        <v>87.540686060965967</v>
      </c>
      <c r="N227" s="11">
        <f t="shared" si="70"/>
        <v>13686.936820519781</v>
      </c>
      <c r="O227" s="11">
        <f t="shared" si="71"/>
        <v>13543.650737520642</v>
      </c>
      <c r="P227" s="11">
        <f t="shared" si="67"/>
        <v>143.28608299913867</v>
      </c>
      <c r="Q227" s="11">
        <f t="shared" si="72"/>
        <v>100.11423846828775</v>
      </c>
      <c r="R227" s="11">
        <f t="shared" si="68"/>
        <v>43.171844530850919</v>
      </c>
      <c r="S227" s="9">
        <f t="shared" si="69"/>
        <v>100</v>
      </c>
      <c r="T227" s="14">
        <f t="shared" si="76"/>
        <v>5.7000791797523487E-3</v>
      </c>
      <c r="U227" s="14">
        <f t="shared" si="73"/>
        <v>0</v>
      </c>
      <c r="V227" s="14">
        <f t="shared" si="85"/>
        <v>3.8201793756988478E-3</v>
      </c>
      <c r="W227" s="14">
        <f t="shared" si="85"/>
        <v>5.437107736636558E-4</v>
      </c>
      <c r="X227" s="16">
        <f t="shared" si="79"/>
        <v>7.026124109988749</v>
      </c>
    </row>
    <row r="228" spans="1:24" x14ac:dyDescent="0.25">
      <c r="A228" s="10">
        <v>45505</v>
      </c>
      <c r="B228" s="11">
        <v>13977.97</v>
      </c>
      <c r="C228" s="12">
        <f t="shared" si="74"/>
        <v>-4.5479475956311521E-4</v>
      </c>
      <c r="D228" s="11">
        <f t="shared" si="84"/>
        <v>13576.499</v>
      </c>
      <c r="E228" s="11">
        <f t="shared" si="65"/>
        <v>13388.195999999998</v>
      </c>
      <c r="F228" s="11">
        <f t="shared" si="86"/>
        <v>13010.348687499998</v>
      </c>
      <c r="G228" s="12">
        <f t="shared" si="75"/>
        <v>-4.5489821006679861E-4</v>
      </c>
      <c r="H228" s="19">
        <f t="shared" si="80"/>
        <v>6.5175407655084075E-2</v>
      </c>
      <c r="I228" s="11">
        <f t="shared" si="81"/>
        <v>13984.33</v>
      </c>
      <c r="J228" s="11">
        <f t="shared" si="82"/>
        <v>13295.62</v>
      </c>
      <c r="K228" s="12">
        <f>(B228-MAX($B$2:B228))/MAX($B$2:B228)</f>
        <v>-4.547947595630668E-4</v>
      </c>
      <c r="L228" s="12">
        <f t="shared" si="83"/>
        <v>5.1321412615582984E-2</v>
      </c>
      <c r="M228" s="15">
        <f t="shared" si="77"/>
        <v>85.599686926441365</v>
      </c>
      <c r="N228" s="11">
        <f t="shared" si="70"/>
        <v>13731.711155824429</v>
      </c>
      <c r="O228" s="11">
        <f t="shared" si="71"/>
        <v>13575.822534741335</v>
      </c>
      <c r="P228" s="11">
        <f t="shared" si="67"/>
        <v>155.88862108309331</v>
      </c>
      <c r="Q228" s="11">
        <f t="shared" si="72"/>
        <v>111.26911499124887</v>
      </c>
      <c r="R228" s="11">
        <f t="shared" si="68"/>
        <v>44.619506091844443</v>
      </c>
      <c r="S228" s="9">
        <f t="shared" si="69"/>
        <v>100</v>
      </c>
      <c r="T228" s="14">
        <f t="shared" si="76"/>
        <v>0</v>
      </c>
      <c r="U228" s="14">
        <f t="shared" si="73"/>
        <v>4.5479475956311521E-4</v>
      </c>
      <c r="V228" s="14">
        <f t="shared" si="85"/>
        <v>3.4250787939974492E-3</v>
      </c>
      <c r="W228" s="14">
        <f t="shared" si="85"/>
        <v>5.7619611363244976E-4</v>
      </c>
      <c r="X228" s="16">
        <f t="shared" si="79"/>
        <v>5.9442934670369469</v>
      </c>
    </row>
    <row r="229" spans="1:24" x14ac:dyDescent="0.25">
      <c r="A229" s="10">
        <v>45506</v>
      </c>
      <c r="B229" s="11">
        <v>14001.09</v>
      </c>
      <c r="C229" s="12">
        <f t="shared" si="74"/>
        <v>1.6540313078365898E-3</v>
      </c>
      <c r="D229" s="11">
        <f t="shared" si="84"/>
        <v>13611.772500000001</v>
      </c>
      <c r="E229" s="11">
        <f t="shared" si="65"/>
        <v>13399.680799999998</v>
      </c>
      <c r="F229" s="11">
        <f t="shared" si="86"/>
        <v>13023.153187499998</v>
      </c>
      <c r="G229" s="12">
        <f t="shared" si="75"/>
        <v>1.6526649045613057E-3</v>
      </c>
      <c r="H229" s="19">
        <f t="shared" si="80"/>
        <v>6.3759501667555313E-2</v>
      </c>
      <c r="I229" s="11">
        <f t="shared" si="81"/>
        <v>14001.09</v>
      </c>
      <c r="J229" s="11">
        <f t="shared" si="82"/>
        <v>13348.65</v>
      </c>
      <c r="K229" s="12">
        <f>(B229-MAX($B$2:B229))/MAX($B$2:B229)</f>
        <v>0</v>
      </c>
      <c r="L229" s="12">
        <f t="shared" si="83"/>
        <v>4.7379772033097733E-2</v>
      </c>
      <c r="M229" s="15">
        <f t="shared" si="77"/>
        <v>84.336254471353556</v>
      </c>
      <c r="N229" s="11">
        <f t="shared" si="70"/>
        <v>13773.154054928364</v>
      </c>
      <c r="O229" s="11">
        <f t="shared" si="71"/>
        <v>13607.323828464199</v>
      </c>
      <c r="P229" s="11">
        <f t="shared" si="67"/>
        <v>165.8302264641643</v>
      </c>
      <c r="Q229" s="11">
        <f t="shared" si="72"/>
        <v>122.18133728583196</v>
      </c>
      <c r="R229" s="11">
        <f t="shared" si="68"/>
        <v>43.64888917833234</v>
      </c>
      <c r="S229" s="9">
        <f t="shared" si="69"/>
        <v>100</v>
      </c>
      <c r="T229" s="14">
        <f t="shared" si="76"/>
        <v>1.6540313078365898E-3</v>
      </c>
      <c r="U229" s="14">
        <f t="shared" si="73"/>
        <v>0</v>
      </c>
      <c r="V229" s="14">
        <f t="shared" si="85"/>
        <v>3.1023373034144547E-3</v>
      </c>
      <c r="W229" s="14">
        <f t="shared" si="85"/>
        <v>5.7619611363244976E-4</v>
      </c>
      <c r="X229" s="16">
        <f t="shared" si="79"/>
        <v>5.3841690875988926</v>
      </c>
    </row>
    <row r="230" spans="1:24" x14ac:dyDescent="0.25">
      <c r="A230" s="10">
        <v>45509</v>
      </c>
      <c r="B230" s="11">
        <v>13602.42</v>
      </c>
      <c r="C230" s="12">
        <f t="shared" si="74"/>
        <v>-2.8474211650664327E-2</v>
      </c>
      <c r="D230" s="11">
        <f t="shared" si="84"/>
        <v>13623.507000000001</v>
      </c>
      <c r="E230" s="11">
        <f t="shared" si="65"/>
        <v>13403.888400000002</v>
      </c>
      <c r="F230" s="11">
        <f t="shared" si="86"/>
        <v>13033.197749999996</v>
      </c>
      <c r="G230" s="12">
        <f t="shared" si="75"/>
        <v>-2.8887465638582129E-2</v>
      </c>
      <c r="H230" s="19">
        <f t="shared" si="80"/>
        <v>0.12773748792650547</v>
      </c>
      <c r="I230" s="11">
        <f t="shared" si="81"/>
        <v>14001.09</v>
      </c>
      <c r="J230" s="11">
        <f t="shared" si="82"/>
        <v>13348.65</v>
      </c>
      <c r="K230" s="12">
        <f>(B230-MAX($B$2:B230))/MAX($B$2:B230)</f>
        <v>-2.8474211650664345E-2</v>
      </c>
      <c r="L230" s="12">
        <f t="shared" si="83"/>
        <v>1.8313658172496972E-2</v>
      </c>
      <c r="M230" s="15">
        <f t="shared" si="77"/>
        <v>58.822505692512095</v>
      </c>
      <c r="N230" s="11">
        <f t="shared" si="70"/>
        <v>13746.887277247077</v>
      </c>
      <c r="O230" s="11">
        <f t="shared" si="71"/>
        <v>13606.960581911295</v>
      </c>
      <c r="P230" s="11">
        <f t="shared" si="67"/>
        <v>139.92669533578191</v>
      </c>
      <c r="Q230" s="11">
        <f t="shared" si="72"/>
        <v>125.73040889582197</v>
      </c>
      <c r="R230" s="11">
        <f t="shared" si="68"/>
        <v>14.196286439959948</v>
      </c>
      <c r="S230" s="9">
        <f t="shared" si="69"/>
        <v>100</v>
      </c>
      <c r="T230" s="14">
        <f t="shared" si="76"/>
        <v>0</v>
      </c>
      <c r="U230" s="14">
        <f t="shared" si="73"/>
        <v>2.8474211650664327E-2</v>
      </c>
      <c r="V230" s="14">
        <f t="shared" si="85"/>
        <v>3.1023373034144547E-3</v>
      </c>
      <c r="W230" s="14">
        <f t="shared" si="85"/>
        <v>2.1717278981455861E-3</v>
      </c>
      <c r="X230" s="16">
        <f t="shared" si="79"/>
        <v>1.4285110515288335</v>
      </c>
    </row>
    <row r="231" spans="1:24" x14ac:dyDescent="0.25">
      <c r="A231" s="10">
        <v>45510</v>
      </c>
      <c r="B231" s="11">
        <v>13805.26</v>
      </c>
      <c r="C231" s="12">
        <f t="shared" si="74"/>
        <v>1.4912052414202792E-2</v>
      </c>
      <c r="D231" s="11">
        <f t="shared" si="84"/>
        <v>13645.880499999999</v>
      </c>
      <c r="E231" s="11">
        <f t="shared" si="65"/>
        <v>13412.483000000002</v>
      </c>
      <c r="F231" s="11">
        <f t="shared" si="86"/>
        <v>13043.761749999998</v>
      </c>
      <c r="G231" s="12">
        <f t="shared" si="75"/>
        <v>1.4801960871826798E-2</v>
      </c>
      <c r="H231" s="19">
        <f t="shared" si="80"/>
        <v>0.13673456809488202</v>
      </c>
      <c r="I231" s="11">
        <f t="shared" si="81"/>
        <v>14001.09</v>
      </c>
      <c r="J231" s="11">
        <f t="shared" si="82"/>
        <v>13348.65</v>
      </c>
      <c r="K231" s="12">
        <f>(B231-MAX($B$2:B231))/MAX($B$2:B231)</f>
        <v>-1.3986768173049379E-2</v>
      </c>
      <c r="L231" s="12">
        <f t="shared" si="83"/>
        <v>3.420645533443456E-2</v>
      </c>
      <c r="M231" s="15">
        <f t="shared" si="77"/>
        <v>65.085380644400658</v>
      </c>
      <c r="N231" s="11">
        <f t="shared" si="70"/>
        <v>13755.867696132142</v>
      </c>
      <c r="O231" s="11">
        <f t="shared" si="71"/>
        <v>13621.649427695644</v>
      </c>
      <c r="P231" s="11">
        <f t="shared" si="67"/>
        <v>134.21826843649797</v>
      </c>
      <c r="Q231" s="11">
        <f t="shared" si="72"/>
        <v>127.42798080395717</v>
      </c>
      <c r="R231" s="11">
        <f t="shared" si="68"/>
        <v>6.7902876325407959</v>
      </c>
      <c r="S231" s="9">
        <f t="shared" si="69"/>
        <v>100</v>
      </c>
      <c r="T231" s="14">
        <f t="shared" si="76"/>
        <v>1.4912052414202792E-2</v>
      </c>
      <c r="U231" s="14">
        <f t="shared" si="73"/>
        <v>0</v>
      </c>
      <c r="V231" s="14">
        <f t="shared" si="85"/>
        <v>4.0483825834464193E-3</v>
      </c>
      <c r="W231" s="14">
        <f t="shared" si="85"/>
        <v>2.1717278981455861E-3</v>
      </c>
      <c r="X231" s="16">
        <f t="shared" si="79"/>
        <v>1.8641297498196194</v>
      </c>
    </row>
    <row r="232" spans="1:24" x14ac:dyDescent="0.25">
      <c r="A232" s="10">
        <v>45511</v>
      </c>
      <c r="B232" s="11">
        <v>13781.04</v>
      </c>
      <c r="C232" s="12">
        <f t="shared" si="74"/>
        <v>-1.7544037562493564E-3</v>
      </c>
      <c r="D232" s="11">
        <f t="shared" si="84"/>
        <v>13667.5</v>
      </c>
      <c r="E232" s="11">
        <f t="shared" si="65"/>
        <v>13420.689800000004</v>
      </c>
      <c r="F232" s="11">
        <f t="shared" si="86"/>
        <v>13054.054562499998</v>
      </c>
      <c r="G232" s="12">
        <f t="shared" si="75"/>
        <v>-1.7559445248698767E-3</v>
      </c>
      <c r="H232" s="19">
        <f t="shared" si="80"/>
        <v>0.13702951102489866</v>
      </c>
      <c r="I232" s="11">
        <f t="shared" si="81"/>
        <v>14001.09</v>
      </c>
      <c r="J232" s="11">
        <f t="shared" si="82"/>
        <v>13360.07</v>
      </c>
      <c r="K232" s="12">
        <f>(B232-MAX($B$2:B232))/MAX($B$2:B232)</f>
        <v>-1.5716633490678172E-2</v>
      </c>
      <c r="L232" s="12">
        <f t="shared" si="83"/>
        <v>3.1509565443893717E-2</v>
      </c>
      <c r="M232" s="15">
        <f t="shared" si="77"/>
        <v>59.419117705793447</v>
      </c>
      <c r="N232" s="11">
        <f t="shared" si="70"/>
        <v>13759.740358265659</v>
      </c>
      <c r="O232" s="11">
        <f t="shared" si="71"/>
        <v>13633.456136755227</v>
      </c>
      <c r="P232" s="11">
        <f t="shared" si="67"/>
        <v>126.28422151043196</v>
      </c>
      <c r="Q232" s="11">
        <f t="shared" si="72"/>
        <v>127.19922894525213</v>
      </c>
      <c r="R232" s="11">
        <f t="shared" si="68"/>
        <v>-0.91500743482016844</v>
      </c>
      <c r="S232" s="9">
        <f t="shared" si="69"/>
        <v>60</v>
      </c>
      <c r="T232" s="14">
        <f t="shared" si="76"/>
        <v>0</v>
      </c>
      <c r="U232" s="14">
        <f t="shared" si="73"/>
        <v>1.7544037562493564E-3</v>
      </c>
      <c r="V232" s="14">
        <f t="shared" si="85"/>
        <v>3.3633629463937697E-3</v>
      </c>
      <c r="W232" s="14">
        <f t="shared" si="85"/>
        <v>2.297042452163397E-3</v>
      </c>
      <c r="X232" s="16">
        <f t="shared" si="79"/>
        <v>1.4642145351846207</v>
      </c>
    </row>
    <row r="233" spans="1:24" x14ac:dyDescent="0.25">
      <c r="A233" s="10">
        <v>45512</v>
      </c>
      <c r="B233" s="11">
        <v>13798.1</v>
      </c>
      <c r="C233" s="12">
        <f t="shared" si="74"/>
        <v>1.2379326959357506E-3</v>
      </c>
      <c r="D233" s="11">
        <f t="shared" si="84"/>
        <v>13689.401499999998</v>
      </c>
      <c r="E233" s="11">
        <f t="shared" si="65"/>
        <v>13430.120000000003</v>
      </c>
      <c r="F233" s="11">
        <f t="shared" si="86"/>
        <v>13064.503062499996</v>
      </c>
      <c r="G233" s="12">
        <f t="shared" si="75"/>
        <v>1.2371670890373196E-3</v>
      </c>
      <c r="H233" s="19">
        <f t="shared" si="80"/>
        <v>0.13700890247898542</v>
      </c>
      <c r="I233" s="11">
        <f t="shared" si="81"/>
        <v>14001.09</v>
      </c>
      <c r="J233" s="11">
        <f t="shared" si="82"/>
        <v>13433.94</v>
      </c>
      <c r="K233" s="12">
        <f>(B233-MAX($B$2:B233))/MAX($B$2:B233)</f>
        <v>-1.4498156929210495E-2</v>
      </c>
      <c r="L233" s="12">
        <f t="shared" si="83"/>
        <v>2.7105166975957218E-2</v>
      </c>
      <c r="M233" s="15">
        <f t="shared" si="77"/>
        <v>59.65326423997405</v>
      </c>
      <c r="N233" s="11">
        <f t="shared" si="70"/>
        <v>13765.641841609404</v>
      </c>
      <c r="O233" s="11">
        <f t="shared" si="71"/>
        <v>13645.651978477063</v>
      </c>
      <c r="P233" s="11">
        <f t="shared" si="67"/>
        <v>119.98986313234127</v>
      </c>
      <c r="Q233" s="11">
        <f t="shared" si="72"/>
        <v>125.75735578266996</v>
      </c>
      <c r="R233" s="11">
        <f t="shared" si="68"/>
        <v>-5.7674926503286912</v>
      </c>
      <c r="S233" s="9">
        <f t="shared" si="69"/>
        <v>60</v>
      </c>
      <c r="T233" s="14">
        <f t="shared" si="76"/>
        <v>1.2379326959357506E-3</v>
      </c>
      <c r="U233" s="14">
        <f t="shared" si="73"/>
        <v>0</v>
      </c>
      <c r="V233" s="14">
        <f t="shared" si="85"/>
        <v>3.3962123028822922E-3</v>
      </c>
      <c r="W233" s="14">
        <f t="shared" si="85"/>
        <v>2.297042452163397E-3</v>
      </c>
      <c r="X233" s="16">
        <f t="shared" si="79"/>
        <v>1.4785152532482264</v>
      </c>
    </row>
    <row r="234" spans="1:24" x14ac:dyDescent="0.25">
      <c r="A234" s="10">
        <v>45513</v>
      </c>
      <c r="B234" s="11">
        <v>13792.96</v>
      </c>
      <c r="C234" s="12">
        <f t="shared" si="74"/>
        <v>-3.7251505642088567E-4</v>
      </c>
      <c r="D234" s="11">
        <f t="shared" si="84"/>
        <v>13707.351000000001</v>
      </c>
      <c r="E234" s="11">
        <f t="shared" si="65"/>
        <v>13438.494199999999</v>
      </c>
      <c r="F234" s="11">
        <f t="shared" si="86"/>
        <v>13074.636624999997</v>
      </c>
      <c r="G234" s="12">
        <f t="shared" si="75"/>
        <v>-3.7258445739032166E-4</v>
      </c>
      <c r="H234" s="19">
        <f t="shared" si="80"/>
        <v>0.13637696629775939</v>
      </c>
      <c r="I234" s="11">
        <f t="shared" si="81"/>
        <v>14001.09</v>
      </c>
      <c r="J234" s="11">
        <f t="shared" si="82"/>
        <v>13433.94</v>
      </c>
      <c r="K234" s="12">
        <f>(B234-MAX($B$2:B234))/MAX($B$2:B234)</f>
        <v>-1.4865271203884914E-2</v>
      </c>
      <c r="L234" s="12">
        <f t="shared" si="83"/>
        <v>2.0424076840160676E-2</v>
      </c>
      <c r="M234" s="15">
        <f t="shared" si="77"/>
        <v>58.340727449380104</v>
      </c>
      <c r="N234" s="11">
        <f t="shared" si="70"/>
        <v>13769.844635207957</v>
      </c>
      <c r="O234" s="11">
        <f t="shared" si="71"/>
        <v>13656.563683775057</v>
      </c>
      <c r="P234" s="11">
        <f t="shared" si="67"/>
        <v>113.28095143290011</v>
      </c>
      <c r="Q234" s="11">
        <f t="shared" si="72"/>
        <v>123.262074912716</v>
      </c>
      <c r="R234" s="11">
        <f t="shared" si="68"/>
        <v>-9.9811234798158921</v>
      </c>
      <c r="S234" s="9">
        <f t="shared" si="69"/>
        <v>60</v>
      </c>
      <c r="T234" s="14">
        <f t="shared" si="76"/>
        <v>0</v>
      </c>
      <c r="U234" s="14">
        <f t="shared" si="73"/>
        <v>3.7251505642088567E-4</v>
      </c>
      <c r="V234" s="14">
        <f t="shared" si="85"/>
        <v>3.2541007596633537E-3</v>
      </c>
      <c r="W234" s="14">
        <f t="shared" si="85"/>
        <v>2.3236506704791748E-3</v>
      </c>
      <c r="X234" s="16">
        <f t="shared" si="79"/>
        <v>1.4004259766775979</v>
      </c>
    </row>
    <row r="235" spans="1:24" x14ac:dyDescent="0.25">
      <c r="A235" s="10">
        <v>45516</v>
      </c>
      <c r="B235" s="11">
        <v>13782.5</v>
      </c>
      <c r="C235" s="12">
        <f t="shared" si="74"/>
        <v>-7.5835788692191208E-4</v>
      </c>
      <c r="D235" s="11">
        <f t="shared" si="84"/>
        <v>13720.6315</v>
      </c>
      <c r="E235" s="11">
        <f t="shared" si="65"/>
        <v>13447.191799999999</v>
      </c>
      <c r="F235" s="11">
        <f t="shared" si="86"/>
        <v>13084.455624999997</v>
      </c>
      <c r="G235" s="12">
        <f t="shared" si="75"/>
        <v>-7.5864558572587423E-4</v>
      </c>
      <c r="H235" s="19">
        <f t="shared" si="80"/>
        <v>0.13532991304740041</v>
      </c>
      <c r="I235" s="11">
        <f t="shared" si="81"/>
        <v>14001.09</v>
      </c>
      <c r="J235" s="11">
        <f t="shared" si="82"/>
        <v>13433.94</v>
      </c>
      <c r="K235" s="12">
        <f>(B235-MAX($B$2:B235))/MAX($B$2:B235)</f>
        <v>-1.5612355895148174E-2</v>
      </c>
      <c r="L235" s="12">
        <f t="shared" si="83"/>
        <v>2.5946222776043415E-2</v>
      </c>
      <c r="M235" s="15">
        <f t="shared" si="77"/>
        <v>58.524414270957706</v>
      </c>
      <c r="N235" s="11">
        <f t="shared" si="70"/>
        <v>13771.791614406733</v>
      </c>
      <c r="O235" s="11">
        <f t="shared" si="71"/>
        <v>13665.89229979172</v>
      </c>
      <c r="P235" s="11">
        <f t="shared" si="67"/>
        <v>105.89931461501328</v>
      </c>
      <c r="Q235" s="11">
        <f t="shared" si="72"/>
        <v>119.78952285317547</v>
      </c>
      <c r="R235" s="11">
        <f t="shared" si="68"/>
        <v>-13.890208238162188</v>
      </c>
      <c r="S235" s="9">
        <f t="shared" si="69"/>
        <v>60</v>
      </c>
      <c r="T235" s="14">
        <f t="shared" si="76"/>
        <v>0</v>
      </c>
      <c r="U235" s="14">
        <f t="shared" si="73"/>
        <v>7.5835788692191208E-4</v>
      </c>
      <c r="V235" s="14">
        <f t="shared" si="85"/>
        <v>3.2541007596633537E-3</v>
      </c>
      <c r="W235" s="14">
        <f t="shared" si="85"/>
        <v>2.3061441401786881E-3</v>
      </c>
      <c r="X235" s="16">
        <f t="shared" si="79"/>
        <v>1.4110569686295562</v>
      </c>
    </row>
    <row r="236" spans="1:24" x14ac:dyDescent="0.25">
      <c r="A236" s="10">
        <v>45517</v>
      </c>
      <c r="B236" s="11">
        <v>13820.07</v>
      </c>
      <c r="C236" s="12">
        <f t="shared" si="74"/>
        <v>2.7259205514238438E-3</v>
      </c>
      <c r="D236" s="11">
        <f t="shared" si="84"/>
        <v>13739.938</v>
      </c>
      <c r="E236" s="11">
        <f t="shared" si="65"/>
        <v>13457.320399999999</v>
      </c>
      <c r="F236" s="11">
        <f t="shared" si="86"/>
        <v>13094.293499999996</v>
      </c>
      <c r="G236" s="12">
        <f t="shared" si="75"/>
        <v>2.7222119680046144E-3</v>
      </c>
      <c r="H236" s="19">
        <f t="shared" si="80"/>
        <v>0.1327723471326975</v>
      </c>
      <c r="I236" s="11">
        <f t="shared" si="81"/>
        <v>14001.09</v>
      </c>
      <c r="J236" s="11">
        <f t="shared" si="82"/>
        <v>13456.34</v>
      </c>
      <c r="K236" s="12">
        <f>(B236-MAX($B$2:B236))/MAX($B$2:B236)</f>
        <v>-1.2928993385515015E-2</v>
      </c>
      <c r="L236" s="12">
        <f t="shared" si="83"/>
        <v>2.7030381218072552E-2</v>
      </c>
      <c r="M236" s="15">
        <f t="shared" si="77"/>
        <v>60.280610865587661</v>
      </c>
      <c r="N236" s="11">
        <f t="shared" si="70"/>
        <v>13779.219058344159</v>
      </c>
      <c r="O236" s="11">
        <f t="shared" si="71"/>
        <v>13677.312870177519</v>
      </c>
      <c r="P236" s="11">
        <f t="shared" si="67"/>
        <v>101.90618816664028</v>
      </c>
      <c r="Q236" s="11">
        <f t="shared" si="72"/>
        <v>116.21285591586843</v>
      </c>
      <c r="R236" s="11">
        <f t="shared" si="68"/>
        <v>-14.306667749228154</v>
      </c>
      <c r="S236" s="9">
        <f t="shared" si="69"/>
        <v>60</v>
      </c>
      <c r="T236" s="14">
        <f t="shared" si="76"/>
        <v>2.7259205514238438E-3</v>
      </c>
      <c r="U236" s="14">
        <f t="shared" si="73"/>
        <v>0</v>
      </c>
      <c r="V236" s="14">
        <f t="shared" si="85"/>
        <v>3.4488093704793427E-3</v>
      </c>
      <c r="W236" s="14">
        <f t="shared" si="85"/>
        <v>2.2724487935585425E-3</v>
      </c>
      <c r="X236" s="16">
        <f t="shared" si="79"/>
        <v>1.5176620834120877</v>
      </c>
    </row>
    <row r="237" spans="1:24" x14ac:dyDescent="0.25">
      <c r="A237" s="10">
        <v>45519</v>
      </c>
      <c r="B237" s="11">
        <v>13873.16</v>
      </c>
      <c r="C237" s="12">
        <f t="shared" si="74"/>
        <v>3.8415145509393955E-3</v>
      </c>
      <c r="D237" s="11">
        <f t="shared" si="84"/>
        <v>13760.779</v>
      </c>
      <c r="E237" s="11">
        <f t="shared" si="65"/>
        <v>13468.5756</v>
      </c>
      <c r="F237" s="11">
        <f t="shared" si="86"/>
        <v>13104.858124999995</v>
      </c>
      <c r="G237" s="12">
        <f t="shared" si="75"/>
        <v>3.8341547763494229E-3</v>
      </c>
      <c r="H237" s="19">
        <f t="shared" si="80"/>
        <v>0.13304907054324938</v>
      </c>
      <c r="I237" s="11">
        <f t="shared" si="81"/>
        <v>14001.09</v>
      </c>
      <c r="J237" s="11">
        <f t="shared" si="82"/>
        <v>13585.39</v>
      </c>
      <c r="K237" s="12">
        <f>(B237-MAX($B$2:B237))/MAX($B$2:B237)</f>
        <v>-9.1371457507951372E-3</v>
      </c>
      <c r="L237" s="12">
        <f t="shared" si="83"/>
        <v>2.1182314236102284E-2</v>
      </c>
      <c r="M237" s="15">
        <f t="shared" si="77"/>
        <v>60.78435022710098</v>
      </c>
      <c r="N237" s="11">
        <f t="shared" si="70"/>
        <v>13793.671510906595</v>
      </c>
      <c r="O237" s="11">
        <f t="shared" si="71"/>
        <v>13691.820064979183</v>
      </c>
      <c r="P237" s="11">
        <f t="shared" si="67"/>
        <v>101.85144592741199</v>
      </c>
      <c r="Q237" s="11">
        <f t="shared" si="72"/>
        <v>113.34057391817714</v>
      </c>
      <c r="R237" s="11">
        <f t="shared" si="68"/>
        <v>-11.489127990765155</v>
      </c>
      <c r="S237" s="9">
        <f t="shared" si="69"/>
        <v>60</v>
      </c>
      <c r="T237" s="14">
        <f t="shared" si="76"/>
        <v>3.8415145509393955E-3</v>
      </c>
      <c r="U237" s="14">
        <f t="shared" si="73"/>
        <v>0</v>
      </c>
      <c r="V237" s="14">
        <f t="shared" si="85"/>
        <v>3.5223010237171526E-3</v>
      </c>
      <c r="W237" s="14">
        <f t="shared" si="85"/>
        <v>2.2724487935585425E-3</v>
      </c>
      <c r="X237" s="16">
        <f t="shared" si="79"/>
        <v>1.5500023735194506</v>
      </c>
    </row>
    <row r="238" spans="1:24" x14ac:dyDescent="0.25">
      <c r="A238" s="10">
        <v>45520</v>
      </c>
      <c r="B238" s="11">
        <v>13895.42</v>
      </c>
      <c r="C238" s="12">
        <f t="shared" si="74"/>
        <v>1.6045371061821356E-3</v>
      </c>
      <c r="D238" s="11">
        <f t="shared" si="84"/>
        <v>13776.280500000003</v>
      </c>
      <c r="E238" s="11">
        <f t="shared" si="65"/>
        <v>13480.202200000002</v>
      </c>
      <c r="F238" s="11">
        <f t="shared" si="86"/>
        <v>13115.566374999999</v>
      </c>
      <c r="G238" s="12">
        <f t="shared" si="75"/>
        <v>1.6032512118459318E-3</v>
      </c>
      <c r="H238" s="19">
        <f t="shared" si="80"/>
        <v>0.12964324865498919</v>
      </c>
      <c r="I238" s="11">
        <f t="shared" si="81"/>
        <v>14001.09</v>
      </c>
      <c r="J238" s="11">
        <f t="shared" si="82"/>
        <v>13595.96</v>
      </c>
      <c r="K238" s="12">
        <f>(B238-MAX($B$2:B238))/MAX($B$2:B238)</f>
        <v>-7.5472695340148572E-3</v>
      </c>
      <c r="L238" s="12">
        <f t="shared" si="83"/>
        <v>2.2025660563873561E-2</v>
      </c>
      <c r="M238" s="15">
        <f t="shared" si="77"/>
        <v>60.86983989830847</v>
      </c>
      <c r="N238" s="11">
        <f t="shared" si="70"/>
        <v>13809.325124613271</v>
      </c>
      <c r="O238" s="11">
        <f t="shared" si="71"/>
        <v>13706.901541647392</v>
      </c>
      <c r="P238" s="11">
        <f t="shared" si="67"/>
        <v>102.42358296587918</v>
      </c>
      <c r="Q238" s="11">
        <f t="shared" si="72"/>
        <v>111.15717572771756</v>
      </c>
      <c r="R238" s="11">
        <f t="shared" si="68"/>
        <v>-8.7335927618383806</v>
      </c>
      <c r="S238" s="9">
        <f t="shared" si="69"/>
        <v>60</v>
      </c>
      <c r="T238" s="14">
        <f t="shared" si="76"/>
        <v>1.6045371061821356E-3</v>
      </c>
      <c r="U238" s="14">
        <f t="shared" si="73"/>
        <v>0</v>
      </c>
      <c r="V238" s="14">
        <f t="shared" si="85"/>
        <v>3.5349611113661972E-3</v>
      </c>
      <c r="W238" s="14">
        <f t="shared" si="85"/>
        <v>2.2724487935585425E-3</v>
      </c>
      <c r="X238" s="16">
        <f t="shared" si="79"/>
        <v>1.5555734947191584</v>
      </c>
    </row>
    <row r="239" spans="1:24" x14ac:dyDescent="0.25">
      <c r="A239" s="10">
        <v>45523</v>
      </c>
      <c r="B239" s="11">
        <v>13914.33</v>
      </c>
      <c r="C239" s="12">
        <f t="shared" si="74"/>
        <v>1.3608800597606496E-3</v>
      </c>
      <c r="D239" s="11">
        <f t="shared" si="84"/>
        <v>13792.199000000002</v>
      </c>
      <c r="E239" s="11">
        <f t="shared" si="65"/>
        <v>13493.714400000003</v>
      </c>
      <c r="F239" s="11">
        <f t="shared" si="86"/>
        <v>13126.610999999995</v>
      </c>
      <c r="G239" s="12">
        <f t="shared" si="75"/>
        <v>1.3599549017497296E-3</v>
      </c>
      <c r="H239" s="19">
        <f t="shared" si="80"/>
        <v>0.12963884532360676</v>
      </c>
      <c r="I239" s="11">
        <f t="shared" si="81"/>
        <v>14001.09</v>
      </c>
      <c r="J239" s="11">
        <f t="shared" si="82"/>
        <v>13602.42</v>
      </c>
      <c r="K239" s="12">
        <f>(B239-MAX($B$2:B239))/MAX($B$2:B239)</f>
        <v>-6.1966604028686496E-3</v>
      </c>
      <c r="L239" s="12">
        <f t="shared" si="83"/>
        <v>2.1384407704317931E-2</v>
      </c>
      <c r="M239" s="15">
        <f t="shared" si="77"/>
        <v>57.255271701525267</v>
      </c>
      <c r="N239" s="11">
        <f t="shared" si="70"/>
        <v>13825.479720826614</v>
      </c>
      <c r="O239" s="11">
        <f t="shared" si="71"/>
        <v>13722.266612636475</v>
      </c>
      <c r="P239" s="11">
        <f t="shared" si="67"/>
        <v>103.21310819013888</v>
      </c>
      <c r="Q239" s="11">
        <f t="shared" si="72"/>
        <v>109.56836222020183</v>
      </c>
      <c r="R239" s="11">
        <f t="shared" si="68"/>
        <v>-6.3552540300629516</v>
      </c>
      <c r="S239" s="9">
        <f t="shared" si="69"/>
        <v>60</v>
      </c>
      <c r="T239" s="14">
        <f t="shared" si="76"/>
        <v>1.3608800597606496E-3</v>
      </c>
      <c r="U239" s="14">
        <f t="shared" si="73"/>
        <v>0</v>
      </c>
      <c r="V239" s="14">
        <f t="shared" si="85"/>
        <v>3.0438764797959977E-3</v>
      </c>
      <c r="W239" s="14">
        <f t="shared" si="85"/>
        <v>2.2724487935585425E-3</v>
      </c>
      <c r="X239" s="16">
        <f t="shared" si="79"/>
        <v>1.3394697774595121</v>
      </c>
    </row>
    <row r="240" spans="1:24" x14ac:dyDescent="0.25">
      <c r="A240" s="10">
        <v>45526</v>
      </c>
      <c r="B240" s="11">
        <v>13928.12</v>
      </c>
      <c r="C240" s="12">
        <f t="shared" si="74"/>
        <v>9.9106460749465164E-4</v>
      </c>
      <c r="D240" s="11">
        <f t="shared" si="84"/>
        <v>13807.454500000002</v>
      </c>
      <c r="E240" s="11">
        <f t="shared" si="65"/>
        <v>13511.211200000002</v>
      </c>
      <c r="F240" s="11">
        <f t="shared" si="86"/>
        <v>13138.128562499996</v>
      </c>
      <c r="G240" s="12">
        <f t="shared" si="75"/>
        <v>9.9057382720308903E-4</v>
      </c>
      <c r="H240" s="19">
        <f t="shared" si="80"/>
        <v>0.12960245818715949</v>
      </c>
      <c r="I240" s="11">
        <f t="shared" si="81"/>
        <v>14001.09</v>
      </c>
      <c r="J240" s="11">
        <f t="shared" si="82"/>
        <v>13602.42</v>
      </c>
      <c r="K240" s="12">
        <f>(B240-MAX($B$2:B240))/MAX($B$2:B240)</f>
        <v>-5.2117370861839577E-3</v>
      </c>
      <c r="L240" s="12">
        <f t="shared" si="83"/>
        <v>2.3423619367287429E-2</v>
      </c>
      <c r="M240" s="15">
        <f t="shared" si="77"/>
        <v>51.681084585596103</v>
      </c>
      <c r="N240" s="11">
        <f t="shared" si="70"/>
        <v>13841.270533007135</v>
      </c>
      <c r="O240" s="11">
        <f t="shared" si="71"/>
        <v>13737.51501170044</v>
      </c>
      <c r="P240" s="11">
        <f t="shared" si="67"/>
        <v>103.7555213066953</v>
      </c>
      <c r="Q240" s="11">
        <f t="shared" si="72"/>
        <v>108.40579403750054</v>
      </c>
      <c r="R240" s="11">
        <f t="shared" si="68"/>
        <v>-4.6502727308052414</v>
      </c>
      <c r="S240" s="9">
        <f t="shared" si="69"/>
        <v>60</v>
      </c>
      <c r="T240" s="14">
        <f t="shared" si="76"/>
        <v>9.9106460749465164E-4</v>
      </c>
      <c r="U240" s="14">
        <f t="shared" si="73"/>
        <v>0</v>
      </c>
      <c r="V240" s="14">
        <f t="shared" ref="V240:W255" si="87">AVERAGE(T227:T240)</f>
        <v>2.4305723195377255E-3</v>
      </c>
      <c r="W240" s="14">
        <f t="shared" si="87"/>
        <v>2.2724487935585425E-3</v>
      </c>
      <c r="X240" s="16">
        <f t="shared" si="79"/>
        <v>1.0695828774788669</v>
      </c>
    </row>
    <row r="241" spans="1:24" x14ac:dyDescent="0.25">
      <c r="A241" s="10">
        <v>45527</v>
      </c>
      <c r="B241" s="11">
        <v>13954.07</v>
      </c>
      <c r="C241" s="12">
        <f t="shared" si="74"/>
        <v>1.8631373078348279E-3</v>
      </c>
      <c r="D241" s="11">
        <f t="shared" si="84"/>
        <v>13824.691000000003</v>
      </c>
      <c r="E241" s="11">
        <f t="shared" si="65"/>
        <v>13525.4146</v>
      </c>
      <c r="F241" s="11">
        <f t="shared" si="86"/>
        <v>13149.691749999998</v>
      </c>
      <c r="G241" s="12">
        <f t="shared" si="75"/>
        <v>1.8614038203370886E-3</v>
      </c>
      <c r="H241" s="19">
        <f t="shared" si="80"/>
        <v>0.12938223343175212</v>
      </c>
      <c r="I241" s="11">
        <f t="shared" si="81"/>
        <v>14001.09</v>
      </c>
      <c r="J241" s="11">
        <f t="shared" si="82"/>
        <v>13602.42</v>
      </c>
      <c r="K241" s="12">
        <f>(B241-MAX($B$2:B241))/MAX($B$2:B241)</f>
        <v>-3.3583099601531335E-3</v>
      </c>
      <c r="L241" s="12">
        <f t="shared" si="83"/>
        <v>2.5814310456872436E-2</v>
      </c>
      <c r="M241" s="15">
        <f t="shared" si="77"/>
        <v>48.691070680958198</v>
      </c>
      <c r="N241" s="11">
        <f t="shared" si="70"/>
        <v>13858.624297159884</v>
      </c>
      <c r="O241" s="11">
        <f t="shared" si="71"/>
        <v>13753.556121944852</v>
      </c>
      <c r="P241" s="11">
        <f t="shared" si="67"/>
        <v>105.06817521503217</v>
      </c>
      <c r="Q241" s="11">
        <f t="shared" si="72"/>
        <v>107.73827027300688</v>
      </c>
      <c r="R241" s="11">
        <f t="shared" si="68"/>
        <v>-2.6700950579747058</v>
      </c>
      <c r="S241" s="9">
        <f t="shared" si="69"/>
        <v>60</v>
      </c>
      <c r="T241" s="14">
        <f t="shared" si="76"/>
        <v>1.8631373078348279E-3</v>
      </c>
      <c r="U241" s="14">
        <f t="shared" si="73"/>
        <v>0</v>
      </c>
      <c r="V241" s="14">
        <f t="shared" si="87"/>
        <v>2.1565050429721883E-3</v>
      </c>
      <c r="W241" s="14">
        <f t="shared" si="87"/>
        <v>2.2724487935585425E-3</v>
      </c>
      <c r="X241" s="16">
        <f t="shared" si="79"/>
        <v>0.94897849803480405</v>
      </c>
    </row>
    <row r="242" spans="1:24" x14ac:dyDescent="0.25">
      <c r="A242" s="10">
        <v>45530</v>
      </c>
      <c r="B242" s="11">
        <v>13930.79</v>
      </c>
      <c r="C242" s="12">
        <f t="shared" si="74"/>
        <v>-1.6683304584252934E-3</v>
      </c>
      <c r="D242" s="11">
        <f t="shared" si="84"/>
        <v>13841.084499999997</v>
      </c>
      <c r="E242" s="11">
        <f t="shared" si="65"/>
        <v>13540.089600000001</v>
      </c>
      <c r="F242" s="11">
        <f t="shared" si="86"/>
        <v>13161.467874999997</v>
      </c>
      <c r="G242" s="12">
        <f t="shared" si="75"/>
        <v>-1.6697236714599988E-3</v>
      </c>
      <c r="H242" s="19">
        <f t="shared" si="80"/>
        <v>0.12966332562702224</v>
      </c>
      <c r="I242" s="11">
        <f t="shared" si="81"/>
        <v>14001.09</v>
      </c>
      <c r="J242" s="11">
        <f t="shared" si="82"/>
        <v>13602.42</v>
      </c>
      <c r="K242" s="12">
        <f>(B242-MAX($B$2:B242))/MAX($B$2:B242)</f>
        <v>-5.0210376477830849E-3</v>
      </c>
      <c r="L242" s="12">
        <f t="shared" si="83"/>
        <v>2.1230568030038421E-2</v>
      </c>
      <c r="M242" s="15">
        <f t="shared" si="77"/>
        <v>47.756407749699179</v>
      </c>
      <c r="N242" s="11">
        <f t="shared" si="70"/>
        <v>13869.726712981439</v>
      </c>
      <c r="O242" s="11">
        <f t="shared" si="71"/>
        <v>13766.684557356344</v>
      </c>
      <c r="P242" s="11">
        <f t="shared" si="67"/>
        <v>103.04215562509489</v>
      </c>
      <c r="Q242" s="11">
        <f t="shared" si="72"/>
        <v>106.79904734342449</v>
      </c>
      <c r="R242" s="11">
        <f t="shared" si="68"/>
        <v>-3.756891718329598</v>
      </c>
      <c r="S242" s="9">
        <f t="shared" si="69"/>
        <v>60</v>
      </c>
      <c r="T242" s="14">
        <f t="shared" si="76"/>
        <v>0</v>
      </c>
      <c r="U242" s="14">
        <f t="shared" si="73"/>
        <v>1.6683304584252934E-3</v>
      </c>
      <c r="V242" s="14">
        <f t="shared" si="87"/>
        <v>2.1565050429721883E-3</v>
      </c>
      <c r="W242" s="14">
        <f t="shared" si="87"/>
        <v>2.3591299149058409E-3</v>
      </c>
      <c r="X242" s="16">
        <f t="shared" si="79"/>
        <v>0.91411033760650695</v>
      </c>
    </row>
    <row r="243" spans="1:24" x14ac:dyDescent="0.25">
      <c r="A243" s="10">
        <v>45531</v>
      </c>
      <c r="B243" s="11">
        <v>13878.4</v>
      </c>
      <c r="C243" s="12">
        <f t="shared" si="74"/>
        <v>-3.7607343158572171E-3</v>
      </c>
      <c r="D243" s="11">
        <f t="shared" si="84"/>
        <v>13852.945500000002</v>
      </c>
      <c r="E243" s="11">
        <f t="shared" si="65"/>
        <v>13554.476200000001</v>
      </c>
      <c r="F243" s="11">
        <f t="shared" si="86"/>
        <v>13172.627374999996</v>
      </c>
      <c r="G243" s="12">
        <f t="shared" si="75"/>
        <v>-3.7678236568211773E-3</v>
      </c>
      <c r="H243" s="19">
        <f t="shared" si="80"/>
        <v>0.13067249890696719</v>
      </c>
      <c r="I243" s="11">
        <f t="shared" si="81"/>
        <v>14001.09</v>
      </c>
      <c r="J243" s="11">
        <f t="shared" si="82"/>
        <v>13602.42</v>
      </c>
      <c r="K243" s="12">
        <f>(B243-MAX($B$2:B243))/MAX($B$2:B243)</f>
        <v>-8.762889175057121E-3</v>
      </c>
      <c r="L243" s="12">
        <f t="shared" si="83"/>
        <v>1.5939944292548303E-2</v>
      </c>
      <c r="M243" s="15">
        <f t="shared" si="77"/>
        <v>43.684317642367255</v>
      </c>
      <c r="N243" s="11">
        <f t="shared" si="70"/>
        <v>13871.061064830448</v>
      </c>
      <c r="O243" s="11">
        <f t="shared" si="71"/>
        <v>13774.959775329948</v>
      </c>
      <c r="P243" s="11">
        <f t="shared" si="67"/>
        <v>96.10128950050057</v>
      </c>
      <c r="Q243" s="11">
        <f t="shared" si="72"/>
        <v>104.65949577483971</v>
      </c>
      <c r="R243" s="11">
        <f t="shared" si="68"/>
        <v>-8.5582062743391418</v>
      </c>
      <c r="S243" s="9">
        <f t="shared" si="69"/>
        <v>60</v>
      </c>
      <c r="T243" s="14">
        <f t="shared" si="76"/>
        <v>0</v>
      </c>
      <c r="U243" s="14">
        <f t="shared" si="73"/>
        <v>3.7607343158572171E-3</v>
      </c>
      <c r="V243" s="14">
        <f t="shared" si="87"/>
        <v>2.038359949555289E-3</v>
      </c>
      <c r="W243" s="14">
        <f t="shared" si="87"/>
        <v>2.6277537946099278E-3</v>
      </c>
      <c r="X243" s="16">
        <f t="shared" si="79"/>
        <v>0.77570431207687385</v>
      </c>
    </row>
    <row r="244" spans="1:24" x14ac:dyDescent="0.25">
      <c r="A244" s="10">
        <v>45532</v>
      </c>
      <c r="B244" s="11">
        <v>13908.54</v>
      </c>
      <c r="C244" s="12">
        <f t="shared" si="74"/>
        <v>2.1717200830067007E-3</v>
      </c>
      <c r="D244" s="11">
        <f t="shared" si="84"/>
        <v>13865.34</v>
      </c>
      <c r="E244" s="11">
        <f t="shared" ref="E244:E307" si="88">AVERAGE(B195:B244)</f>
        <v>13568.9238</v>
      </c>
      <c r="F244" s="11">
        <f t="shared" si="86"/>
        <v>13183.670124999995</v>
      </c>
      <c r="G244" s="12">
        <f t="shared" si="75"/>
        <v>2.1693653076062997E-3</v>
      </c>
      <c r="H244" s="19">
        <f t="shared" si="80"/>
        <v>0.13074165978187216</v>
      </c>
      <c r="I244" s="11">
        <f t="shared" si="81"/>
        <v>14001.09</v>
      </c>
      <c r="J244" s="11">
        <f t="shared" si="82"/>
        <v>13602.42</v>
      </c>
      <c r="K244" s="12">
        <f>(B244-MAX($B$2:B244))/MAX($B$2:B244)</f>
        <v>-6.6101996344569798E-3</v>
      </c>
      <c r="L244" s="12">
        <f t="shared" si="83"/>
        <v>9.8292621301139249E-3</v>
      </c>
      <c r="M244" s="15">
        <f t="shared" si="77"/>
        <v>78.693796001260054</v>
      </c>
      <c r="N244" s="11">
        <f t="shared" si="70"/>
        <v>13876.827054856532</v>
      </c>
      <c r="O244" s="11">
        <f t="shared" si="71"/>
        <v>13784.854606786988</v>
      </c>
      <c r="P244" s="11">
        <f t="shared" si="67"/>
        <v>91.972448069544043</v>
      </c>
      <c r="Q244" s="11">
        <f t="shared" si="72"/>
        <v>102.12208623378058</v>
      </c>
      <c r="R244" s="11">
        <f t="shared" si="68"/>
        <v>-10.149638164236535</v>
      </c>
      <c r="S244" s="9">
        <f t="shared" si="69"/>
        <v>60</v>
      </c>
      <c r="T244" s="14">
        <f t="shared" si="76"/>
        <v>2.1717200830067007E-3</v>
      </c>
      <c r="U244" s="14">
        <f t="shared" si="73"/>
        <v>0</v>
      </c>
      <c r="V244" s="14">
        <f t="shared" si="87"/>
        <v>2.1934828126271961E-3</v>
      </c>
      <c r="W244" s="14">
        <f t="shared" si="87"/>
        <v>5.9388153384819036E-4</v>
      </c>
      <c r="X244" s="16">
        <f t="shared" si="79"/>
        <v>3.6934686256601141</v>
      </c>
    </row>
    <row r="245" spans="1:24" x14ac:dyDescent="0.25">
      <c r="A245" s="10">
        <v>45533</v>
      </c>
      <c r="B245" s="11">
        <v>13935.08</v>
      </c>
      <c r="C245" s="12">
        <f t="shared" si="74"/>
        <v>1.9081801540634657E-3</v>
      </c>
      <c r="D245" s="11">
        <f t="shared" si="84"/>
        <v>13873.436000000002</v>
      </c>
      <c r="E245" s="11">
        <f t="shared" si="88"/>
        <v>13584.3676</v>
      </c>
      <c r="F245" s="11">
        <f t="shared" si="86"/>
        <v>13194.323874999996</v>
      </c>
      <c r="G245" s="12">
        <f t="shared" si="75"/>
        <v>1.9063618909948509E-3</v>
      </c>
      <c r="H245" s="19">
        <f t="shared" si="80"/>
        <v>0.12795758829607687</v>
      </c>
      <c r="I245" s="11">
        <f t="shared" si="81"/>
        <v>14001.09</v>
      </c>
      <c r="J245" s="11">
        <f t="shared" si="82"/>
        <v>13602.42</v>
      </c>
      <c r="K245" s="12">
        <f>(B245-MAX($B$2:B245))/MAX($B$2:B245)</f>
        <v>-4.7146329321502978E-3</v>
      </c>
      <c r="L245" s="12">
        <f t="shared" si="83"/>
        <v>2.1582056041429265E-3</v>
      </c>
      <c r="M245" s="15">
        <f t="shared" si="77"/>
        <v>68.045395946499298</v>
      </c>
      <c r="N245" s="11">
        <f t="shared" si="70"/>
        <v>13885.789046417067</v>
      </c>
      <c r="O245" s="11">
        <f t="shared" si="71"/>
        <v>13795.982413691656</v>
      </c>
      <c r="P245" s="11">
        <f t="shared" si="67"/>
        <v>89.806632725410964</v>
      </c>
      <c r="Q245" s="11">
        <f t="shared" si="72"/>
        <v>99.658995532106672</v>
      </c>
      <c r="R245" s="11">
        <f t="shared" si="68"/>
        <v>-9.8523628066957087</v>
      </c>
      <c r="S245" s="9">
        <f t="shared" si="69"/>
        <v>60</v>
      </c>
      <c r="T245" s="14">
        <f t="shared" si="76"/>
        <v>1.9081801540634657E-3</v>
      </c>
      <c r="U245" s="14">
        <f t="shared" si="73"/>
        <v>0</v>
      </c>
      <c r="V245" s="14">
        <f t="shared" si="87"/>
        <v>1.2646347940458158E-3</v>
      </c>
      <c r="W245" s="14">
        <f t="shared" si="87"/>
        <v>5.9388153384819036E-4</v>
      </c>
      <c r="X245" s="16">
        <f t="shared" si="79"/>
        <v>2.1294394958727327</v>
      </c>
    </row>
    <row r="246" spans="1:24" x14ac:dyDescent="0.25">
      <c r="A246" s="10">
        <v>45534</v>
      </c>
      <c r="B246" s="11">
        <v>13933.46</v>
      </c>
      <c r="C246" s="12">
        <f t="shared" si="74"/>
        <v>-1.1625336919496299E-4</v>
      </c>
      <c r="D246" s="11">
        <f t="shared" si="84"/>
        <v>13874.855500000001</v>
      </c>
      <c r="E246" s="11">
        <f t="shared" si="88"/>
        <v>13599.261</v>
      </c>
      <c r="F246" s="11">
        <f t="shared" si="86"/>
        <v>13204.657812499998</v>
      </c>
      <c r="G246" s="12">
        <f t="shared" si="75"/>
        <v>-1.1626012714164869E-4</v>
      </c>
      <c r="H246" s="19">
        <f t="shared" si="80"/>
        <v>0.12351574036336951</v>
      </c>
      <c r="I246" s="11">
        <f t="shared" si="81"/>
        <v>14001.09</v>
      </c>
      <c r="J246" s="11">
        <f t="shared" si="82"/>
        <v>13602.42</v>
      </c>
      <c r="K246" s="12">
        <f>(B246-MAX($B$2:B246))/MAX($B$2:B246)</f>
        <v>-4.8303382093823422E-3</v>
      </c>
      <c r="L246" s="12">
        <f t="shared" si="83"/>
        <v>-3.6376429904043661E-3</v>
      </c>
      <c r="M246" s="15">
        <f t="shared" si="77"/>
        <v>72.61732630892277</v>
      </c>
      <c r="N246" s="11">
        <f t="shared" si="70"/>
        <v>13893.123039275979</v>
      </c>
      <c r="O246" s="11">
        <f t="shared" si="71"/>
        <v>13806.165938603386</v>
      </c>
      <c r="P246" s="11">
        <f t="shared" si="67"/>
        <v>86.957100672592787</v>
      </c>
      <c r="Q246" s="11">
        <f t="shared" si="72"/>
        <v>97.118616560203904</v>
      </c>
      <c r="R246" s="11">
        <f t="shared" si="68"/>
        <v>-10.161515887611117</v>
      </c>
      <c r="S246" s="9">
        <f t="shared" si="69"/>
        <v>60</v>
      </c>
      <c r="T246" s="14">
        <f t="shared" si="76"/>
        <v>0</v>
      </c>
      <c r="U246" s="14">
        <f t="shared" si="73"/>
        <v>1.1625336919496299E-4</v>
      </c>
      <c r="V246" s="14">
        <f t="shared" si="87"/>
        <v>1.2646347940458158E-3</v>
      </c>
      <c r="W246" s="14">
        <f t="shared" si="87"/>
        <v>4.7687079191573368E-4</v>
      </c>
      <c r="X246" s="16">
        <f t="shared" si="79"/>
        <v>2.651944332688938</v>
      </c>
    </row>
    <row r="247" spans="1:24" x14ac:dyDescent="0.25">
      <c r="A247" s="10">
        <v>45537</v>
      </c>
      <c r="B247" s="11">
        <v>13968.21</v>
      </c>
      <c r="C247" s="12">
        <f t="shared" si="74"/>
        <v>2.4939964660608549E-3</v>
      </c>
      <c r="D247" s="11">
        <f t="shared" si="84"/>
        <v>13874.049500000003</v>
      </c>
      <c r="E247" s="11">
        <f t="shared" si="88"/>
        <v>13615.3806</v>
      </c>
      <c r="F247" s="11">
        <f t="shared" si="86"/>
        <v>13214.653249999998</v>
      </c>
      <c r="G247" s="12">
        <f t="shared" si="75"/>
        <v>2.4908916181228739E-3</v>
      </c>
      <c r="H247" s="19">
        <f t="shared" si="80"/>
        <v>0.12211395540917226</v>
      </c>
      <c r="I247" s="11">
        <f t="shared" si="81"/>
        <v>14001.09</v>
      </c>
      <c r="J247" s="11">
        <f t="shared" si="82"/>
        <v>13602.42</v>
      </c>
      <c r="K247" s="12">
        <f>(B247-MAX($B$2:B247))/MAX($B$2:B247)</f>
        <v>-2.3483885897455856E-3</v>
      </c>
      <c r="L247" s="12">
        <f t="shared" si="83"/>
        <v>-6.9824159015940968E-4</v>
      </c>
      <c r="M247" s="15">
        <f t="shared" si="77"/>
        <v>73.958910499077632</v>
      </c>
      <c r="N247" s="11">
        <f t="shared" si="70"/>
        <v>13904.674879387367</v>
      </c>
      <c r="O247" s="11">
        <f t="shared" si="71"/>
        <v>13818.169202410543</v>
      </c>
      <c r="P247" s="11">
        <f t="shared" si="67"/>
        <v>86.505676976823452</v>
      </c>
      <c r="Q247" s="11">
        <f t="shared" si="72"/>
        <v>94.996028643527822</v>
      </c>
      <c r="R247" s="11">
        <f t="shared" si="68"/>
        <v>-8.4903516667043704</v>
      </c>
      <c r="S247" s="9">
        <f t="shared" si="69"/>
        <v>60</v>
      </c>
      <c r="T247" s="14">
        <f t="shared" si="76"/>
        <v>2.4939964660608549E-3</v>
      </c>
      <c r="U247" s="14">
        <f t="shared" si="73"/>
        <v>0</v>
      </c>
      <c r="V247" s="14">
        <f t="shared" si="87"/>
        <v>1.3543536347690374E-3</v>
      </c>
      <c r="W247" s="14">
        <f t="shared" si="87"/>
        <v>4.7687079191573368E-4</v>
      </c>
      <c r="X247" s="16">
        <f t="shared" si="79"/>
        <v>2.8400851084382643</v>
      </c>
    </row>
    <row r="248" spans="1:24" x14ac:dyDescent="0.25">
      <c r="A248" s="10">
        <v>45538</v>
      </c>
      <c r="B248" s="11">
        <v>13895.68</v>
      </c>
      <c r="C248" s="12">
        <f t="shared" si="74"/>
        <v>-5.1925049809531387E-3</v>
      </c>
      <c r="D248" s="11">
        <f t="shared" si="84"/>
        <v>13869.935000000001</v>
      </c>
      <c r="E248" s="11">
        <f t="shared" si="88"/>
        <v>13629.514999999999</v>
      </c>
      <c r="F248" s="11">
        <f t="shared" si="86"/>
        <v>13224.113624999998</v>
      </c>
      <c r="G248" s="12">
        <f t="shared" si="75"/>
        <v>-5.2060328843987818E-3</v>
      </c>
      <c r="H248" s="19">
        <f t="shared" si="80"/>
        <v>0.12347592581454414</v>
      </c>
      <c r="I248" s="11">
        <f t="shared" si="81"/>
        <v>14001.09</v>
      </c>
      <c r="J248" s="11">
        <f t="shared" si="82"/>
        <v>13602.42</v>
      </c>
      <c r="K248" s="12">
        <f>(B248-MAX($B$2:B248))/MAX($B$2:B248)</f>
        <v>-7.5286995512492136E-3</v>
      </c>
      <c r="L248" s="12">
        <f t="shared" si="83"/>
        <v>-7.5286995512492405E-3</v>
      </c>
      <c r="M248" s="15">
        <f t="shared" si="77"/>
        <v>62.254551578238072</v>
      </c>
      <c r="N248" s="11">
        <f t="shared" si="70"/>
        <v>13903.291051789311</v>
      </c>
      <c r="O248" s="11">
        <f t="shared" si="71"/>
        <v>13823.910742972725</v>
      </c>
      <c r="P248" s="11">
        <f t="shared" si="67"/>
        <v>79.380308816585966</v>
      </c>
      <c r="Q248" s="11">
        <f t="shared" si="72"/>
        <v>91.872884678139457</v>
      </c>
      <c r="R248" s="11">
        <f t="shared" si="68"/>
        <v>-12.49257586155349</v>
      </c>
      <c r="S248" s="9">
        <f t="shared" si="69"/>
        <v>60</v>
      </c>
      <c r="T248" s="14">
        <f t="shared" si="76"/>
        <v>0</v>
      </c>
      <c r="U248" s="14">
        <f t="shared" si="73"/>
        <v>5.1925049809531387E-3</v>
      </c>
      <c r="V248" s="14">
        <f t="shared" si="87"/>
        <v>1.3543536347690374E-3</v>
      </c>
      <c r="W248" s="14">
        <f t="shared" si="87"/>
        <v>8.2115578652518033E-4</v>
      </c>
      <c r="X248" s="16">
        <f t="shared" si="79"/>
        <v>1.6493260560217788</v>
      </c>
    </row>
    <row r="249" spans="1:24" x14ac:dyDescent="0.25">
      <c r="A249" s="10">
        <v>45539</v>
      </c>
      <c r="B249" s="11">
        <v>13847.78</v>
      </c>
      <c r="C249" s="12">
        <f t="shared" si="74"/>
        <v>-3.4471144988945657E-3</v>
      </c>
      <c r="D249" s="11">
        <f t="shared" si="84"/>
        <v>13862.2695</v>
      </c>
      <c r="E249" s="11">
        <f t="shared" si="88"/>
        <v>13643.708000000001</v>
      </c>
      <c r="F249" s="11">
        <f t="shared" si="86"/>
        <v>13232.928562499996</v>
      </c>
      <c r="G249" s="12">
        <f t="shared" si="75"/>
        <v>-3.4530694870345108E-3</v>
      </c>
      <c r="H249" s="19">
        <f t="shared" si="80"/>
        <v>0.12373743364020308</v>
      </c>
      <c r="I249" s="11">
        <f t="shared" si="81"/>
        <v>13968.21</v>
      </c>
      <c r="J249" s="11">
        <f t="shared" si="82"/>
        <v>13602.42</v>
      </c>
      <c r="K249" s="12">
        <f>(B249-MAX($B$2:B249))/MAX($B$2:B249)</f>
        <v>-1.0949861760762876E-2</v>
      </c>
      <c r="L249" s="12">
        <f t="shared" si="83"/>
        <v>1.8037966773559511E-2</v>
      </c>
      <c r="M249" s="15">
        <f t="shared" si="77"/>
        <v>57.204533470248087</v>
      </c>
      <c r="N249" s="11">
        <f t="shared" si="70"/>
        <v>13894.75088997557</v>
      </c>
      <c r="O249" s="11">
        <f t="shared" si="71"/>
        <v>13825.678836085855</v>
      </c>
      <c r="P249" s="11">
        <f t="shared" si="67"/>
        <v>69.07205388971488</v>
      </c>
      <c r="Q249" s="11">
        <f t="shared" si="72"/>
        <v>87.312718520454553</v>
      </c>
      <c r="R249" s="11">
        <f t="shared" si="68"/>
        <v>-18.240664630739673</v>
      </c>
      <c r="S249" s="9">
        <f t="shared" si="69"/>
        <v>60</v>
      </c>
      <c r="T249" s="14">
        <f t="shared" si="76"/>
        <v>0</v>
      </c>
      <c r="U249" s="14">
        <f t="shared" si="73"/>
        <v>3.4471144988945657E-3</v>
      </c>
      <c r="V249" s="14">
        <f t="shared" si="87"/>
        <v>1.3543536347690374E-3</v>
      </c>
      <c r="W249" s="14">
        <f t="shared" si="87"/>
        <v>1.0132098302375128E-3</v>
      </c>
      <c r="X249" s="16">
        <f t="shared" si="79"/>
        <v>1.336696106127943</v>
      </c>
    </row>
    <row r="250" spans="1:24" x14ac:dyDescent="0.25">
      <c r="A250" s="10">
        <v>45540</v>
      </c>
      <c r="B250" s="11">
        <v>13906.42</v>
      </c>
      <c r="C250" s="12">
        <f t="shared" si="74"/>
        <v>4.2346137792483862E-3</v>
      </c>
      <c r="D250" s="11">
        <f t="shared" si="84"/>
        <v>13877.469499999997</v>
      </c>
      <c r="E250" s="11">
        <f t="shared" si="88"/>
        <v>13659.018199999999</v>
      </c>
      <c r="F250" s="11">
        <f t="shared" si="86"/>
        <v>13241.842374999997</v>
      </c>
      <c r="G250" s="12">
        <f t="shared" si="75"/>
        <v>4.2256730338342853E-3</v>
      </c>
      <c r="H250" s="19">
        <f t="shared" si="80"/>
        <v>6.5086731173805978E-2</v>
      </c>
      <c r="I250" s="11">
        <f t="shared" si="81"/>
        <v>13968.21</v>
      </c>
      <c r="J250" s="11">
        <f t="shared" si="82"/>
        <v>13781.04</v>
      </c>
      <c r="K250" s="12">
        <f>(B250-MAX($B$2:B250))/MAX($B$2:B250)</f>
        <v>-6.7616164170075377E-3</v>
      </c>
      <c r="L250" s="12">
        <f t="shared" si="83"/>
        <v>7.3276417829146734E-3</v>
      </c>
      <c r="M250" s="15">
        <f t="shared" si="77"/>
        <v>59.067641529762959</v>
      </c>
      <c r="N250" s="11">
        <f t="shared" si="70"/>
        <v>13896.546137671636</v>
      </c>
      <c r="O250" s="11">
        <f t="shared" si="71"/>
        <v>13831.659663042457</v>
      </c>
      <c r="P250" s="11">
        <f t="shared" si="67"/>
        <v>64.886474629178338</v>
      </c>
      <c r="Q250" s="11">
        <f t="shared" si="72"/>
        <v>82.827469742199312</v>
      </c>
      <c r="R250" s="11">
        <f t="shared" si="68"/>
        <v>-17.940995113020975</v>
      </c>
      <c r="S250" s="9">
        <f t="shared" si="69"/>
        <v>60</v>
      </c>
      <c r="T250" s="14">
        <f t="shared" si="76"/>
        <v>4.2346137792483862E-3</v>
      </c>
      <c r="U250" s="14">
        <f t="shared" si="73"/>
        <v>0</v>
      </c>
      <c r="V250" s="14">
        <f t="shared" si="87"/>
        <v>1.4621174367565049E-3</v>
      </c>
      <c r="W250" s="14">
        <f t="shared" si="87"/>
        <v>1.0132098302375128E-3</v>
      </c>
      <c r="X250" s="16">
        <f t="shared" si="79"/>
        <v>1.4430549261585439</v>
      </c>
    </row>
    <row r="251" spans="1:24" x14ac:dyDescent="0.25">
      <c r="A251" s="10">
        <v>45541</v>
      </c>
      <c r="B251" s="11">
        <v>13911.35</v>
      </c>
      <c r="C251" s="12">
        <f t="shared" si="74"/>
        <v>3.5451252011653445E-4</v>
      </c>
      <c r="D251" s="11">
        <f t="shared" si="84"/>
        <v>13882.773999999996</v>
      </c>
      <c r="E251" s="11">
        <f t="shared" si="88"/>
        <v>13674.735799999999</v>
      </c>
      <c r="F251" s="11">
        <f t="shared" si="86"/>
        <v>13250.652874999996</v>
      </c>
      <c r="G251" s="12">
        <f t="shared" si="75"/>
        <v>3.5444969540073505E-4</v>
      </c>
      <c r="H251" s="19">
        <f t="shared" si="80"/>
        <v>4.0213557978086283E-2</v>
      </c>
      <c r="I251" s="11">
        <f t="shared" si="81"/>
        <v>13968.21</v>
      </c>
      <c r="J251" s="11">
        <f t="shared" si="82"/>
        <v>13781.04</v>
      </c>
      <c r="K251" s="12">
        <f>(B251-MAX($B$2:B251))/MAX($B$2:B251)</f>
        <v>-6.4095009745669647E-3</v>
      </c>
      <c r="L251" s="12">
        <f t="shared" si="83"/>
        <v>9.455744994572246E-3</v>
      </c>
      <c r="M251" s="15">
        <f t="shared" si="77"/>
        <v>54.488164443205548</v>
      </c>
      <c r="N251" s="11">
        <f t="shared" si="70"/>
        <v>13898.823654952923</v>
      </c>
      <c r="O251" s="11">
        <f t="shared" si="71"/>
        <v>13837.562650965239</v>
      </c>
      <c r="P251" s="11">
        <f t="shared" si="67"/>
        <v>61.26100398768358</v>
      </c>
      <c r="Q251" s="11">
        <f t="shared" si="72"/>
        <v>78.514176591296163</v>
      </c>
      <c r="R251" s="11">
        <f t="shared" si="68"/>
        <v>-17.253172603612583</v>
      </c>
      <c r="S251" s="9">
        <f t="shared" si="69"/>
        <v>60</v>
      </c>
      <c r="T251" s="14">
        <f t="shared" si="76"/>
        <v>3.5451252011653445E-4</v>
      </c>
      <c r="U251" s="14">
        <f t="shared" si="73"/>
        <v>0</v>
      </c>
      <c r="V251" s="14">
        <f t="shared" si="87"/>
        <v>1.2130458631263005E-3</v>
      </c>
      <c r="W251" s="14">
        <f t="shared" si="87"/>
        <v>1.0132098302375128E-3</v>
      </c>
      <c r="X251" s="16">
        <f t="shared" si="79"/>
        <v>1.1972306494913723</v>
      </c>
    </row>
    <row r="252" spans="1:24" x14ac:dyDescent="0.25">
      <c r="A252" s="10">
        <v>45544</v>
      </c>
      <c r="B252" s="11">
        <v>13981.68</v>
      </c>
      <c r="C252" s="12">
        <f t="shared" si="74"/>
        <v>5.0555841093782306E-3</v>
      </c>
      <c r="D252" s="11">
        <f t="shared" si="84"/>
        <v>13892.805999999997</v>
      </c>
      <c r="E252" s="11">
        <f t="shared" si="88"/>
        <v>13686.171</v>
      </c>
      <c r="F252" s="11">
        <f t="shared" si="86"/>
        <v>13260.207249999998</v>
      </c>
      <c r="G252" s="12">
        <f t="shared" si="75"/>
        <v>5.0428475531523586E-3</v>
      </c>
      <c r="H252" s="19">
        <f t="shared" si="80"/>
        <v>4.2589164763263666E-2</v>
      </c>
      <c r="I252" s="11">
        <f t="shared" si="81"/>
        <v>13981.68</v>
      </c>
      <c r="J252" s="11">
        <f t="shared" si="82"/>
        <v>13782.5</v>
      </c>
      <c r="K252" s="12">
        <f>(B252-MAX($B$2:B252))/MAX($B$2:B252)</f>
        <v>-1.386320636464722E-3</v>
      </c>
      <c r="L252" s="12">
        <f t="shared" si="83"/>
        <v>1.3304730361426653E-2</v>
      </c>
      <c r="M252" s="15">
        <f t="shared" si="77"/>
        <v>59.025129038093596</v>
      </c>
      <c r="N252" s="11">
        <f t="shared" si="70"/>
        <v>13911.570784960166</v>
      </c>
      <c r="O252" s="11">
        <f t="shared" si="71"/>
        <v>13848.238010153</v>
      </c>
      <c r="P252" s="11">
        <f t="shared" si="67"/>
        <v>63.332774807166061</v>
      </c>
      <c r="Q252" s="11">
        <f t="shared" si="72"/>
        <v>75.477896234470137</v>
      </c>
      <c r="R252" s="11">
        <f t="shared" si="68"/>
        <v>-12.145121427304076</v>
      </c>
      <c r="S252" s="9">
        <f t="shared" si="69"/>
        <v>60</v>
      </c>
      <c r="T252" s="14">
        <f t="shared" si="76"/>
        <v>5.0555841093782306E-3</v>
      </c>
      <c r="U252" s="14">
        <f t="shared" si="73"/>
        <v>0</v>
      </c>
      <c r="V252" s="14">
        <f t="shared" si="87"/>
        <v>1.45954922049745E-3</v>
      </c>
      <c r="W252" s="14">
        <f t="shared" si="87"/>
        <v>1.0132098302375128E-3</v>
      </c>
      <c r="X252" s="16">
        <f t="shared" si="79"/>
        <v>1.4405201932903751</v>
      </c>
    </row>
    <row r="253" spans="1:24" x14ac:dyDescent="0.25">
      <c r="A253" s="10">
        <v>45545</v>
      </c>
      <c r="B253" s="11">
        <v>13950.06</v>
      </c>
      <c r="C253" s="12">
        <f t="shared" si="74"/>
        <v>-2.2615308031653791E-3</v>
      </c>
      <c r="D253" s="11">
        <f t="shared" si="84"/>
        <v>13900.404</v>
      </c>
      <c r="E253" s="11">
        <f t="shared" si="88"/>
        <v>13698.050800000003</v>
      </c>
      <c r="F253" s="11">
        <f t="shared" si="86"/>
        <v>13268.967812499997</v>
      </c>
      <c r="G253" s="12">
        <f t="shared" si="75"/>
        <v>-2.2640919260530096E-3</v>
      </c>
      <c r="H253" s="19">
        <f t="shared" si="80"/>
        <v>4.3823708260699187E-2</v>
      </c>
      <c r="I253" s="11">
        <f t="shared" si="81"/>
        <v>13981.68</v>
      </c>
      <c r="J253" s="11">
        <f t="shared" si="82"/>
        <v>13782.5</v>
      </c>
      <c r="K253" s="12">
        <f>(B253-MAX($B$2:B253))/MAX($B$2:B253)</f>
        <v>-3.6447162328076353E-3</v>
      </c>
      <c r="L253" s="12">
        <f t="shared" si="83"/>
        <v>1.1389868454631857E-2</v>
      </c>
      <c r="M253" s="15">
        <f t="shared" si="77"/>
        <v>53.697063663720364</v>
      </c>
      <c r="N253" s="11">
        <f t="shared" si="70"/>
        <v>13917.492202658603</v>
      </c>
      <c r="O253" s="11">
        <f t="shared" si="71"/>
        <v>13855.780379771295</v>
      </c>
      <c r="P253" s="11">
        <f t="shared" si="67"/>
        <v>61.71182288730779</v>
      </c>
      <c r="Q253" s="11">
        <f t="shared" si="72"/>
        <v>72.72468156503767</v>
      </c>
      <c r="R253" s="11">
        <f t="shared" si="68"/>
        <v>-11.012858677729881</v>
      </c>
      <c r="S253" s="9">
        <f t="shared" si="69"/>
        <v>60</v>
      </c>
      <c r="T253" s="14">
        <f t="shared" si="76"/>
        <v>0</v>
      </c>
      <c r="U253" s="14">
        <f t="shared" si="73"/>
        <v>2.2615308031653791E-3</v>
      </c>
      <c r="V253" s="14">
        <f t="shared" si="87"/>
        <v>1.3623435019431179E-3</v>
      </c>
      <c r="W253" s="14">
        <f t="shared" si="87"/>
        <v>1.1747477447493254E-3</v>
      </c>
      <c r="X253" s="16">
        <f t="shared" si="79"/>
        <v>1.159690246720859</v>
      </c>
    </row>
    <row r="254" spans="1:24" x14ac:dyDescent="0.25">
      <c r="A254" s="10">
        <v>45546</v>
      </c>
      <c r="B254" s="11">
        <v>13926.19</v>
      </c>
      <c r="C254" s="12">
        <f t="shared" si="74"/>
        <v>-1.711103751525056E-3</v>
      </c>
      <c r="D254" s="11">
        <f t="shared" si="84"/>
        <v>13907.065500000001</v>
      </c>
      <c r="E254" s="11">
        <f t="shared" si="88"/>
        <v>13710.210799999999</v>
      </c>
      <c r="F254" s="11">
        <f t="shared" si="86"/>
        <v>13277.288124999995</v>
      </c>
      <c r="G254" s="12">
        <f t="shared" si="75"/>
        <v>-1.7125693616619135E-3</v>
      </c>
      <c r="H254" s="19">
        <f t="shared" si="80"/>
        <v>4.445054442393586E-2</v>
      </c>
      <c r="I254" s="11">
        <f t="shared" si="81"/>
        <v>13981.68</v>
      </c>
      <c r="J254" s="11">
        <f t="shared" si="82"/>
        <v>13782.5</v>
      </c>
      <c r="K254" s="12">
        <f>(B254-MAX($B$2:B254))/MAX($B$2:B254)</f>
        <v>-5.3495834967134444E-3</v>
      </c>
      <c r="L254" s="12">
        <f t="shared" si="83"/>
        <v>1.0425539633593273E-2</v>
      </c>
      <c r="M254" s="15">
        <f t="shared" si="77"/>
        <v>49.895379155257892</v>
      </c>
      <c r="N254" s="11">
        <f t="shared" si="70"/>
        <v>13918.830325326511</v>
      </c>
      <c r="O254" s="11">
        <f t="shared" si="71"/>
        <v>13860.995907195644</v>
      </c>
      <c r="P254" s="11">
        <f t="shared" si="67"/>
        <v>57.834418130867562</v>
      </c>
      <c r="Q254" s="11">
        <f t="shared" si="72"/>
        <v>69.746628878203651</v>
      </c>
      <c r="R254" s="11">
        <f t="shared" si="68"/>
        <v>-11.91221074733609</v>
      </c>
      <c r="S254" s="9">
        <f t="shared" si="69"/>
        <v>60</v>
      </c>
      <c r="T254" s="14">
        <f t="shared" si="76"/>
        <v>0</v>
      </c>
      <c r="U254" s="14">
        <f t="shared" si="73"/>
        <v>1.711103751525056E-3</v>
      </c>
      <c r="V254" s="14">
        <f t="shared" si="87"/>
        <v>1.2915531728363572E-3</v>
      </c>
      <c r="W254" s="14">
        <f t="shared" si="87"/>
        <v>1.2969694412868296E-3</v>
      </c>
      <c r="X254" s="16">
        <f t="shared" si="79"/>
        <v>0.99582390434342194</v>
      </c>
    </row>
    <row r="255" spans="1:24" x14ac:dyDescent="0.25">
      <c r="A255" s="10">
        <v>45547</v>
      </c>
      <c r="B255" s="11">
        <v>13884.63</v>
      </c>
      <c r="C255" s="12">
        <f t="shared" si="74"/>
        <v>-2.9843051114484265E-3</v>
      </c>
      <c r="D255" s="11">
        <f t="shared" si="84"/>
        <v>13912.172</v>
      </c>
      <c r="E255" s="11">
        <f t="shared" si="88"/>
        <v>13721.875999999998</v>
      </c>
      <c r="F255" s="11">
        <f t="shared" si="86"/>
        <v>13285.025374999994</v>
      </c>
      <c r="G255" s="12">
        <f t="shared" si="75"/>
        <v>-2.9887670293082497E-3</v>
      </c>
      <c r="H255" s="19">
        <f t="shared" si="80"/>
        <v>4.5954639900970255E-2</v>
      </c>
      <c r="I255" s="11">
        <f t="shared" si="81"/>
        <v>13981.68</v>
      </c>
      <c r="J255" s="11">
        <f t="shared" si="82"/>
        <v>13820.07</v>
      </c>
      <c r="K255" s="12">
        <f>(B255-MAX($B$2:B255))/MAX($B$2:B255)</f>
        <v>-8.317923818788462E-3</v>
      </c>
      <c r="L255" s="12">
        <f t="shared" si="83"/>
        <v>4.6714669317882151E-3</v>
      </c>
      <c r="M255" s="15">
        <f t="shared" si="77"/>
        <v>43.4111264127326</v>
      </c>
      <c r="N255" s="11">
        <f t="shared" si="70"/>
        <v>13913.568736814739</v>
      </c>
      <c r="O255" s="11">
        <f t="shared" si="71"/>
        <v>13862.746580736706</v>
      </c>
      <c r="P255" s="11">
        <f t="shared" si="67"/>
        <v>50.822156078033004</v>
      </c>
      <c r="Q255" s="11">
        <f t="shared" si="72"/>
        <v>65.961734318169519</v>
      </c>
      <c r="R255" s="11">
        <f t="shared" si="68"/>
        <v>-15.139578240136515</v>
      </c>
      <c r="S255" s="9">
        <f t="shared" si="69"/>
        <v>60</v>
      </c>
      <c r="T255" s="14">
        <f t="shared" si="76"/>
        <v>0</v>
      </c>
      <c r="U255" s="14">
        <f t="shared" si="73"/>
        <v>2.9843051114484265E-3</v>
      </c>
      <c r="V255" s="14">
        <f t="shared" si="87"/>
        <v>1.158471936562441E-3</v>
      </c>
      <c r="W255" s="14">
        <f t="shared" si="87"/>
        <v>1.5101340921045742E-3</v>
      </c>
      <c r="X255" s="16">
        <f t="shared" si="79"/>
        <v>0.76713183459619483</v>
      </c>
    </row>
    <row r="256" spans="1:24" x14ac:dyDescent="0.25">
      <c r="A256" s="10">
        <v>45548</v>
      </c>
      <c r="B256" s="11">
        <v>13998.92</v>
      </c>
      <c r="C256" s="12">
        <f t="shared" si="74"/>
        <v>8.2314040777464736E-3</v>
      </c>
      <c r="D256" s="11">
        <f t="shared" si="84"/>
        <v>13921.1145</v>
      </c>
      <c r="E256" s="11">
        <f t="shared" si="88"/>
        <v>13735.7868</v>
      </c>
      <c r="F256" s="11">
        <f t="shared" si="86"/>
        <v>13293.237187499999</v>
      </c>
      <c r="G256" s="12">
        <f t="shared" si="75"/>
        <v>8.1977108400287848E-3</v>
      </c>
      <c r="H256" s="19">
        <f t="shared" si="80"/>
        <v>5.321054520842175E-2</v>
      </c>
      <c r="I256" s="11">
        <f t="shared" si="81"/>
        <v>13998.92</v>
      </c>
      <c r="J256" s="11">
        <f t="shared" si="82"/>
        <v>13847.78</v>
      </c>
      <c r="K256" s="12">
        <f>(B256-MAX($B$2:B256))/MAX($B$2:B256)</f>
        <v>-1.5498793308235808E-4</v>
      </c>
      <c r="L256" s="12">
        <f t="shared" si="83"/>
        <v>9.0649859152494017E-3</v>
      </c>
      <c r="M256" s="15">
        <f t="shared" si="77"/>
        <v>55.66491489173216</v>
      </c>
      <c r="N256" s="11">
        <f t="shared" si="70"/>
        <v>13926.699700381703</v>
      </c>
      <c r="O256" s="11">
        <f t="shared" si="71"/>
        <v>13872.833500682134</v>
      </c>
      <c r="P256" s="11">
        <f t="shared" si="67"/>
        <v>53.866199699568824</v>
      </c>
      <c r="Q256" s="11">
        <f t="shared" si="72"/>
        <v>63.542627394449383</v>
      </c>
      <c r="R256" s="11">
        <f t="shared" si="68"/>
        <v>-9.6764276948805588</v>
      </c>
      <c r="S256" s="9">
        <f t="shared" si="69"/>
        <v>60</v>
      </c>
      <c r="T256" s="14">
        <f t="shared" si="76"/>
        <v>8.2314040777464736E-3</v>
      </c>
      <c r="U256" s="14">
        <f t="shared" si="73"/>
        <v>0</v>
      </c>
      <c r="V256" s="14">
        <f t="shared" ref="V256:W271" si="89">AVERAGE(T243:T256)</f>
        <v>1.7464293706871889E-3</v>
      </c>
      <c r="W256" s="14">
        <f t="shared" si="89"/>
        <v>1.3909676307884819E-3</v>
      </c>
      <c r="X256" s="16">
        <f t="shared" si="79"/>
        <v>1.2555499725735606</v>
      </c>
    </row>
    <row r="257" spans="1:24" x14ac:dyDescent="0.25">
      <c r="A257" s="10">
        <v>45553</v>
      </c>
      <c r="B257" s="11">
        <v>14088.04</v>
      </c>
      <c r="C257" s="12">
        <f t="shared" si="74"/>
        <v>6.3662053929876006E-3</v>
      </c>
      <c r="D257" s="11">
        <f t="shared" si="84"/>
        <v>13931.858499999998</v>
      </c>
      <c r="E257" s="11">
        <f t="shared" si="88"/>
        <v>13752.647400000002</v>
      </c>
      <c r="F257" s="11">
        <f t="shared" si="86"/>
        <v>13301.783124999998</v>
      </c>
      <c r="G257" s="12">
        <f t="shared" si="75"/>
        <v>6.3460267032764738E-3</v>
      </c>
      <c r="H257" s="19">
        <f t="shared" si="80"/>
        <v>5.5888249150420198E-2</v>
      </c>
      <c r="I257" s="11">
        <f t="shared" si="81"/>
        <v>14088.04</v>
      </c>
      <c r="J257" s="11">
        <f t="shared" si="82"/>
        <v>13847.78</v>
      </c>
      <c r="K257" s="12">
        <f>(B257-MAX($B$2:B257))/MAX($B$2:B257)</f>
        <v>0</v>
      </c>
      <c r="L257" s="12">
        <f t="shared" si="83"/>
        <v>1.386212147599708E-2</v>
      </c>
      <c r="M257" s="15">
        <f t="shared" si="77"/>
        <v>66.230087281301309</v>
      </c>
      <c r="N257" s="11">
        <f t="shared" si="70"/>
        <v>13951.521284938364</v>
      </c>
      <c r="O257" s="11">
        <f t="shared" si="71"/>
        <v>13888.774722853828</v>
      </c>
      <c r="P257" s="11">
        <f t="shared" si="67"/>
        <v>62.746562084535981</v>
      </c>
      <c r="Q257" s="11">
        <f t="shared" si="72"/>
        <v>63.383414332466707</v>
      </c>
      <c r="R257" s="11">
        <f t="shared" si="68"/>
        <v>-0.63685224793072592</v>
      </c>
      <c r="S257" s="9">
        <f t="shared" si="69"/>
        <v>60</v>
      </c>
      <c r="T257" s="14">
        <f t="shared" si="76"/>
        <v>6.3662053929876006E-3</v>
      </c>
      <c r="U257" s="14">
        <f t="shared" si="73"/>
        <v>0</v>
      </c>
      <c r="V257" s="14">
        <f t="shared" si="89"/>
        <v>2.2011583273291607E-3</v>
      </c>
      <c r="W257" s="14">
        <f t="shared" si="89"/>
        <v>1.122343751084395E-3</v>
      </c>
      <c r="X257" s="16">
        <f t="shared" si="79"/>
        <v>1.9612158264368007</v>
      </c>
    </row>
    <row r="258" spans="1:24" x14ac:dyDescent="0.25">
      <c r="A258" s="10">
        <v>45554</v>
      </c>
      <c r="B258" s="11">
        <v>14184.33</v>
      </c>
      <c r="C258" s="12">
        <f t="shared" si="74"/>
        <v>6.8348755398195404E-3</v>
      </c>
      <c r="D258" s="11">
        <f t="shared" si="84"/>
        <v>13946.304</v>
      </c>
      <c r="E258" s="11">
        <f t="shared" si="88"/>
        <v>13772.161600000003</v>
      </c>
      <c r="F258" s="11">
        <f t="shared" si="86"/>
        <v>13310.764562499997</v>
      </c>
      <c r="G258" s="12">
        <f t="shared" si="75"/>
        <v>6.8116236669750335E-3</v>
      </c>
      <c r="H258" s="19">
        <f t="shared" si="80"/>
        <v>5.9838328429364242E-2</v>
      </c>
      <c r="I258" s="11">
        <f t="shared" si="81"/>
        <v>14184.33</v>
      </c>
      <c r="J258" s="11">
        <f t="shared" si="82"/>
        <v>13847.78</v>
      </c>
      <c r="K258" s="12">
        <f>(B258-MAX($B$2:B258))/MAX($B$2:B258)</f>
        <v>0</v>
      </c>
      <c r="L258" s="12">
        <f t="shared" si="83"/>
        <v>1.9404455694237432E-2</v>
      </c>
      <c r="M258" s="15">
        <f t="shared" si="77"/>
        <v>69.306227792600012</v>
      </c>
      <c r="N258" s="11">
        <f t="shared" si="70"/>
        <v>13987.338010332462</v>
      </c>
      <c r="O258" s="11">
        <f t="shared" si="71"/>
        <v>13910.667706346137</v>
      </c>
      <c r="P258" s="11">
        <f t="shared" ref="P258:P321" si="90">N258-O258</f>
        <v>76.670303986324143</v>
      </c>
      <c r="Q258" s="11">
        <f t="shared" si="72"/>
        <v>66.040792263238203</v>
      </c>
      <c r="R258" s="11">
        <f t="shared" ref="R258:R321" si="91">P258-Q258</f>
        <v>10.62951172308594</v>
      </c>
      <c r="S258" s="9">
        <f t="shared" ref="S258:S321" si="92">IF(AND(D258&gt;E258,P258&gt;Q258),100,IF(OR(D258&gt;E258,P258&gt;Q258),60,20))</f>
        <v>100</v>
      </c>
      <c r="T258" s="14">
        <f t="shared" si="76"/>
        <v>6.8348755398195404E-3</v>
      </c>
      <c r="U258" s="14">
        <f t="shared" si="73"/>
        <v>0</v>
      </c>
      <c r="V258" s="14">
        <f t="shared" si="89"/>
        <v>2.5342408599586491E-3</v>
      </c>
      <c r="W258" s="14">
        <f t="shared" si="89"/>
        <v>1.122343751084395E-3</v>
      </c>
      <c r="X258" s="16">
        <f t="shared" si="79"/>
        <v>2.2579899050625944</v>
      </c>
    </row>
    <row r="259" spans="1:24" x14ac:dyDescent="0.25">
      <c r="A259" s="10">
        <v>45555</v>
      </c>
      <c r="B259" s="11">
        <v>14246.86</v>
      </c>
      <c r="C259" s="12">
        <f t="shared" si="74"/>
        <v>4.4083858737071768E-3</v>
      </c>
      <c r="D259" s="11">
        <f t="shared" si="84"/>
        <v>13962.930500000002</v>
      </c>
      <c r="E259" s="11">
        <f t="shared" si="88"/>
        <v>13791.186400000004</v>
      </c>
      <c r="F259" s="11">
        <f t="shared" si="86"/>
        <v>13320.389312499994</v>
      </c>
      <c r="G259" s="12">
        <f t="shared" si="75"/>
        <v>4.3986974039412069E-3</v>
      </c>
      <c r="H259" s="19">
        <f t="shared" si="80"/>
        <v>6.1021770080205033E-2</v>
      </c>
      <c r="I259" s="11">
        <f t="shared" si="81"/>
        <v>14246.86</v>
      </c>
      <c r="J259" s="11">
        <f t="shared" si="82"/>
        <v>13847.78</v>
      </c>
      <c r="K259" s="12">
        <f>(B259-MAX($B$2:B259))/MAX($B$2:B259)</f>
        <v>0</v>
      </c>
      <c r="L259" s="12">
        <f t="shared" si="83"/>
        <v>2.2884639132919604E-2</v>
      </c>
      <c r="M259" s="15">
        <f t="shared" si="77"/>
        <v>70.735494480829232</v>
      </c>
      <c r="N259" s="11">
        <f t="shared" ref="N259:N322" si="93">(B259*(2/13))+N258*(1-2/13)</f>
        <v>14027.264470281314</v>
      </c>
      <c r="O259" s="11">
        <f t="shared" ref="O259:O322" si="94">(B259*(2/27))+O258*(1-2/27)</f>
        <v>13935.570839209386</v>
      </c>
      <c r="P259" s="11">
        <f t="shared" si="90"/>
        <v>91.693631071928394</v>
      </c>
      <c r="Q259" s="11">
        <f t="shared" ref="Q259:Q322" si="95">(P259*(2/10))+Q258*(1-2/10)</f>
        <v>71.171360024976252</v>
      </c>
      <c r="R259" s="11">
        <f t="shared" si="91"/>
        <v>20.522271046952142</v>
      </c>
      <c r="S259" s="9">
        <f t="shared" si="92"/>
        <v>100</v>
      </c>
      <c r="T259" s="14">
        <f t="shared" si="76"/>
        <v>4.4083858737071768E-3</v>
      </c>
      <c r="U259" s="14">
        <f t="shared" ref="U259:U322" si="96">ABS(MIN(C259,0))</f>
        <v>0</v>
      </c>
      <c r="V259" s="14">
        <f t="shared" si="89"/>
        <v>2.7128269827903428E-3</v>
      </c>
      <c r="W259" s="14">
        <f t="shared" si="89"/>
        <v>1.122343751084395E-3</v>
      </c>
      <c r="X259" s="16">
        <f t="shared" si="79"/>
        <v>2.4171088226483572</v>
      </c>
    </row>
    <row r="260" spans="1:24" x14ac:dyDescent="0.25">
      <c r="A260" s="10">
        <v>45558</v>
      </c>
      <c r="B260" s="11">
        <v>14269.55</v>
      </c>
      <c r="C260" s="12">
        <f t="shared" ref="C260:C323" si="97">(B260/B259)-1</f>
        <v>1.5926316395331597E-3</v>
      </c>
      <c r="D260" s="11">
        <f t="shared" si="84"/>
        <v>13980.001999999999</v>
      </c>
      <c r="E260" s="11">
        <f t="shared" si="88"/>
        <v>13809.222800000003</v>
      </c>
      <c r="F260" s="11">
        <f t="shared" si="86"/>
        <v>13330.294249999995</v>
      </c>
      <c r="G260" s="12">
        <f t="shared" ref="G260:G323" si="98">LN(B260/B259)</f>
        <v>1.5913647467142237E-3</v>
      </c>
      <c r="H260" s="19">
        <f t="shared" si="80"/>
        <v>6.1034185289100498E-2</v>
      </c>
      <c r="I260" s="11">
        <f t="shared" si="81"/>
        <v>14269.55</v>
      </c>
      <c r="J260" s="11">
        <f t="shared" si="82"/>
        <v>13847.78</v>
      </c>
      <c r="K260" s="12">
        <f>(B260-MAX($B$2:B260))/MAX($B$2:B260)</f>
        <v>0</v>
      </c>
      <c r="L260" s="12">
        <f t="shared" si="83"/>
        <v>2.2608457604125443E-2</v>
      </c>
      <c r="M260" s="15">
        <f t="shared" si="77"/>
        <v>71.729368703631224</v>
      </c>
      <c r="N260" s="11">
        <f t="shared" si="93"/>
        <v>14064.539167161111</v>
      </c>
      <c r="O260" s="11">
        <f t="shared" si="94"/>
        <v>13960.310036304987</v>
      </c>
      <c r="P260" s="11">
        <f t="shared" si="90"/>
        <v>104.22913085612345</v>
      </c>
      <c r="Q260" s="11">
        <f t="shared" si="95"/>
        <v>77.782914191205691</v>
      </c>
      <c r="R260" s="11">
        <f t="shared" si="91"/>
        <v>26.446216664917756</v>
      </c>
      <c r="S260" s="9">
        <f t="shared" si="92"/>
        <v>100</v>
      </c>
      <c r="T260" s="14">
        <f t="shared" ref="T260:T323" si="99">MAX(C260,0)</f>
        <v>1.5926316395331597E-3</v>
      </c>
      <c r="U260" s="14">
        <f t="shared" si="96"/>
        <v>0</v>
      </c>
      <c r="V260" s="14">
        <f t="shared" si="89"/>
        <v>2.8265863856141399E-3</v>
      </c>
      <c r="W260" s="14">
        <f t="shared" si="89"/>
        <v>1.1140399389990405E-3</v>
      </c>
      <c r="X260" s="16">
        <f t="shared" si="79"/>
        <v>2.537239722441023</v>
      </c>
    </row>
    <row r="261" spans="1:24" x14ac:dyDescent="0.25">
      <c r="A261" s="10">
        <v>45559</v>
      </c>
      <c r="B261" s="11">
        <v>14193.3</v>
      </c>
      <c r="C261" s="12">
        <f t="shared" si="97"/>
        <v>-5.3435462225508434E-3</v>
      </c>
      <c r="D261" s="11">
        <f t="shared" si="84"/>
        <v>13991.963499999998</v>
      </c>
      <c r="E261" s="11">
        <f t="shared" si="88"/>
        <v>13825.933000000003</v>
      </c>
      <c r="F261" s="11">
        <f t="shared" si="86"/>
        <v>13340.059999999994</v>
      </c>
      <c r="G261" s="12">
        <f t="shared" si="98"/>
        <v>-5.3578740293255571E-3</v>
      </c>
      <c r="H261" s="19">
        <f t="shared" si="80"/>
        <v>6.5247888449258398E-2</v>
      </c>
      <c r="I261" s="11">
        <f t="shared" si="81"/>
        <v>14269.55</v>
      </c>
      <c r="J261" s="11">
        <f t="shared" si="82"/>
        <v>13847.78</v>
      </c>
      <c r="K261" s="12">
        <f>(B261-MAX($B$2:B261))/MAX($B$2:B261)</f>
        <v>-5.3435462225508166E-3</v>
      </c>
      <c r="L261" s="12">
        <f t="shared" si="83"/>
        <v>1.8843870304555477E-2</v>
      </c>
      <c r="M261" s="15">
        <f t="shared" si="77"/>
        <v>63.907769163744284</v>
      </c>
      <c r="N261" s="11">
        <f t="shared" si="93"/>
        <v>14084.348526059403</v>
      </c>
      <c r="O261" s="11">
        <f t="shared" si="94"/>
        <v>13977.568552134248</v>
      </c>
      <c r="P261" s="11">
        <f t="shared" si="90"/>
        <v>106.77997392515499</v>
      </c>
      <c r="Q261" s="11">
        <f t="shared" si="95"/>
        <v>83.582326137995551</v>
      </c>
      <c r="R261" s="11">
        <f t="shared" si="91"/>
        <v>23.19764778715944</v>
      </c>
      <c r="S261" s="9">
        <f t="shared" si="92"/>
        <v>100</v>
      </c>
      <c r="T261" s="14">
        <f t="shared" si="99"/>
        <v>0</v>
      </c>
      <c r="U261" s="14">
        <f t="shared" si="96"/>
        <v>5.3435462225508434E-3</v>
      </c>
      <c r="V261" s="14">
        <f t="shared" si="89"/>
        <v>2.6484437808955074E-3</v>
      </c>
      <c r="W261" s="14">
        <f t="shared" si="89"/>
        <v>1.4957218120383864E-3</v>
      </c>
      <c r="X261" s="16">
        <f t="shared" si="79"/>
        <v>1.7706793867545321</v>
      </c>
    </row>
    <row r="262" spans="1:24" x14ac:dyDescent="0.25">
      <c r="A262" s="10">
        <v>45560</v>
      </c>
      <c r="B262" s="11">
        <v>14282.71</v>
      </c>
      <c r="C262" s="12">
        <f t="shared" si="97"/>
        <v>6.2994511494860461E-3</v>
      </c>
      <c r="D262" s="11">
        <f t="shared" si="84"/>
        <v>14009.559499999999</v>
      </c>
      <c r="E262" s="11">
        <f t="shared" si="88"/>
        <v>13844.614200000004</v>
      </c>
      <c r="F262" s="11">
        <f t="shared" si="86"/>
        <v>13351.463562499994</v>
      </c>
      <c r="G262" s="12">
        <f t="shared" si="98"/>
        <v>6.2796925425985311E-3</v>
      </c>
      <c r="H262" s="19">
        <f t="shared" si="80"/>
        <v>6.7247328774194773E-2</v>
      </c>
      <c r="I262" s="11">
        <f t="shared" si="81"/>
        <v>14282.71</v>
      </c>
      <c r="J262" s="11">
        <f t="shared" si="82"/>
        <v>13847.78</v>
      </c>
      <c r="K262" s="12">
        <f>(B262-MAX($B$2:B262))/MAX($B$2:B262)</f>
        <v>0</v>
      </c>
      <c r="L262" s="12">
        <f t="shared" si="83"/>
        <v>2.9132320728614269E-2</v>
      </c>
      <c r="M262" s="15">
        <f t="shared" si="77"/>
        <v>73.365699876608375</v>
      </c>
      <c r="N262" s="11">
        <f t="shared" si="93"/>
        <v>14114.865675896417</v>
      </c>
      <c r="O262" s="11">
        <f t="shared" si="94"/>
        <v>14000.171622346526</v>
      </c>
      <c r="P262" s="11">
        <f t="shared" si="90"/>
        <v>114.69405354989067</v>
      </c>
      <c r="Q262" s="11">
        <f t="shared" si="95"/>
        <v>89.804671620374592</v>
      </c>
      <c r="R262" s="11">
        <f t="shared" si="91"/>
        <v>24.889381929516077</v>
      </c>
      <c r="S262" s="9">
        <f t="shared" si="92"/>
        <v>100</v>
      </c>
      <c r="T262" s="14">
        <f t="shared" si="99"/>
        <v>6.2994511494860461E-3</v>
      </c>
      <c r="U262" s="14">
        <f t="shared" si="96"/>
        <v>0</v>
      </c>
      <c r="V262" s="14">
        <f t="shared" si="89"/>
        <v>3.0984045772873676E-3</v>
      </c>
      <c r="W262" s="14">
        <f t="shared" si="89"/>
        <v>1.1248285991131621E-3</v>
      </c>
      <c r="X262" s="16">
        <f t="shared" si="79"/>
        <v>2.7545570762782998</v>
      </c>
    </row>
    <row r="263" spans="1:24" x14ac:dyDescent="0.25">
      <c r="A263" s="10">
        <v>45561</v>
      </c>
      <c r="B263" s="11">
        <v>14370.64</v>
      </c>
      <c r="C263" s="12">
        <f t="shared" si="97"/>
        <v>6.156394689803335E-3</v>
      </c>
      <c r="D263" s="11">
        <f t="shared" si="84"/>
        <v>14034.171500000002</v>
      </c>
      <c r="E263" s="11">
        <f t="shared" si="88"/>
        <v>13864.825600000004</v>
      </c>
      <c r="F263" s="11">
        <f t="shared" si="86"/>
        <v>13363.495874999997</v>
      </c>
      <c r="G263" s="12">
        <f t="shared" si="98"/>
        <v>6.1375215128892944E-3</v>
      </c>
      <c r="H263" s="19">
        <f t="shared" si="80"/>
        <v>6.6638567173646759E-2</v>
      </c>
      <c r="I263" s="11">
        <f t="shared" si="81"/>
        <v>14370.64</v>
      </c>
      <c r="J263" s="11">
        <f t="shared" si="82"/>
        <v>13847.78</v>
      </c>
      <c r="K263" s="12">
        <f>(B263-MAX($B$2:B263))/MAX($B$2:B263)</f>
        <v>0</v>
      </c>
      <c r="L263" s="12">
        <f t="shared" si="83"/>
        <v>3.3224191755568677E-2</v>
      </c>
      <c r="M263" s="15">
        <f t="shared" si="77"/>
        <v>80.107420607329146</v>
      </c>
      <c r="N263" s="11">
        <f t="shared" si="93"/>
        <v>14154.215571912353</v>
      </c>
      <c r="O263" s="11">
        <f t="shared" si="94"/>
        <v>14027.613724394932</v>
      </c>
      <c r="P263" s="11">
        <f t="shared" si="90"/>
        <v>126.60184751742054</v>
      </c>
      <c r="Q263" s="11">
        <f t="shared" si="95"/>
        <v>97.164106799783781</v>
      </c>
      <c r="R263" s="11">
        <f t="shared" si="91"/>
        <v>29.437740717636757</v>
      </c>
      <c r="S263" s="9">
        <f t="shared" si="92"/>
        <v>100</v>
      </c>
      <c r="T263" s="14">
        <f t="shared" si="99"/>
        <v>6.156394689803335E-3</v>
      </c>
      <c r="U263" s="14">
        <f t="shared" si="96"/>
        <v>0</v>
      </c>
      <c r="V263" s="14">
        <f t="shared" si="89"/>
        <v>3.5381470551304633E-3</v>
      </c>
      <c r="W263" s="14">
        <f t="shared" si="89"/>
        <v>8.7860613490640753E-4</v>
      </c>
      <c r="X263" s="16">
        <f t="shared" si="79"/>
        <v>4.0270001705683063</v>
      </c>
    </row>
    <row r="264" spans="1:24" x14ac:dyDescent="0.25">
      <c r="A264" s="10">
        <v>45562</v>
      </c>
      <c r="B264" s="11">
        <v>14449.05</v>
      </c>
      <c r="C264" s="12">
        <f t="shared" si="97"/>
        <v>5.4562636041262103E-3</v>
      </c>
      <c r="D264" s="11">
        <f t="shared" si="84"/>
        <v>14061.196999999996</v>
      </c>
      <c r="E264" s="11">
        <f t="shared" si="88"/>
        <v>13885.127200000004</v>
      </c>
      <c r="F264" s="11">
        <f t="shared" si="86"/>
        <v>13375.894437499996</v>
      </c>
      <c r="G264" s="12">
        <f t="shared" si="98"/>
        <v>5.4414321230551047E-3</v>
      </c>
      <c r="H264" s="19">
        <f t="shared" si="80"/>
        <v>6.7916376778566087E-2</v>
      </c>
      <c r="I264" s="11">
        <f t="shared" si="81"/>
        <v>14449.05</v>
      </c>
      <c r="J264" s="11">
        <f t="shared" si="82"/>
        <v>13847.78</v>
      </c>
      <c r="K264" s="12">
        <f>(B264-MAX($B$2:B264))/MAX($B$2:B264)</f>
        <v>0</v>
      </c>
      <c r="L264" s="12">
        <f t="shared" si="83"/>
        <v>3.6883175410546531E-2</v>
      </c>
      <c r="M264" s="15">
        <f t="shared" si="77"/>
        <v>80.492819160631512</v>
      </c>
      <c r="N264" s="11">
        <f t="shared" si="93"/>
        <v>14199.574714695067</v>
      </c>
      <c r="O264" s="11">
        <f t="shared" si="94"/>
        <v>14058.831226291604</v>
      </c>
      <c r="P264" s="11">
        <f t="shared" si="90"/>
        <v>140.74348840346283</v>
      </c>
      <c r="Q264" s="11">
        <f t="shared" si="95"/>
        <v>105.8799831205196</v>
      </c>
      <c r="R264" s="11">
        <f t="shared" si="91"/>
        <v>34.863505282943237</v>
      </c>
      <c r="S264" s="9">
        <f t="shared" si="92"/>
        <v>100</v>
      </c>
      <c r="T264" s="14">
        <f t="shared" si="99"/>
        <v>5.4562636041262103E-3</v>
      </c>
      <c r="U264" s="14">
        <f t="shared" si="96"/>
        <v>0</v>
      </c>
      <c r="V264" s="14">
        <f t="shared" si="89"/>
        <v>3.6254077569074505E-3</v>
      </c>
      <c r="W264" s="14">
        <f t="shared" si="89"/>
        <v>8.7860613490640753E-4</v>
      </c>
      <c r="X264" s="16">
        <f t="shared" si="79"/>
        <v>4.126317371200285</v>
      </c>
    </row>
    <row r="265" spans="1:24" x14ac:dyDescent="0.25">
      <c r="A265" s="10">
        <v>45565</v>
      </c>
      <c r="B265" s="11">
        <v>14372.84</v>
      </c>
      <c r="C265" s="12">
        <f t="shared" si="97"/>
        <v>-5.274395202452653E-3</v>
      </c>
      <c r="D265" s="11">
        <f t="shared" si="84"/>
        <v>14083.085000000001</v>
      </c>
      <c r="E265" s="11">
        <f t="shared" si="88"/>
        <v>13902.246200000001</v>
      </c>
      <c r="F265" s="11">
        <f t="shared" si="86"/>
        <v>13387.700187499995</v>
      </c>
      <c r="G265" s="12">
        <f t="shared" si="98"/>
        <v>-5.2883539290230798E-3</v>
      </c>
      <c r="H265" s="19">
        <f t="shared" si="80"/>
        <v>7.2559247983453576E-2</v>
      </c>
      <c r="I265" s="11">
        <f t="shared" si="81"/>
        <v>14449.05</v>
      </c>
      <c r="J265" s="11">
        <f t="shared" si="82"/>
        <v>13847.78</v>
      </c>
      <c r="K265" s="12">
        <f>(B265-MAX($B$2:B265))/MAX($B$2:B265)</f>
        <v>-5.2743952024526964E-3</v>
      </c>
      <c r="L265" s="12">
        <f t="shared" si="83"/>
        <v>3.1534163086555766E-2</v>
      </c>
      <c r="M265" s="15">
        <f t="shared" si="77"/>
        <v>74.145490849999248</v>
      </c>
      <c r="N265" s="11">
        <f t="shared" si="93"/>
        <v>14226.230912434286</v>
      </c>
      <c r="O265" s="11">
        <f t="shared" si="94"/>
        <v>14082.091135455188</v>
      </c>
      <c r="P265" s="11">
        <f t="shared" si="90"/>
        <v>144.13977697909831</v>
      </c>
      <c r="Q265" s="11">
        <f t="shared" si="95"/>
        <v>113.53194189223535</v>
      </c>
      <c r="R265" s="11">
        <f t="shared" si="91"/>
        <v>30.607835086862963</v>
      </c>
      <c r="S265" s="9">
        <f t="shared" si="92"/>
        <v>100</v>
      </c>
      <c r="T265" s="14">
        <f t="shared" si="99"/>
        <v>0</v>
      </c>
      <c r="U265" s="14">
        <f t="shared" si="96"/>
        <v>5.274395202452653E-3</v>
      </c>
      <c r="V265" s="14">
        <f t="shared" si="89"/>
        <v>3.6000854340419836E-3</v>
      </c>
      <c r="W265" s="14">
        <f t="shared" si="89"/>
        <v>1.2553486493673113E-3</v>
      </c>
      <c r="X265" s="16">
        <f t="shared" si="79"/>
        <v>2.8677972735752784</v>
      </c>
    </row>
    <row r="266" spans="1:24" x14ac:dyDescent="0.25">
      <c r="A266" s="10">
        <v>45566</v>
      </c>
      <c r="B266" s="11">
        <v>14201.37</v>
      </c>
      <c r="C266" s="12">
        <f t="shared" si="97"/>
        <v>-1.1930140459366356E-2</v>
      </c>
      <c r="D266" s="11">
        <f t="shared" si="84"/>
        <v>14096.4805</v>
      </c>
      <c r="E266" s="11">
        <f t="shared" si="88"/>
        <v>13917.594800000003</v>
      </c>
      <c r="F266" s="11">
        <f t="shared" si="86"/>
        <v>13398.374999999995</v>
      </c>
      <c r="G266" s="12">
        <f t="shared" si="98"/>
        <v>-1.2001875696886072E-2</v>
      </c>
      <c r="H266" s="19">
        <f t="shared" si="80"/>
        <v>8.7000411029681743E-2</v>
      </c>
      <c r="I266" s="11">
        <f t="shared" si="81"/>
        <v>14449.05</v>
      </c>
      <c r="J266" s="11">
        <f t="shared" si="82"/>
        <v>13847.78</v>
      </c>
      <c r="K266" s="12">
        <f>(B266-MAX($B$2:B266))/MAX($B$2:B266)</f>
        <v>-1.7141611386215599E-2</v>
      </c>
      <c r="L266" s="12">
        <f t="shared" si="83"/>
        <v>1.6692188906094696E-2</v>
      </c>
      <c r="M266" s="15">
        <f t="shared" si="77"/>
        <v>60.581467164837775</v>
      </c>
      <c r="N266" s="11">
        <f t="shared" si="93"/>
        <v>14222.406156675166</v>
      </c>
      <c r="O266" s="11">
        <f t="shared" si="94"/>
        <v>14090.926606902951</v>
      </c>
      <c r="P266" s="11">
        <f t="shared" si="90"/>
        <v>131.47954977221525</v>
      </c>
      <c r="Q266" s="11">
        <f t="shared" si="95"/>
        <v>117.12146346823134</v>
      </c>
      <c r="R266" s="11">
        <f t="shared" si="91"/>
        <v>14.35808630398391</v>
      </c>
      <c r="S266" s="9">
        <f t="shared" si="92"/>
        <v>100</v>
      </c>
      <c r="T266" s="14">
        <f t="shared" si="99"/>
        <v>0</v>
      </c>
      <c r="U266" s="14">
        <f t="shared" si="96"/>
        <v>1.1930140459366356E-2</v>
      </c>
      <c r="V266" s="14">
        <f t="shared" si="89"/>
        <v>3.2389722833721102E-3</v>
      </c>
      <c r="W266" s="14">
        <f t="shared" si="89"/>
        <v>2.1075015393220509E-3</v>
      </c>
      <c r="X266" s="16">
        <f t="shared" si="79"/>
        <v>1.5368777782312013</v>
      </c>
    </row>
    <row r="267" spans="1:24" x14ac:dyDescent="0.25">
      <c r="A267" s="10">
        <v>45567</v>
      </c>
      <c r="B267" s="11">
        <v>14024.58</v>
      </c>
      <c r="C267" s="12">
        <f t="shared" si="97"/>
        <v>-1.2448798953903828E-2</v>
      </c>
      <c r="D267" s="11">
        <f t="shared" si="84"/>
        <v>14099.298999999999</v>
      </c>
      <c r="E267" s="11">
        <f t="shared" si="88"/>
        <v>13928.959600000002</v>
      </c>
      <c r="F267" s="11">
        <f t="shared" si="86"/>
        <v>13408.262562499996</v>
      </c>
      <c r="G267" s="12">
        <f t="shared" si="98"/>
        <v>-1.2526934390377666E-2</v>
      </c>
      <c r="H267" s="19">
        <f t="shared" si="80"/>
        <v>9.8984214452800867E-2</v>
      </c>
      <c r="I267" s="11">
        <f t="shared" si="81"/>
        <v>14449.05</v>
      </c>
      <c r="J267" s="11">
        <f t="shared" si="82"/>
        <v>13847.78</v>
      </c>
      <c r="K267" s="12">
        <f>(B267-MAX($B$2:B267))/MAX($B$2:B267)</f>
        <v>-2.9377017866226457E-2</v>
      </c>
      <c r="L267" s="12">
        <f t="shared" si="83"/>
        <v>9.276264277818802E-3</v>
      </c>
      <c r="M267" s="15">
        <f t="shared" si="77"/>
        <v>53.324001507000602</v>
      </c>
      <c r="N267" s="11">
        <f t="shared" si="93"/>
        <v>14191.971363340526</v>
      </c>
      <c r="O267" s="11">
        <f t="shared" si="94"/>
        <v>14086.012043428658</v>
      </c>
      <c r="P267" s="11">
        <f t="shared" si="90"/>
        <v>105.95931991186808</v>
      </c>
      <c r="Q267" s="11">
        <f t="shared" si="95"/>
        <v>114.88903475695869</v>
      </c>
      <c r="R267" s="11">
        <f t="shared" si="91"/>
        <v>-8.929714845090615</v>
      </c>
      <c r="S267" s="9">
        <f t="shared" si="92"/>
        <v>60</v>
      </c>
      <c r="T267" s="14">
        <f t="shared" si="99"/>
        <v>0</v>
      </c>
      <c r="U267" s="14">
        <f t="shared" si="96"/>
        <v>1.2448798953903828E-2</v>
      </c>
      <c r="V267" s="14">
        <f t="shared" si="89"/>
        <v>3.2389722833721102E-3</v>
      </c>
      <c r="W267" s="14">
        <f t="shared" si="89"/>
        <v>2.8351635500890831E-3</v>
      </c>
      <c r="X267" s="16">
        <f t="shared" si="79"/>
        <v>1.1424287262970558</v>
      </c>
    </row>
    <row r="268" spans="1:24" x14ac:dyDescent="0.25">
      <c r="A268" s="10">
        <v>45568</v>
      </c>
      <c r="B268" s="11">
        <v>14154.97</v>
      </c>
      <c r="C268" s="12">
        <f t="shared" si="97"/>
        <v>9.2972481172342025E-3</v>
      </c>
      <c r="D268" s="11">
        <f t="shared" si="84"/>
        <v>14112.263499999995</v>
      </c>
      <c r="E268" s="11">
        <f t="shared" si="88"/>
        <v>13940.351200000001</v>
      </c>
      <c r="F268" s="11">
        <f t="shared" si="86"/>
        <v>13418.423374999998</v>
      </c>
      <c r="G268" s="12">
        <f t="shared" si="98"/>
        <v>9.2542947328864682E-3</v>
      </c>
      <c r="H268" s="19">
        <f t="shared" si="80"/>
        <v>0.10177612454118874</v>
      </c>
      <c r="I268" s="11">
        <f t="shared" si="81"/>
        <v>14449.05</v>
      </c>
      <c r="J268" s="11">
        <f t="shared" si="82"/>
        <v>13847.78</v>
      </c>
      <c r="K268" s="12">
        <f>(B268-MAX($B$2:B268))/MAX($B$2:B268)</f>
        <v>-2.0352895173039055E-2</v>
      </c>
      <c r="L268" s="12">
        <f t="shared" si="83"/>
        <v>2.2183339134503877E-2</v>
      </c>
      <c r="M268" s="15">
        <f t="shared" si="77"/>
        <v>58.994248711925032</v>
      </c>
      <c r="N268" s="11">
        <f t="shared" si="93"/>
        <v>14186.278845903522</v>
      </c>
      <c r="O268" s="11">
        <f t="shared" si="94"/>
        <v>14091.120040211721</v>
      </c>
      <c r="P268" s="11">
        <f t="shared" si="90"/>
        <v>95.158805691800808</v>
      </c>
      <c r="Q268" s="11">
        <f t="shared" si="95"/>
        <v>110.94298894392713</v>
      </c>
      <c r="R268" s="11">
        <f t="shared" si="91"/>
        <v>-15.784183252126326</v>
      </c>
      <c r="S268" s="9">
        <f t="shared" si="92"/>
        <v>60</v>
      </c>
      <c r="T268" s="14">
        <f t="shared" si="99"/>
        <v>9.2972481172342025E-3</v>
      </c>
      <c r="U268" s="14">
        <f t="shared" si="96"/>
        <v>0</v>
      </c>
      <c r="V268" s="14">
        <f t="shared" si="89"/>
        <v>3.9030614346031245E-3</v>
      </c>
      <c r="W268" s="14">
        <f t="shared" si="89"/>
        <v>2.7129418535515792E-3</v>
      </c>
      <c r="X268" s="16">
        <f t="shared" si="79"/>
        <v>1.4386823033061067</v>
      </c>
    </row>
    <row r="269" spans="1:24" x14ac:dyDescent="0.25">
      <c r="A269" s="10">
        <v>45569</v>
      </c>
      <c r="B269" s="11">
        <v>14167.03</v>
      </c>
      <c r="C269" s="12">
        <f t="shared" si="97"/>
        <v>8.5199756693232764E-4</v>
      </c>
      <c r="D269" s="11">
        <f t="shared" si="84"/>
        <v>14128.225999999999</v>
      </c>
      <c r="E269" s="11">
        <f t="shared" si="88"/>
        <v>13951.7726</v>
      </c>
      <c r="F269" s="11">
        <f t="shared" si="86"/>
        <v>13428.530812499997</v>
      </c>
      <c r="G269" s="12">
        <f t="shared" si="98"/>
        <v>8.5163482302862527E-4</v>
      </c>
      <c r="H269" s="19">
        <f t="shared" si="80"/>
        <v>0.10045899892381666</v>
      </c>
      <c r="I269" s="11">
        <f t="shared" si="81"/>
        <v>14449.05</v>
      </c>
      <c r="J269" s="11">
        <f t="shared" si="82"/>
        <v>13884.63</v>
      </c>
      <c r="K269" s="12">
        <f>(B269-MAX($B$2:B269))/MAX($B$2:B269)</f>
        <v>-1.9518238223274101E-2</v>
      </c>
      <c r="L269" s="12">
        <f t="shared" si="83"/>
        <v>1.8740265287543467E-2</v>
      </c>
      <c r="M269" s="15">
        <f t="shared" si="77"/>
        <v>61.325882978503557</v>
      </c>
      <c r="N269" s="11">
        <f t="shared" si="93"/>
        <v>14183.317484995288</v>
      </c>
      <c r="O269" s="11">
        <f t="shared" si="94"/>
        <v>14096.743000196038</v>
      </c>
      <c r="P269" s="11">
        <f t="shared" si="90"/>
        <v>86.574484799250058</v>
      </c>
      <c r="Q269" s="11">
        <f t="shared" si="95"/>
        <v>106.06928811499174</v>
      </c>
      <c r="R269" s="11">
        <f t="shared" si="91"/>
        <v>-19.494803315741677</v>
      </c>
      <c r="S269" s="9">
        <f t="shared" si="92"/>
        <v>60</v>
      </c>
      <c r="T269" s="14">
        <f t="shared" si="99"/>
        <v>8.5199756693232764E-4</v>
      </c>
      <c r="U269" s="14">
        <f t="shared" si="96"/>
        <v>0</v>
      </c>
      <c r="V269" s="14">
        <f t="shared" si="89"/>
        <v>3.9639184036697195E-3</v>
      </c>
      <c r="W269" s="14">
        <f t="shared" si="89"/>
        <v>2.4997772027338344E-3</v>
      </c>
      <c r="X269" s="16">
        <f t="shared" si="79"/>
        <v>1.5857086780912533</v>
      </c>
    </row>
    <row r="270" spans="1:24" x14ac:dyDescent="0.25">
      <c r="A270" s="10">
        <v>45572</v>
      </c>
      <c r="B270" s="11">
        <v>14156.87</v>
      </c>
      <c r="C270" s="12">
        <f t="shared" si="97"/>
        <v>-7.1715807759287209E-4</v>
      </c>
      <c r="D270" s="11">
        <f t="shared" si="84"/>
        <v>14140.748499999996</v>
      </c>
      <c r="E270" s="11">
        <f t="shared" si="88"/>
        <v>13962.4498</v>
      </c>
      <c r="F270" s="11">
        <f t="shared" si="86"/>
        <v>13438.099437499997</v>
      </c>
      <c r="G270" s="12">
        <f t="shared" si="98"/>
        <v>-7.1741535846172341E-4</v>
      </c>
      <c r="H270" s="19">
        <f t="shared" si="80"/>
        <v>9.9976156546307274E-2</v>
      </c>
      <c r="I270" s="11">
        <f t="shared" si="81"/>
        <v>14449.05</v>
      </c>
      <c r="J270" s="11">
        <f t="shared" si="82"/>
        <v>13884.63</v>
      </c>
      <c r="K270" s="12">
        <f>(B270-MAX($B$2:B270))/MAX($B$2:B270)</f>
        <v>-2.022139863866472E-2</v>
      </c>
      <c r="L270" s="12">
        <f t="shared" si="83"/>
        <v>1.7648898201828134E-2</v>
      </c>
      <c r="M270" s="15">
        <f t="shared" si="77"/>
        <v>56.959365914332167</v>
      </c>
      <c r="N270" s="11">
        <f t="shared" si="93"/>
        <v>14179.248641149859</v>
      </c>
      <c r="O270" s="11">
        <f t="shared" si="94"/>
        <v>14101.196852033368</v>
      </c>
      <c r="P270" s="11">
        <f t="shared" si="90"/>
        <v>78.051789116490909</v>
      </c>
      <c r="Q270" s="11">
        <f t="shared" si="95"/>
        <v>100.46578831529158</v>
      </c>
      <c r="R270" s="11">
        <f t="shared" si="91"/>
        <v>-22.413999198800667</v>
      </c>
      <c r="S270" s="9">
        <f t="shared" si="92"/>
        <v>60</v>
      </c>
      <c r="T270" s="14">
        <f t="shared" si="99"/>
        <v>0</v>
      </c>
      <c r="U270" s="14">
        <f t="shared" si="96"/>
        <v>7.1715807759287209E-4</v>
      </c>
      <c r="V270" s="14">
        <f t="shared" si="89"/>
        <v>3.3759609695449715E-3</v>
      </c>
      <c r="W270" s="14">
        <f t="shared" si="89"/>
        <v>2.5510027797047536E-3</v>
      </c>
      <c r="X270" s="16">
        <f t="shared" si="79"/>
        <v>1.3233858451285954</v>
      </c>
    </row>
    <row r="271" spans="1:24" x14ac:dyDescent="0.25">
      <c r="A271" s="10">
        <v>45573</v>
      </c>
      <c r="B271" s="11">
        <v>14019.63</v>
      </c>
      <c r="C271" s="12">
        <f t="shared" si="97"/>
        <v>-9.6942332591880565E-3</v>
      </c>
      <c r="D271" s="11">
        <f t="shared" si="84"/>
        <v>14146.162499999997</v>
      </c>
      <c r="E271" s="11">
        <f t="shared" si="88"/>
        <v>13970.655600000004</v>
      </c>
      <c r="F271" s="11">
        <f t="shared" si="86"/>
        <v>13446.598312499997</v>
      </c>
      <c r="G271" s="12">
        <f t="shared" si="98"/>
        <v>-9.741528245729783E-3</v>
      </c>
      <c r="H271" s="19">
        <f t="shared" si="80"/>
        <v>0.10688134222604356</v>
      </c>
      <c r="I271" s="11">
        <f t="shared" si="81"/>
        <v>14449.05</v>
      </c>
      <c r="J271" s="11">
        <f t="shared" si="82"/>
        <v>13884.63</v>
      </c>
      <c r="K271" s="12">
        <f>(B271-MAX($B$2:B271))/MAX($B$2:B271)</f>
        <v>-2.9719600942622531E-2</v>
      </c>
      <c r="L271" s="12">
        <f t="shared" si="83"/>
        <v>2.7142660967780508E-3</v>
      </c>
      <c r="M271" s="15">
        <f t="shared" si="77"/>
        <v>47.386595911929483</v>
      </c>
      <c r="N271" s="11">
        <f t="shared" si="93"/>
        <v>14154.691927126805</v>
      </c>
      <c r="O271" s="11">
        <f t="shared" si="94"/>
        <v>14095.154862993859</v>
      </c>
      <c r="P271" s="11">
        <f t="shared" si="90"/>
        <v>59.537064132946398</v>
      </c>
      <c r="Q271" s="11">
        <f t="shared" si="95"/>
        <v>92.280043478822549</v>
      </c>
      <c r="R271" s="11">
        <f t="shared" si="91"/>
        <v>-32.742979345876151</v>
      </c>
      <c r="S271" s="9">
        <f t="shared" si="92"/>
        <v>60</v>
      </c>
      <c r="T271" s="14">
        <f t="shared" si="99"/>
        <v>0</v>
      </c>
      <c r="U271" s="14">
        <f t="shared" si="96"/>
        <v>9.6942332591880565E-3</v>
      </c>
      <c r="V271" s="14">
        <f t="shared" si="89"/>
        <v>2.921232012903E-3</v>
      </c>
      <c r="W271" s="14">
        <f t="shared" si="89"/>
        <v>3.2434480125039006E-3</v>
      </c>
      <c r="X271" s="16">
        <f t="shared" si="79"/>
        <v>0.90065633906918896</v>
      </c>
    </row>
    <row r="272" spans="1:24" x14ac:dyDescent="0.25">
      <c r="A272" s="10">
        <v>45574</v>
      </c>
      <c r="B272" s="11">
        <v>14148.99</v>
      </c>
      <c r="C272" s="12">
        <f t="shared" si="97"/>
        <v>9.227062340446901E-3</v>
      </c>
      <c r="D272" s="11">
        <f t="shared" si="84"/>
        <v>14154.527999999997</v>
      </c>
      <c r="E272" s="11">
        <f t="shared" si="88"/>
        <v>13981.576999999999</v>
      </c>
      <c r="F272" s="11">
        <f t="shared" si="86"/>
        <v>13455.728125</v>
      </c>
      <c r="G272" s="12">
        <f t="shared" si="98"/>
        <v>9.1847530618231442E-3</v>
      </c>
      <c r="H272" s="19">
        <f t="shared" si="80"/>
        <v>0.11023266720022189</v>
      </c>
      <c r="I272" s="11">
        <f t="shared" si="81"/>
        <v>14449.05</v>
      </c>
      <c r="J272" s="11">
        <f t="shared" si="82"/>
        <v>13884.63</v>
      </c>
      <c r="K272" s="12">
        <f>(B272-MAX($B$2:B272))/MAX($B$2:B272)</f>
        <v>-2.0766763212806343E-2</v>
      </c>
      <c r="L272" s="12">
        <f t="shared" si="83"/>
        <v>1.4260153719769075E-2</v>
      </c>
      <c r="M272" s="15">
        <f t="shared" ref="M272:M335" si="100">IF(X272=0,100,100-(100/(1+X272)))</f>
        <v>48.805585137589333</v>
      </c>
      <c r="N272" s="11">
        <f t="shared" si="93"/>
        <v>14153.814707568836</v>
      </c>
      <c r="O272" s="11">
        <f t="shared" si="94"/>
        <v>14099.142650920239</v>
      </c>
      <c r="P272" s="11">
        <f t="shared" si="90"/>
        <v>54.672056648596481</v>
      </c>
      <c r="Q272" s="11">
        <f t="shared" si="95"/>
        <v>84.758446112777335</v>
      </c>
      <c r="R272" s="11">
        <f t="shared" si="91"/>
        <v>-30.086389464180854</v>
      </c>
      <c r="S272" s="9">
        <f t="shared" si="92"/>
        <v>60</v>
      </c>
      <c r="T272" s="14">
        <f t="shared" si="99"/>
        <v>9.227062340446901E-3</v>
      </c>
      <c r="U272" s="14">
        <f t="shared" si="96"/>
        <v>0</v>
      </c>
      <c r="V272" s="14">
        <f t="shared" ref="V272:W287" si="101">AVERAGE(T259:T272)</f>
        <v>3.0921024986620971E-3</v>
      </c>
      <c r="W272" s="14">
        <f t="shared" si="101"/>
        <v>3.2434480125039006E-3</v>
      </c>
      <c r="X272" s="16">
        <f t="shared" ref="X272:X335" si="102">IF(W272=0,0,V272/W272)</f>
        <v>0.95333807933460091</v>
      </c>
    </row>
    <row r="273" spans="1:24" x14ac:dyDescent="0.25">
      <c r="A273" s="10">
        <v>45575</v>
      </c>
      <c r="B273" s="11">
        <v>14102.73</v>
      </c>
      <c r="C273" s="12">
        <f t="shared" si="97"/>
        <v>-3.2694913205819631E-3</v>
      </c>
      <c r="D273" s="11">
        <f t="shared" si="84"/>
        <v>14162.161499999997</v>
      </c>
      <c r="E273" s="11">
        <f t="shared" si="88"/>
        <v>13990.807999999997</v>
      </c>
      <c r="F273" s="11">
        <f t="shared" si="86"/>
        <v>13464.505937499998</v>
      </c>
      <c r="G273" s="12">
        <f t="shared" si="98"/>
        <v>-3.2748477857939E-3</v>
      </c>
      <c r="H273" s="19">
        <f t="shared" si="80"/>
        <v>0.11063798665733321</v>
      </c>
      <c r="I273" s="11">
        <f t="shared" si="81"/>
        <v>14449.05</v>
      </c>
      <c r="J273" s="11">
        <f t="shared" si="82"/>
        <v>13884.63</v>
      </c>
      <c r="K273" s="12">
        <f>(B273-MAX($B$2:B273))/MAX($B$2:B273)</f>
        <v>-2.3968357781307403E-2</v>
      </c>
      <c r="L273" s="12">
        <f t="shared" si="83"/>
        <v>1.2676834080247223E-2</v>
      </c>
      <c r="M273" s="15">
        <f t="shared" si="100"/>
        <v>44.405637709780635</v>
      </c>
      <c r="N273" s="11">
        <f t="shared" si="93"/>
        <v>14145.955521789016</v>
      </c>
      <c r="O273" s="11">
        <f t="shared" si="94"/>
        <v>14099.408380481702</v>
      </c>
      <c r="P273" s="11">
        <f t="shared" si="90"/>
        <v>46.547141307313723</v>
      </c>
      <c r="Q273" s="11">
        <f t="shared" si="95"/>
        <v>77.116185151684618</v>
      </c>
      <c r="R273" s="11">
        <f t="shared" si="91"/>
        <v>-30.569043844370896</v>
      </c>
      <c r="S273" s="9">
        <f t="shared" si="92"/>
        <v>60</v>
      </c>
      <c r="T273" s="14">
        <f t="shared" si="99"/>
        <v>0</v>
      </c>
      <c r="U273" s="14">
        <f t="shared" si="96"/>
        <v>3.2694913205819631E-3</v>
      </c>
      <c r="V273" s="14">
        <f t="shared" si="101"/>
        <v>2.7772177933972986E-3</v>
      </c>
      <c r="W273" s="14">
        <f t="shared" si="101"/>
        <v>3.4769831068311836E-3</v>
      </c>
      <c r="X273" s="16">
        <f t="shared" si="102"/>
        <v>0.79874353946124588</v>
      </c>
    </row>
    <row r="274" spans="1:24" x14ac:dyDescent="0.25">
      <c r="A274" s="10">
        <v>45576</v>
      </c>
      <c r="B274" s="11">
        <v>14101.61</v>
      </c>
      <c r="C274" s="12">
        <f t="shared" si="97"/>
        <v>-7.9417247582536099E-5</v>
      </c>
      <c r="D274" s="11">
        <f t="shared" si="84"/>
        <v>14170.932499999999</v>
      </c>
      <c r="E274" s="11">
        <f t="shared" si="88"/>
        <v>13999.627199999997</v>
      </c>
      <c r="F274" s="11">
        <f t="shared" si="86"/>
        <v>13472.929062499996</v>
      </c>
      <c r="G274" s="12">
        <f t="shared" si="98"/>
        <v>-7.9420401299116992E-5</v>
      </c>
      <c r="H274" s="19">
        <f t="shared" si="80"/>
        <v>0.11034764505156464</v>
      </c>
      <c r="I274" s="11">
        <f t="shared" si="81"/>
        <v>14449.05</v>
      </c>
      <c r="J274" s="11">
        <f t="shared" si="82"/>
        <v>13884.63</v>
      </c>
      <c r="K274" s="12">
        <f>(B274-MAX($B$2:B274))/MAX($B$2:B274)</f>
        <v>-2.4045871527885825E-2</v>
      </c>
      <c r="L274" s="12">
        <f t="shared" si="83"/>
        <v>1.5627351971208459E-2</v>
      </c>
      <c r="M274" s="15">
        <f t="shared" si="100"/>
        <v>43.335647892740866</v>
      </c>
      <c r="N274" s="11">
        <f t="shared" si="93"/>
        <v>14139.133133821475</v>
      </c>
      <c r="O274" s="11">
        <f t="shared" si="94"/>
        <v>14099.571463408984</v>
      </c>
      <c r="P274" s="11">
        <f t="shared" si="90"/>
        <v>39.561670412491367</v>
      </c>
      <c r="Q274" s="11">
        <f t="shared" si="95"/>
        <v>69.605282203845974</v>
      </c>
      <c r="R274" s="11">
        <f t="shared" si="91"/>
        <v>-30.043611791354607</v>
      </c>
      <c r="S274" s="9">
        <f t="shared" si="92"/>
        <v>60</v>
      </c>
      <c r="T274" s="14">
        <f t="shared" si="99"/>
        <v>0</v>
      </c>
      <c r="U274" s="14">
        <f t="shared" si="96"/>
        <v>7.9417247582536099E-5</v>
      </c>
      <c r="V274" s="14">
        <f t="shared" si="101"/>
        <v>2.6634583905735016E-3</v>
      </c>
      <c r="W274" s="14">
        <f t="shared" si="101"/>
        <v>3.4826557673727936E-3</v>
      </c>
      <c r="X274" s="16">
        <f t="shared" si="102"/>
        <v>0.76477796500190176</v>
      </c>
    </row>
    <row r="275" spans="1:24" x14ac:dyDescent="0.25">
      <c r="A275" s="10">
        <v>45579</v>
      </c>
      <c r="B275" s="11">
        <v>14048.66</v>
      </c>
      <c r="C275" s="12">
        <f t="shared" si="97"/>
        <v>-3.7548903990396454E-3</v>
      </c>
      <c r="D275" s="11">
        <f t="shared" si="84"/>
        <v>14179.133999999996</v>
      </c>
      <c r="E275" s="11">
        <f t="shared" si="88"/>
        <v>14005.137199999999</v>
      </c>
      <c r="F275" s="11">
        <f t="shared" si="86"/>
        <v>13481.1854375</v>
      </c>
      <c r="G275" s="12">
        <f t="shared" si="98"/>
        <v>-3.7619576968266331E-3</v>
      </c>
      <c r="H275" s="19">
        <f t="shared" si="80"/>
        <v>0.11071707878904005</v>
      </c>
      <c r="I275" s="11">
        <f t="shared" si="81"/>
        <v>14449.05</v>
      </c>
      <c r="J275" s="11">
        <f t="shared" si="82"/>
        <v>13998.92</v>
      </c>
      <c r="K275" s="12">
        <f>(B275-MAX($B$2:B275))/MAX($B$2:B275)</f>
        <v>-2.7710472314788823E-2</v>
      </c>
      <c r="L275" s="12">
        <f t="shared" si="83"/>
        <v>3.553131241552876E-3</v>
      </c>
      <c r="M275" s="15">
        <f t="shared" si="100"/>
        <v>44.1508020700537</v>
      </c>
      <c r="N275" s="11">
        <f t="shared" si="93"/>
        <v>14125.214190156632</v>
      </c>
      <c r="O275" s="11">
        <f t="shared" si="94"/>
        <v>14095.800243897207</v>
      </c>
      <c r="P275" s="11">
        <f t="shared" si="90"/>
        <v>29.413946259424847</v>
      </c>
      <c r="Q275" s="11">
        <f t="shared" si="95"/>
        <v>61.567015014961754</v>
      </c>
      <c r="R275" s="11">
        <f t="shared" si="91"/>
        <v>-32.153068755536907</v>
      </c>
      <c r="S275" s="9">
        <f t="shared" si="92"/>
        <v>60</v>
      </c>
      <c r="T275" s="14">
        <f t="shared" si="99"/>
        <v>0</v>
      </c>
      <c r="U275" s="14">
        <f t="shared" si="96"/>
        <v>3.7548903990396454E-3</v>
      </c>
      <c r="V275" s="14">
        <f t="shared" si="101"/>
        <v>2.6634583905735016E-3</v>
      </c>
      <c r="W275" s="14">
        <f t="shared" si="101"/>
        <v>3.3691803514077079E-3</v>
      </c>
      <c r="X275" s="16">
        <f t="shared" si="102"/>
        <v>0.79053600958484094</v>
      </c>
    </row>
    <row r="276" spans="1:24" x14ac:dyDescent="0.25">
      <c r="A276" s="10">
        <v>45580</v>
      </c>
      <c r="B276" s="11">
        <v>13939.72</v>
      </c>
      <c r="C276" s="12">
        <f t="shared" si="97"/>
        <v>-7.7544762276260393E-3</v>
      </c>
      <c r="D276" s="11">
        <f t="shared" si="84"/>
        <v>14176.173999999995</v>
      </c>
      <c r="E276" s="11">
        <f t="shared" si="88"/>
        <v>14005.830199999999</v>
      </c>
      <c r="F276" s="11">
        <f t="shared" si="86"/>
        <v>13487.863187499999</v>
      </c>
      <c r="G276" s="12">
        <f t="shared" si="98"/>
        <v>-7.7846985184811916E-3</v>
      </c>
      <c r="H276" s="19">
        <f t="shared" si="80"/>
        <v>0.11068100373859781</v>
      </c>
      <c r="I276" s="11">
        <f t="shared" si="81"/>
        <v>14449.05</v>
      </c>
      <c r="J276" s="11">
        <f t="shared" si="82"/>
        <v>13939.72</v>
      </c>
      <c r="K276" s="12">
        <f>(B276-MAX($B$2:B276))/MAX($B$2:B276)</f>
        <v>-3.5250068343593517E-2</v>
      </c>
      <c r="L276" s="12">
        <f t="shared" si="83"/>
        <v>-1.0528079136629453E-2</v>
      </c>
      <c r="M276" s="15">
        <f t="shared" si="100"/>
        <v>36.070604867536503</v>
      </c>
      <c r="N276" s="11">
        <f t="shared" si="93"/>
        <v>14096.676622440227</v>
      </c>
      <c r="O276" s="11">
        <f t="shared" si="94"/>
        <v>14084.238744349266</v>
      </c>
      <c r="P276" s="11">
        <f t="shared" si="90"/>
        <v>12.437878090961021</v>
      </c>
      <c r="Q276" s="11">
        <f t="shared" si="95"/>
        <v>51.741187630161612</v>
      </c>
      <c r="R276" s="11">
        <f t="shared" si="91"/>
        <v>-39.30330953920059</v>
      </c>
      <c r="S276" s="9">
        <f t="shared" si="92"/>
        <v>60</v>
      </c>
      <c r="T276" s="14">
        <f t="shared" si="99"/>
        <v>0</v>
      </c>
      <c r="U276" s="14">
        <f t="shared" si="96"/>
        <v>7.7544762276260393E-3</v>
      </c>
      <c r="V276" s="14">
        <f t="shared" si="101"/>
        <v>2.213497594181641E-3</v>
      </c>
      <c r="W276" s="14">
        <f t="shared" si="101"/>
        <v>3.9230715105238534E-3</v>
      </c>
      <c r="X276" s="16">
        <f t="shared" si="102"/>
        <v>0.56422565539369163</v>
      </c>
    </row>
    <row r="277" spans="1:24" x14ac:dyDescent="0.25">
      <c r="A277" s="10">
        <v>45581</v>
      </c>
      <c r="B277" s="11">
        <v>13834.74</v>
      </c>
      <c r="C277" s="12">
        <f t="shared" si="97"/>
        <v>-7.5309977531829997E-3</v>
      </c>
      <c r="D277" s="11">
        <f t="shared" si="84"/>
        <v>14163.509</v>
      </c>
      <c r="E277" s="11">
        <f t="shared" si="88"/>
        <v>14002.838399999999</v>
      </c>
      <c r="F277" s="11">
        <f t="shared" si="86"/>
        <v>13493.579625000004</v>
      </c>
      <c r="G277" s="12">
        <f t="shared" si="98"/>
        <v>-7.5594989016519124E-3</v>
      </c>
      <c r="H277" s="19">
        <f t="shared" ref="H277:H340" si="103">STDEV(G258:G277)*SQRT(252)</f>
        <v>0.11075963449750306</v>
      </c>
      <c r="I277" s="11">
        <f t="shared" ref="I277:I340" si="104">MAX(B258:B277)</f>
        <v>14449.05</v>
      </c>
      <c r="J277" s="11">
        <f t="shared" ref="J277:J340" si="105">MIN(B258:B277)</f>
        <v>13834.74</v>
      </c>
      <c r="K277" s="12">
        <f>(B277-MAX($B$2:B277))/MAX($B$2:B277)</f>
        <v>-4.251559791128133E-2</v>
      </c>
      <c r="L277" s="12">
        <f t="shared" ref="L277:L340" si="106">(B277/B258)-1</f>
        <v>-2.4646211699812404E-2</v>
      </c>
      <c r="M277" s="15">
        <f t="shared" si="100"/>
        <v>28.449475650342222</v>
      </c>
      <c r="N277" s="11">
        <f t="shared" si="93"/>
        <v>14056.378680526346</v>
      </c>
      <c r="O277" s="11">
        <f t="shared" si="94"/>
        <v>14065.757355878952</v>
      </c>
      <c r="P277" s="11">
        <f t="shared" si="90"/>
        <v>-9.3786753526055691</v>
      </c>
      <c r="Q277" s="11">
        <f t="shared" si="95"/>
        <v>39.517215033608174</v>
      </c>
      <c r="R277" s="11">
        <f t="shared" si="91"/>
        <v>-48.895890386213743</v>
      </c>
      <c r="S277" s="9">
        <f t="shared" si="92"/>
        <v>60</v>
      </c>
      <c r="T277" s="14">
        <f t="shared" si="99"/>
        <v>0</v>
      </c>
      <c r="U277" s="14">
        <f t="shared" si="96"/>
        <v>7.5309977531829997E-3</v>
      </c>
      <c r="V277" s="14">
        <f t="shared" si="101"/>
        <v>1.7737551163385459E-3</v>
      </c>
      <c r="W277" s="14">
        <f t="shared" si="101"/>
        <v>4.4609999214654961E-3</v>
      </c>
      <c r="X277" s="16">
        <f t="shared" si="102"/>
        <v>0.39761379680899983</v>
      </c>
    </row>
    <row r="278" spans="1:24" x14ac:dyDescent="0.25">
      <c r="A278" s="10">
        <v>45582</v>
      </c>
      <c r="B278" s="11">
        <v>14125.26</v>
      </c>
      <c r="C278" s="12">
        <f t="shared" si="97"/>
        <v>2.0999310431565776E-2</v>
      </c>
      <c r="D278" s="11">
        <f t="shared" ref="D278:D341" si="107">AVERAGE(B259:B278)</f>
        <v>14160.555499999999</v>
      </c>
      <c r="E278" s="11">
        <f t="shared" si="88"/>
        <v>14005.7842</v>
      </c>
      <c r="F278" s="11">
        <f t="shared" si="86"/>
        <v>13501.325437500001</v>
      </c>
      <c r="G278" s="12">
        <f t="shared" si="98"/>
        <v>2.0781863796958389E-2</v>
      </c>
      <c r="H278" s="19">
        <f t="shared" si="103"/>
        <v>0.13261685858424749</v>
      </c>
      <c r="I278" s="11">
        <f t="shared" si="104"/>
        <v>14449.05</v>
      </c>
      <c r="J278" s="11">
        <f t="shared" si="105"/>
        <v>13834.74</v>
      </c>
      <c r="K278" s="12">
        <f>(B278-MAX($B$2:B278))/MAX($B$2:B278)</f>
        <v>-2.2409085718438172E-2</v>
      </c>
      <c r="L278" s="12">
        <f t="shared" si="106"/>
        <v>-8.535214075241826E-3</v>
      </c>
      <c r="M278" s="15">
        <f t="shared" si="100"/>
        <v>39.264581055596032</v>
      </c>
      <c r="N278" s="11">
        <f t="shared" si="93"/>
        <v>14066.975806599216</v>
      </c>
      <c r="O278" s="11">
        <f t="shared" si="94"/>
        <v>14070.164959147178</v>
      </c>
      <c r="P278" s="11">
        <f t="shared" si="90"/>
        <v>-3.1891525479622942</v>
      </c>
      <c r="Q278" s="11">
        <f t="shared" si="95"/>
        <v>30.975941517294082</v>
      </c>
      <c r="R278" s="11">
        <f t="shared" si="91"/>
        <v>-34.165094065256376</v>
      </c>
      <c r="S278" s="9">
        <f t="shared" si="92"/>
        <v>60</v>
      </c>
      <c r="T278" s="14">
        <f t="shared" si="99"/>
        <v>2.0999310431565776E-2</v>
      </c>
      <c r="U278" s="14">
        <f t="shared" si="96"/>
        <v>0</v>
      </c>
      <c r="V278" s="14">
        <f t="shared" si="101"/>
        <v>2.8839727468699433E-3</v>
      </c>
      <c r="W278" s="14">
        <f t="shared" si="101"/>
        <v>4.4609999214654961E-3</v>
      </c>
      <c r="X278" s="16">
        <f t="shared" si="102"/>
        <v>0.6464857201617078</v>
      </c>
    </row>
    <row r="279" spans="1:24" x14ac:dyDescent="0.25">
      <c r="A279" s="10">
        <v>45583</v>
      </c>
      <c r="B279" s="11">
        <v>14080.57</v>
      </c>
      <c r="C279" s="12">
        <f t="shared" si="97"/>
        <v>-3.1638355683364372E-3</v>
      </c>
      <c r="D279" s="11">
        <f t="shared" si="107"/>
        <v>14152.241</v>
      </c>
      <c r="E279" s="11">
        <f t="shared" si="88"/>
        <v>14007.373799999996</v>
      </c>
      <c r="F279" s="11">
        <f t="shared" si="86"/>
        <v>13508.320000000002</v>
      </c>
      <c r="G279" s="12">
        <f t="shared" si="98"/>
        <v>-3.1688510777133352E-3</v>
      </c>
      <c r="H279" s="19">
        <f t="shared" si="103"/>
        <v>0.13184812734340481</v>
      </c>
      <c r="I279" s="11">
        <f t="shared" si="104"/>
        <v>14449.05</v>
      </c>
      <c r="J279" s="11">
        <f t="shared" si="105"/>
        <v>13834.74</v>
      </c>
      <c r="K279" s="12">
        <f>(B279-MAX($B$2:B279))/MAX($B$2:B279)</f>
        <v>-2.5502022624324754E-2</v>
      </c>
      <c r="L279" s="12">
        <f t="shared" si="106"/>
        <v>-1.324358511655932E-2</v>
      </c>
      <c r="M279" s="15">
        <f t="shared" si="100"/>
        <v>40.087367146930234</v>
      </c>
      <c r="N279" s="11">
        <f t="shared" si="93"/>
        <v>14069.067220968565</v>
      </c>
      <c r="O279" s="11">
        <f t="shared" si="94"/>
        <v>14070.935702914054</v>
      </c>
      <c r="P279" s="11">
        <f t="shared" si="90"/>
        <v>-1.8684819454883836</v>
      </c>
      <c r="Q279" s="11">
        <f t="shared" si="95"/>
        <v>24.407056824737591</v>
      </c>
      <c r="R279" s="11">
        <f t="shared" si="91"/>
        <v>-26.275538770225975</v>
      </c>
      <c r="S279" s="9">
        <f t="shared" si="92"/>
        <v>60</v>
      </c>
      <c r="T279" s="14">
        <f t="shared" si="99"/>
        <v>0</v>
      </c>
      <c r="U279" s="14">
        <f t="shared" si="96"/>
        <v>3.1638355683364372E-3</v>
      </c>
      <c r="V279" s="14">
        <f t="shared" si="101"/>
        <v>2.8839727468699433E-3</v>
      </c>
      <c r="W279" s="14">
        <f t="shared" si="101"/>
        <v>4.3102456618857666E-3</v>
      </c>
      <c r="X279" s="16">
        <f t="shared" si="102"/>
        <v>0.669097070817115</v>
      </c>
    </row>
    <row r="280" spans="1:24" x14ac:dyDescent="0.25">
      <c r="A280" s="10">
        <v>45586</v>
      </c>
      <c r="B280" s="11">
        <v>14080.13</v>
      </c>
      <c r="C280" s="12">
        <f t="shared" si="97"/>
        <v>-3.1248734958966295E-5</v>
      </c>
      <c r="D280" s="11">
        <f t="shared" si="107"/>
        <v>14142.77</v>
      </c>
      <c r="E280" s="11">
        <f t="shared" si="88"/>
        <v>14016.927999999998</v>
      </c>
      <c r="F280" s="11">
        <f t="shared" si="86"/>
        <v>13515.153499999997</v>
      </c>
      <c r="G280" s="12">
        <f t="shared" si="98"/>
        <v>-3.1249223210856094E-5</v>
      </c>
      <c r="H280" s="19">
        <f t="shared" si="103"/>
        <v>0.1316181610105204</v>
      </c>
      <c r="I280" s="11">
        <f t="shared" si="104"/>
        <v>14449.05</v>
      </c>
      <c r="J280" s="11">
        <f t="shared" si="105"/>
        <v>13834.74</v>
      </c>
      <c r="K280" s="12">
        <f>(B280-MAX($B$2:B280))/MAX($B$2:B280)</f>
        <v>-2.553247445333777E-2</v>
      </c>
      <c r="L280" s="12">
        <f t="shared" si="106"/>
        <v>-7.9734804449986818E-3</v>
      </c>
      <c r="M280" s="15">
        <f t="shared" si="100"/>
        <v>45.45771560144339</v>
      </c>
      <c r="N280" s="11">
        <f t="shared" si="93"/>
        <v>14070.769186973401</v>
      </c>
      <c r="O280" s="11">
        <f t="shared" si="94"/>
        <v>14071.616761957457</v>
      </c>
      <c r="P280" s="11">
        <f t="shared" si="90"/>
        <v>-0.84757498405633669</v>
      </c>
      <c r="Q280" s="11">
        <f t="shared" si="95"/>
        <v>19.356130462978808</v>
      </c>
      <c r="R280" s="11">
        <f t="shared" si="91"/>
        <v>-20.203705447035144</v>
      </c>
      <c r="S280" s="9">
        <f t="shared" si="92"/>
        <v>60</v>
      </c>
      <c r="T280" s="14">
        <f t="shared" si="99"/>
        <v>0</v>
      </c>
      <c r="U280" s="14">
        <f t="shared" si="96"/>
        <v>3.1248734958966295E-5</v>
      </c>
      <c r="V280" s="14">
        <f t="shared" si="101"/>
        <v>2.8839727468699433E-3</v>
      </c>
      <c r="W280" s="14">
        <f t="shared" si="101"/>
        <v>3.460324824428096E-3</v>
      </c>
      <c r="X280" s="16">
        <f t="shared" si="102"/>
        <v>0.83343989168606181</v>
      </c>
    </row>
    <row r="281" spans="1:24" x14ac:dyDescent="0.25">
      <c r="A281" s="10">
        <v>45587</v>
      </c>
      <c r="B281" s="11">
        <v>14085.27</v>
      </c>
      <c r="C281" s="12">
        <f t="shared" si="97"/>
        <v>3.6505344766002423E-4</v>
      </c>
      <c r="D281" s="11">
        <f t="shared" si="107"/>
        <v>14137.3685</v>
      </c>
      <c r="E281" s="11">
        <f t="shared" si="88"/>
        <v>14022.528199999995</v>
      </c>
      <c r="F281" s="11">
        <f t="shared" si="86"/>
        <v>13521.416624999998</v>
      </c>
      <c r="G281" s="12">
        <f t="shared" si="98"/>
        <v>3.6498683186192475E-4</v>
      </c>
      <c r="H281" s="19">
        <f t="shared" si="103"/>
        <v>0.13047634578944581</v>
      </c>
      <c r="I281" s="11">
        <f t="shared" si="104"/>
        <v>14449.05</v>
      </c>
      <c r="J281" s="11">
        <f t="shared" si="105"/>
        <v>13834.74</v>
      </c>
      <c r="K281" s="12">
        <f>(B281-MAX($B$2:B281))/MAX($B$2:B281)</f>
        <v>-2.5176741723504235E-2</v>
      </c>
      <c r="L281" s="12">
        <f t="shared" si="106"/>
        <v>-1.3823707125608431E-2</v>
      </c>
      <c r="M281" s="15">
        <f t="shared" si="100"/>
        <v>53.091702274703309</v>
      </c>
      <c r="N281" s="11">
        <f t="shared" si="93"/>
        <v>14073.000081285185</v>
      </c>
      <c r="O281" s="11">
        <f t="shared" si="94"/>
        <v>14072.62811292357</v>
      </c>
      <c r="P281" s="11">
        <f t="shared" si="90"/>
        <v>0.37196836161456304</v>
      </c>
      <c r="Q281" s="11">
        <f t="shared" si="95"/>
        <v>15.55929804270596</v>
      </c>
      <c r="R281" s="11">
        <f t="shared" si="91"/>
        <v>-15.187329681091397</v>
      </c>
      <c r="S281" s="9">
        <f t="shared" si="92"/>
        <v>60</v>
      </c>
      <c r="T281" s="14">
        <f t="shared" si="99"/>
        <v>3.6505344766002423E-4</v>
      </c>
      <c r="U281" s="14">
        <f t="shared" si="96"/>
        <v>0</v>
      </c>
      <c r="V281" s="14">
        <f t="shared" si="101"/>
        <v>2.9100479931313738E-3</v>
      </c>
      <c r="W281" s="14">
        <f t="shared" si="101"/>
        <v>2.5711248991492513E-3</v>
      </c>
      <c r="X281" s="16">
        <f t="shared" si="102"/>
        <v>1.131818992571799</v>
      </c>
    </row>
    <row r="282" spans="1:24" x14ac:dyDescent="0.25">
      <c r="A282" s="10">
        <v>45588</v>
      </c>
      <c r="B282" s="11">
        <v>14118.36</v>
      </c>
      <c r="C282" s="12">
        <f t="shared" si="97"/>
        <v>2.3492627404373412E-3</v>
      </c>
      <c r="D282" s="11">
        <f t="shared" si="107"/>
        <v>14129.151000000002</v>
      </c>
      <c r="E282" s="11">
        <f t="shared" si="88"/>
        <v>14029.274599999997</v>
      </c>
      <c r="F282" s="11">
        <f t="shared" si="86"/>
        <v>13527.674624999996</v>
      </c>
      <c r="G282" s="12">
        <f t="shared" si="98"/>
        <v>2.3465075370129778E-3</v>
      </c>
      <c r="H282" s="19">
        <f t="shared" si="103"/>
        <v>0.12854556390542929</v>
      </c>
      <c r="I282" s="11">
        <f t="shared" si="104"/>
        <v>14449.05</v>
      </c>
      <c r="J282" s="11">
        <f t="shared" si="105"/>
        <v>13834.74</v>
      </c>
      <c r="K282" s="12">
        <f>(B282-MAX($B$2:B282))/MAX($B$2:B282)</f>
        <v>-2.2886625764323515E-2</v>
      </c>
      <c r="L282" s="12">
        <f t="shared" si="106"/>
        <v>-1.7555237623376518E-2</v>
      </c>
      <c r="M282" s="15">
        <f t="shared" si="100"/>
        <v>48.421613797893094</v>
      </c>
      <c r="N282" s="11">
        <f t="shared" si="93"/>
        <v>14079.978530318234</v>
      </c>
      <c r="O282" s="11">
        <f t="shared" si="94"/>
        <v>14076.015660114417</v>
      </c>
      <c r="P282" s="11">
        <f t="shared" si="90"/>
        <v>3.9628702038171468</v>
      </c>
      <c r="Q282" s="11">
        <f t="shared" si="95"/>
        <v>13.240012474928198</v>
      </c>
      <c r="R282" s="11">
        <f t="shared" si="91"/>
        <v>-9.2771422711110514</v>
      </c>
      <c r="S282" s="9">
        <f t="shared" si="92"/>
        <v>60</v>
      </c>
      <c r="T282" s="14">
        <f t="shared" si="99"/>
        <v>2.3492627404373412E-3</v>
      </c>
      <c r="U282" s="14">
        <f t="shared" si="96"/>
        <v>0</v>
      </c>
      <c r="V282" s="14">
        <f t="shared" si="101"/>
        <v>2.4137633233601691E-3</v>
      </c>
      <c r="W282" s="14">
        <f t="shared" si="101"/>
        <v>2.5711248991492513E-3</v>
      </c>
      <c r="X282" s="16">
        <f t="shared" si="102"/>
        <v>0.93879660383626218</v>
      </c>
    </row>
    <row r="283" spans="1:24" x14ac:dyDescent="0.25">
      <c r="A283" s="10">
        <v>45589</v>
      </c>
      <c r="B283" s="11">
        <v>14138.37</v>
      </c>
      <c r="C283" s="12">
        <f t="shared" si="97"/>
        <v>1.4173034261770745E-3</v>
      </c>
      <c r="D283" s="11">
        <f t="shared" si="107"/>
        <v>14117.5375</v>
      </c>
      <c r="E283" s="11">
        <f t="shared" si="88"/>
        <v>14036.079999999998</v>
      </c>
      <c r="F283" s="11">
        <f t="shared" si="86"/>
        <v>13534.171937499999</v>
      </c>
      <c r="G283" s="12">
        <f t="shared" si="98"/>
        <v>1.4162999996708029E-3</v>
      </c>
      <c r="H283" s="19">
        <f t="shared" si="103"/>
        <v>0.12634753892179515</v>
      </c>
      <c r="I283" s="11">
        <f t="shared" si="104"/>
        <v>14449.05</v>
      </c>
      <c r="J283" s="11">
        <f t="shared" si="105"/>
        <v>13834.74</v>
      </c>
      <c r="K283" s="12">
        <f>(B283-MAX($B$2:B283))/MAX($B$2:B283)</f>
        <v>-2.1501759631255928E-2</v>
      </c>
      <c r="L283" s="12">
        <f t="shared" si="106"/>
        <v>-2.150175963125589E-2</v>
      </c>
      <c r="M283" s="15">
        <f t="shared" si="100"/>
        <v>48.836056065306551</v>
      </c>
      <c r="N283" s="11">
        <f t="shared" si="93"/>
        <v>14088.961833346199</v>
      </c>
      <c r="O283" s="11">
        <f t="shared" si="94"/>
        <v>14080.634500105942</v>
      </c>
      <c r="P283" s="11">
        <f t="shared" si="90"/>
        <v>8.3273332402568485</v>
      </c>
      <c r="Q283" s="11">
        <f t="shared" si="95"/>
        <v>12.257476627993929</v>
      </c>
      <c r="R283" s="11">
        <f t="shared" si="91"/>
        <v>-3.9301433877370808</v>
      </c>
      <c r="S283" s="9">
        <f t="shared" si="92"/>
        <v>60</v>
      </c>
      <c r="T283" s="14">
        <f t="shared" si="99"/>
        <v>1.4173034261770745E-3</v>
      </c>
      <c r="U283" s="14">
        <f t="shared" si="96"/>
        <v>0</v>
      </c>
      <c r="V283" s="14">
        <f t="shared" si="101"/>
        <v>2.4541423133062228E-3</v>
      </c>
      <c r="W283" s="14">
        <f t="shared" si="101"/>
        <v>2.5711248991492513E-3</v>
      </c>
      <c r="X283" s="16">
        <f t="shared" si="102"/>
        <v>0.95450139902509745</v>
      </c>
    </row>
    <row r="284" spans="1:24" x14ac:dyDescent="0.25">
      <c r="A284" s="10">
        <v>45590</v>
      </c>
      <c r="B284" s="11">
        <v>14181.53</v>
      </c>
      <c r="C284" s="12">
        <f t="shared" si="97"/>
        <v>3.0526857056365486E-3</v>
      </c>
      <c r="D284" s="11">
        <f t="shared" si="107"/>
        <v>14104.161500000002</v>
      </c>
      <c r="E284" s="11">
        <f t="shared" si="88"/>
        <v>14043.8514</v>
      </c>
      <c r="F284" s="11">
        <f t="shared" si="86"/>
        <v>13540.71875</v>
      </c>
      <c r="G284" s="12">
        <f t="shared" si="98"/>
        <v>3.0480357215177572E-3</v>
      </c>
      <c r="H284" s="19">
        <f t="shared" si="103"/>
        <v>0.12505473115751434</v>
      </c>
      <c r="I284" s="11">
        <f t="shared" si="104"/>
        <v>14372.84</v>
      </c>
      <c r="J284" s="11">
        <f t="shared" si="105"/>
        <v>13834.74</v>
      </c>
      <c r="K284" s="12">
        <f>(B284-MAX($B$2:B284))/MAX($B$2:B284)</f>
        <v>-1.8514712039891801E-2</v>
      </c>
      <c r="L284" s="12">
        <f t="shared" si="106"/>
        <v>-1.3310521789708929E-2</v>
      </c>
      <c r="M284" s="15">
        <f t="shared" si="100"/>
        <v>51.46657658167441</v>
      </c>
      <c r="N284" s="11">
        <f t="shared" si="93"/>
        <v>14103.203089754476</v>
      </c>
      <c r="O284" s="11">
        <f t="shared" si="94"/>
        <v>14088.108240838834</v>
      </c>
      <c r="P284" s="11">
        <f t="shared" si="90"/>
        <v>15.094848915641705</v>
      </c>
      <c r="Q284" s="11">
        <f t="shared" si="95"/>
        <v>12.824951085523486</v>
      </c>
      <c r="R284" s="11">
        <f t="shared" si="91"/>
        <v>2.2698978301182198</v>
      </c>
      <c r="S284" s="9">
        <f t="shared" si="92"/>
        <v>100</v>
      </c>
      <c r="T284" s="14">
        <f t="shared" si="99"/>
        <v>3.0526857056365486E-3</v>
      </c>
      <c r="U284" s="14">
        <f t="shared" si="96"/>
        <v>0</v>
      </c>
      <c r="V284" s="14">
        <f t="shared" si="101"/>
        <v>2.672191292280262E-3</v>
      </c>
      <c r="W284" s="14">
        <f t="shared" si="101"/>
        <v>2.5198993221783317E-3</v>
      </c>
      <c r="X284" s="16">
        <f t="shared" si="102"/>
        <v>1.0604357359683247</v>
      </c>
    </row>
    <row r="285" spans="1:24" x14ac:dyDescent="0.25">
      <c r="A285" s="10">
        <v>45593</v>
      </c>
      <c r="B285" s="11">
        <v>14211.68</v>
      </c>
      <c r="C285" s="12">
        <f t="shared" si="97"/>
        <v>2.126004739968046E-3</v>
      </c>
      <c r="D285" s="11">
        <f t="shared" si="107"/>
        <v>14096.103500000001</v>
      </c>
      <c r="E285" s="11">
        <f t="shared" si="88"/>
        <v>14052.434999999999</v>
      </c>
      <c r="F285" s="11">
        <f t="shared" si="86"/>
        <v>13548.097</v>
      </c>
      <c r="G285" s="12">
        <f t="shared" si="98"/>
        <v>2.1237479898990512E-3</v>
      </c>
      <c r="H285" s="19">
        <f t="shared" si="103"/>
        <v>0.12439801829656374</v>
      </c>
      <c r="I285" s="11">
        <f t="shared" si="104"/>
        <v>14211.68</v>
      </c>
      <c r="J285" s="11">
        <f t="shared" si="105"/>
        <v>13834.74</v>
      </c>
      <c r="K285" s="12">
        <f>(B285-MAX($B$2:B285))/MAX($B$2:B285)</f>
        <v>-1.6428069665479668E-2</v>
      </c>
      <c r="L285" s="12">
        <f t="shared" si="106"/>
        <v>7.2598629568831896E-4</v>
      </c>
      <c r="M285" s="15">
        <f t="shared" si="100"/>
        <v>60.712609598032586</v>
      </c>
      <c r="N285" s="11">
        <f t="shared" si="93"/>
        <v>14119.891845176864</v>
      </c>
      <c r="O285" s="11">
        <f t="shared" si="94"/>
        <v>14097.261704480401</v>
      </c>
      <c r="P285" s="11">
        <f t="shared" si="90"/>
        <v>22.630140696463059</v>
      </c>
      <c r="Q285" s="11">
        <f t="shared" si="95"/>
        <v>14.7859890077114</v>
      </c>
      <c r="R285" s="11">
        <f t="shared" si="91"/>
        <v>7.8441516887516585</v>
      </c>
      <c r="S285" s="9">
        <f t="shared" si="92"/>
        <v>100</v>
      </c>
      <c r="T285" s="14">
        <f t="shared" si="99"/>
        <v>2.126004739968046E-3</v>
      </c>
      <c r="U285" s="14">
        <f t="shared" si="96"/>
        <v>0</v>
      </c>
      <c r="V285" s="14">
        <f t="shared" si="101"/>
        <v>2.8240487737065507E-3</v>
      </c>
      <c r="W285" s="14">
        <f t="shared" si="101"/>
        <v>1.8274540893791849E-3</v>
      </c>
      <c r="X285" s="16">
        <f t="shared" si="102"/>
        <v>1.5453459488363535</v>
      </c>
    </row>
    <row r="286" spans="1:24" x14ac:dyDescent="0.25">
      <c r="A286" s="10">
        <v>45594</v>
      </c>
      <c r="B286" s="11">
        <v>14247.73</v>
      </c>
      <c r="C286" s="12">
        <f t="shared" si="97"/>
        <v>2.5366459137834418E-3</v>
      </c>
      <c r="D286" s="11">
        <f t="shared" si="107"/>
        <v>14098.4215</v>
      </c>
      <c r="E286" s="11">
        <f t="shared" si="88"/>
        <v>14060.9882</v>
      </c>
      <c r="F286" s="11">
        <f t="shared" si="86"/>
        <v>13555.828937499999</v>
      </c>
      <c r="G286" s="12">
        <f t="shared" si="98"/>
        <v>2.533434057951521E-3</v>
      </c>
      <c r="H286" s="19">
        <f t="shared" si="103"/>
        <v>0.11716133896174456</v>
      </c>
      <c r="I286" s="11">
        <f t="shared" si="104"/>
        <v>14247.73</v>
      </c>
      <c r="J286" s="11">
        <f t="shared" si="105"/>
        <v>13834.74</v>
      </c>
      <c r="K286" s="12">
        <f>(B286-MAX($B$2:B286))/MAX($B$2:B286)</f>
        <v>-1.3933095947484417E-2</v>
      </c>
      <c r="L286" s="12">
        <f t="shared" si="106"/>
        <v>1.5911349929908836E-2</v>
      </c>
      <c r="M286" s="15">
        <f t="shared" si="100"/>
        <v>56.214129423473345</v>
      </c>
      <c r="N286" s="11">
        <f t="shared" si="93"/>
        <v>14139.559253611193</v>
      </c>
      <c r="O286" s="11">
        <f t="shared" si="94"/>
        <v>14108.407504148519</v>
      </c>
      <c r="P286" s="11">
        <f t="shared" si="90"/>
        <v>31.151749462673251</v>
      </c>
      <c r="Q286" s="11">
        <f t="shared" si="95"/>
        <v>18.059141098703773</v>
      </c>
      <c r="R286" s="11">
        <f t="shared" si="91"/>
        <v>13.092608363969479</v>
      </c>
      <c r="S286" s="9">
        <f t="shared" si="92"/>
        <v>100</v>
      </c>
      <c r="T286" s="14">
        <f t="shared" si="99"/>
        <v>2.5366459137834418E-3</v>
      </c>
      <c r="U286" s="14">
        <f t="shared" si="96"/>
        <v>0</v>
      </c>
      <c r="V286" s="14">
        <f t="shared" si="101"/>
        <v>2.3461618860877325E-3</v>
      </c>
      <c r="W286" s="14">
        <f t="shared" si="101"/>
        <v>1.8274540893791849E-3</v>
      </c>
      <c r="X286" s="16">
        <f t="shared" si="102"/>
        <v>1.2838417663804407</v>
      </c>
    </row>
    <row r="287" spans="1:24" x14ac:dyDescent="0.25">
      <c r="A287" s="10">
        <v>45595</v>
      </c>
      <c r="B287" s="11">
        <v>14182.32</v>
      </c>
      <c r="C287" s="12">
        <f t="shared" si="97"/>
        <v>-4.5909067619894772E-3</v>
      </c>
      <c r="D287" s="11">
        <f t="shared" si="107"/>
        <v>14106.308500000003</v>
      </c>
      <c r="E287" s="11">
        <f t="shared" si="88"/>
        <v>14067.171399999999</v>
      </c>
      <c r="F287" s="11">
        <f t="shared" si="86"/>
        <v>13563.207812500001</v>
      </c>
      <c r="G287" s="12">
        <f t="shared" si="98"/>
        <v>-4.6014773392020029E-3</v>
      </c>
      <c r="H287" s="19">
        <f t="shared" si="103"/>
        <v>0.10885947431340956</v>
      </c>
      <c r="I287" s="11">
        <f t="shared" si="104"/>
        <v>14247.73</v>
      </c>
      <c r="J287" s="11">
        <f t="shared" si="105"/>
        <v>13834.74</v>
      </c>
      <c r="K287" s="12">
        <f>(B287-MAX($B$2:B287))/MAX($B$2:B287)</f>
        <v>-1.8460037165073107E-2</v>
      </c>
      <c r="L287" s="12">
        <f t="shared" si="106"/>
        <v>1.9321835369485729E-3</v>
      </c>
      <c r="M287" s="15">
        <f t="shared" si="100"/>
        <v>54.970954801035845</v>
      </c>
      <c r="N287" s="11">
        <f t="shared" si="93"/>
        <v>14146.137829978703</v>
      </c>
      <c r="O287" s="11">
        <f t="shared" si="94"/>
        <v>14113.882503841221</v>
      </c>
      <c r="P287" s="11">
        <f t="shared" si="90"/>
        <v>32.255326137481461</v>
      </c>
      <c r="Q287" s="11">
        <f t="shared" si="95"/>
        <v>20.898378106459312</v>
      </c>
      <c r="R287" s="11">
        <f t="shared" si="91"/>
        <v>11.356948031022149</v>
      </c>
      <c r="S287" s="9">
        <f t="shared" si="92"/>
        <v>100</v>
      </c>
      <c r="T287" s="14">
        <f t="shared" si="99"/>
        <v>0</v>
      </c>
      <c r="U287" s="14">
        <f t="shared" si="96"/>
        <v>4.5909067619894772E-3</v>
      </c>
      <c r="V287" s="14">
        <f t="shared" si="101"/>
        <v>2.3461618860877325E-3</v>
      </c>
      <c r="W287" s="14">
        <f t="shared" si="101"/>
        <v>1.9218409066225786E-3</v>
      </c>
      <c r="X287" s="16">
        <f t="shared" si="102"/>
        <v>1.2207888165992109</v>
      </c>
    </row>
    <row r="288" spans="1:24" x14ac:dyDescent="0.25">
      <c r="A288" s="10">
        <v>45596</v>
      </c>
      <c r="B288" s="11">
        <v>14168.1</v>
      </c>
      <c r="C288" s="12">
        <f t="shared" si="97"/>
        <v>-1.0026568290659732E-3</v>
      </c>
      <c r="D288" s="11">
        <f t="shared" si="107"/>
        <v>14106.965</v>
      </c>
      <c r="E288" s="11">
        <f t="shared" si="88"/>
        <v>14072.624999999998</v>
      </c>
      <c r="F288" s="11">
        <f t="shared" si="86"/>
        <v>13570.4931875</v>
      </c>
      <c r="G288" s="12">
        <f t="shared" si="98"/>
        <v>-1.0031598256745073E-3</v>
      </c>
      <c r="H288" s="19">
        <f t="shared" si="103"/>
        <v>0.10397229118537597</v>
      </c>
      <c r="I288" s="11">
        <f t="shared" si="104"/>
        <v>14247.73</v>
      </c>
      <c r="J288" s="11">
        <f t="shared" si="105"/>
        <v>13834.74</v>
      </c>
      <c r="K288" s="12">
        <f>(B288-MAX($B$2:B288))/MAX($B$2:B288)</f>
        <v>-1.9444184911810738E-2</v>
      </c>
      <c r="L288" s="12">
        <f t="shared" si="106"/>
        <v>7.5527474707071107E-5</v>
      </c>
      <c r="M288" s="15">
        <f t="shared" si="100"/>
        <v>54.134512638612598</v>
      </c>
      <c r="N288" s="11">
        <f t="shared" si="93"/>
        <v>14149.516625366596</v>
      </c>
      <c r="O288" s="11">
        <f t="shared" si="94"/>
        <v>14117.898614667798</v>
      </c>
      <c r="P288" s="11">
        <f t="shared" si="90"/>
        <v>31.618010698797661</v>
      </c>
      <c r="Q288" s="11">
        <f t="shared" si="95"/>
        <v>23.042304624926985</v>
      </c>
      <c r="R288" s="11">
        <f t="shared" si="91"/>
        <v>8.575706073870677</v>
      </c>
      <c r="S288" s="9">
        <f t="shared" si="92"/>
        <v>100</v>
      </c>
      <c r="T288" s="14">
        <f t="shared" si="99"/>
        <v>0</v>
      </c>
      <c r="U288" s="14">
        <f t="shared" si="96"/>
        <v>1.0026568290659732E-3</v>
      </c>
      <c r="V288" s="14">
        <f t="shared" ref="V288:W303" si="108">AVERAGE(T275:T288)</f>
        <v>2.3461618860877325E-3</v>
      </c>
      <c r="W288" s="14">
        <f t="shared" si="108"/>
        <v>1.9877865910142528E-3</v>
      </c>
      <c r="X288" s="16">
        <f t="shared" si="102"/>
        <v>1.1802886168432303</v>
      </c>
    </row>
    <row r="289" spans="1:24" x14ac:dyDescent="0.25">
      <c r="A289" s="10">
        <v>45597</v>
      </c>
      <c r="B289" s="11">
        <v>14269.96</v>
      </c>
      <c r="C289" s="12">
        <f t="shared" si="97"/>
        <v>7.1893902499275963E-3</v>
      </c>
      <c r="D289" s="11">
        <f t="shared" si="107"/>
        <v>14112.111499999999</v>
      </c>
      <c r="E289" s="11">
        <f t="shared" si="88"/>
        <v>14079.737599999999</v>
      </c>
      <c r="F289" s="11">
        <f t="shared" ref="F289:F352" si="109">AVERAGE(B130:B289)</f>
        <v>13578.830562500001</v>
      </c>
      <c r="G289" s="12">
        <f t="shared" si="98"/>
        <v>7.1636697865688154E-3</v>
      </c>
      <c r="H289" s="19">
        <f t="shared" si="103"/>
        <v>0.10699100609858454</v>
      </c>
      <c r="I289" s="11">
        <f t="shared" si="104"/>
        <v>14269.96</v>
      </c>
      <c r="J289" s="11">
        <f t="shared" si="105"/>
        <v>13834.74</v>
      </c>
      <c r="K289" s="12">
        <f>(B289-MAX($B$2:B289))/MAX($B$2:B289)</f>
        <v>-1.2394586495305931E-2</v>
      </c>
      <c r="L289" s="12">
        <f t="shared" si="106"/>
        <v>7.9883477068023456E-3</v>
      </c>
      <c r="M289" s="15">
        <f t="shared" si="100"/>
        <v>62.44859610024092</v>
      </c>
      <c r="N289" s="11">
        <f t="shared" si="93"/>
        <v>14168.046375310196</v>
      </c>
      <c r="O289" s="11">
        <f t="shared" si="94"/>
        <v>14129.162420988701</v>
      </c>
      <c r="P289" s="11">
        <f t="shared" si="90"/>
        <v>38.883954321494457</v>
      </c>
      <c r="Q289" s="11">
        <f t="shared" si="95"/>
        <v>26.210634564240479</v>
      </c>
      <c r="R289" s="11">
        <f t="shared" si="91"/>
        <v>12.673319757253978</v>
      </c>
      <c r="S289" s="9">
        <f t="shared" si="92"/>
        <v>100</v>
      </c>
      <c r="T289" s="14">
        <f t="shared" si="99"/>
        <v>7.1893902499275963E-3</v>
      </c>
      <c r="U289" s="14">
        <f t="shared" si="96"/>
        <v>0</v>
      </c>
      <c r="V289" s="14">
        <f t="shared" si="108"/>
        <v>2.8596897610825606E-3</v>
      </c>
      <c r="W289" s="14">
        <f t="shared" si="108"/>
        <v>1.7195801339399924E-3</v>
      </c>
      <c r="X289" s="16">
        <f t="shared" si="102"/>
        <v>1.6630162820794452</v>
      </c>
    </row>
    <row r="290" spans="1:24" x14ac:dyDescent="0.25">
      <c r="A290" s="10">
        <v>45600</v>
      </c>
      <c r="B290" s="11">
        <v>14300.12</v>
      </c>
      <c r="C290" s="12">
        <f t="shared" si="97"/>
        <v>2.1135308017683485E-3</v>
      </c>
      <c r="D290" s="11">
        <f t="shared" si="107"/>
        <v>14119.273999999999</v>
      </c>
      <c r="E290" s="11">
        <f t="shared" si="88"/>
        <v>14087.177599999995</v>
      </c>
      <c r="F290" s="11">
        <f t="shared" si="109"/>
        <v>13587.7345</v>
      </c>
      <c r="G290" s="12">
        <f t="shared" si="98"/>
        <v>2.1113004376193418E-3</v>
      </c>
      <c r="H290" s="19">
        <f t="shared" si="103"/>
        <v>0.10708363372861553</v>
      </c>
      <c r="I290" s="11">
        <f t="shared" si="104"/>
        <v>14300.12</v>
      </c>
      <c r="J290" s="11">
        <f t="shared" si="105"/>
        <v>13834.74</v>
      </c>
      <c r="K290" s="12">
        <f>(B290-MAX($B$2:B290))/MAX($B$2:B290)</f>
        <v>-1.0307252033870633E-2</v>
      </c>
      <c r="L290" s="12">
        <f t="shared" si="106"/>
        <v>2.00069474016078E-2</v>
      </c>
      <c r="M290" s="15">
        <f t="shared" si="100"/>
        <v>72.088299387850213</v>
      </c>
      <c r="N290" s="11">
        <f t="shared" si="93"/>
        <v>14188.365394493243</v>
      </c>
      <c r="O290" s="11">
        <f t="shared" si="94"/>
        <v>14141.825945359909</v>
      </c>
      <c r="P290" s="11">
        <f t="shared" si="90"/>
        <v>46.539449133333619</v>
      </c>
      <c r="Q290" s="11">
        <f t="shared" si="95"/>
        <v>30.27639747805911</v>
      </c>
      <c r="R290" s="11">
        <f t="shared" si="91"/>
        <v>16.263051655274509</v>
      </c>
      <c r="S290" s="9">
        <f t="shared" si="92"/>
        <v>100</v>
      </c>
      <c r="T290" s="14">
        <f t="shared" si="99"/>
        <v>2.1135308017683485E-3</v>
      </c>
      <c r="U290" s="14">
        <f t="shared" si="96"/>
        <v>0</v>
      </c>
      <c r="V290" s="14">
        <f t="shared" si="108"/>
        <v>3.0106562469231568E-3</v>
      </c>
      <c r="W290" s="14">
        <f t="shared" si="108"/>
        <v>1.1656889748238467E-3</v>
      </c>
      <c r="X290" s="16">
        <f t="shared" si="102"/>
        <v>2.5827268782207646</v>
      </c>
    </row>
    <row r="291" spans="1:24" x14ac:dyDescent="0.25">
      <c r="A291" s="10">
        <v>45601</v>
      </c>
      <c r="B291" s="11">
        <v>14296.93</v>
      </c>
      <c r="C291" s="12">
        <f t="shared" si="97"/>
        <v>-2.2307505111851533E-4</v>
      </c>
      <c r="D291" s="11">
        <f t="shared" si="107"/>
        <v>14133.138999999999</v>
      </c>
      <c r="E291" s="11">
        <f t="shared" si="88"/>
        <v>14094.034799999998</v>
      </c>
      <c r="F291" s="11">
        <f t="shared" si="109"/>
        <v>13596.418687500001</v>
      </c>
      <c r="G291" s="12">
        <f t="shared" si="98"/>
        <v>-2.230999360586061E-4</v>
      </c>
      <c r="H291" s="19">
        <f t="shared" si="103"/>
        <v>0.10010864979301075</v>
      </c>
      <c r="I291" s="11">
        <f t="shared" si="104"/>
        <v>14300.12</v>
      </c>
      <c r="J291" s="11">
        <f t="shared" si="105"/>
        <v>13834.74</v>
      </c>
      <c r="K291" s="12">
        <f>(B291-MAX($B$2:B291))/MAX($B$2:B291)</f>
        <v>-1.0528027794214774E-2</v>
      </c>
      <c r="L291" s="12">
        <f t="shared" si="106"/>
        <v>1.0455869994960842E-2</v>
      </c>
      <c r="M291" s="15">
        <f t="shared" si="100"/>
        <v>82.385530525962352</v>
      </c>
      <c r="N291" s="11">
        <f t="shared" si="93"/>
        <v>14205.067641494283</v>
      </c>
      <c r="O291" s="11">
        <f t="shared" si="94"/>
        <v>14153.315134592509</v>
      </c>
      <c r="P291" s="11">
        <f t="shared" si="90"/>
        <v>51.752506901773813</v>
      </c>
      <c r="Q291" s="11">
        <f t="shared" si="95"/>
        <v>34.571619362802053</v>
      </c>
      <c r="R291" s="11">
        <f t="shared" si="91"/>
        <v>17.18088753897176</v>
      </c>
      <c r="S291" s="9">
        <f t="shared" si="92"/>
        <v>100</v>
      </c>
      <c r="T291" s="14">
        <f t="shared" si="99"/>
        <v>0</v>
      </c>
      <c r="U291" s="14">
        <f t="shared" si="96"/>
        <v>2.2307505111851533E-4</v>
      </c>
      <c r="V291" s="14">
        <f t="shared" si="108"/>
        <v>3.0106562469231568E-3</v>
      </c>
      <c r="W291" s="14">
        <f t="shared" si="108"/>
        <v>6.4369449610495496E-4</v>
      </c>
      <c r="X291" s="16">
        <f t="shared" si="102"/>
        <v>4.677150830309829</v>
      </c>
    </row>
    <row r="292" spans="1:24" x14ac:dyDescent="0.25">
      <c r="A292" s="10">
        <v>45603</v>
      </c>
      <c r="B292" s="11">
        <v>14487.67</v>
      </c>
      <c r="C292" s="12">
        <f t="shared" si="97"/>
        <v>1.3341325725173103E-2</v>
      </c>
      <c r="D292" s="11">
        <f t="shared" si="107"/>
        <v>14150.073</v>
      </c>
      <c r="E292" s="11">
        <f t="shared" si="88"/>
        <v>14105.172399999999</v>
      </c>
      <c r="F292" s="11">
        <f t="shared" si="109"/>
        <v>13606.641</v>
      </c>
      <c r="G292" s="12">
        <f t="shared" si="98"/>
        <v>1.3253113947705859E-2</v>
      </c>
      <c r="H292" s="19">
        <f t="shared" si="103"/>
        <v>0.10543154562758769</v>
      </c>
      <c r="I292" s="11">
        <f t="shared" si="104"/>
        <v>14487.67</v>
      </c>
      <c r="J292" s="11">
        <f t="shared" si="105"/>
        <v>13834.74</v>
      </c>
      <c r="K292" s="12">
        <f>(B292-MAX($B$2:B292))/MAX($B$2:B292)</f>
        <v>0</v>
      </c>
      <c r="L292" s="12">
        <f t="shared" si="106"/>
        <v>2.7295424361098997E-2</v>
      </c>
      <c r="M292" s="15">
        <f t="shared" si="100"/>
        <v>79.284788778475672</v>
      </c>
      <c r="N292" s="11">
        <f t="shared" si="93"/>
        <v>14248.544927418239</v>
      </c>
      <c r="O292" s="11">
        <f t="shared" si="94"/>
        <v>14178.082161659731</v>
      </c>
      <c r="P292" s="11">
        <f t="shared" si="90"/>
        <v>70.462765758507885</v>
      </c>
      <c r="Q292" s="11">
        <f t="shared" si="95"/>
        <v>41.749848641943224</v>
      </c>
      <c r="R292" s="11">
        <f t="shared" si="91"/>
        <v>28.712917116564661</v>
      </c>
      <c r="S292" s="9">
        <f t="shared" si="92"/>
        <v>100</v>
      </c>
      <c r="T292" s="14">
        <f t="shared" si="99"/>
        <v>1.3341325725173103E-2</v>
      </c>
      <c r="U292" s="14">
        <f t="shared" si="96"/>
        <v>0</v>
      </c>
      <c r="V292" s="14">
        <f t="shared" si="108"/>
        <v>2.4636573393236804E-3</v>
      </c>
      <c r="W292" s="14">
        <f t="shared" si="108"/>
        <v>6.4369449610495496E-4</v>
      </c>
      <c r="X292" s="16">
        <f t="shared" si="102"/>
        <v>3.8273705216239398</v>
      </c>
    </row>
    <row r="293" spans="1:24" x14ac:dyDescent="0.25">
      <c r="A293" s="10">
        <v>45604</v>
      </c>
      <c r="B293" s="11">
        <v>14663.22</v>
      </c>
      <c r="C293" s="12">
        <f t="shared" si="97"/>
        <v>1.2117200350366897E-2</v>
      </c>
      <c r="D293" s="11">
        <f t="shared" si="107"/>
        <v>14178.097499999998</v>
      </c>
      <c r="E293" s="11">
        <f t="shared" si="88"/>
        <v>14120.868799999998</v>
      </c>
      <c r="F293" s="11">
        <f t="shared" si="109"/>
        <v>13617.995375000002</v>
      </c>
      <c r="G293" s="12">
        <f t="shared" si="98"/>
        <v>1.2044374782633514E-2</v>
      </c>
      <c r="H293" s="19">
        <f t="shared" si="103"/>
        <v>0.11073105387304416</v>
      </c>
      <c r="I293" s="11">
        <f t="shared" si="104"/>
        <v>14663.22</v>
      </c>
      <c r="J293" s="11">
        <f t="shared" si="105"/>
        <v>13834.74</v>
      </c>
      <c r="K293" s="12">
        <f>(B293-MAX($B$2:B293))/MAX($B$2:B293)</f>
        <v>0</v>
      </c>
      <c r="L293" s="12">
        <f t="shared" si="106"/>
        <v>3.9825948951928147E-2</v>
      </c>
      <c r="M293" s="15">
        <f t="shared" si="100"/>
        <v>88.851885400508792</v>
      </c>
      <c r="N293" s="11">
        <f t="shared" si="93"/>
        <v>14312.341092430819</v>
      </c>
      <c r="O293" s="11">
        <f t="shared" si="94"/>
        <v>14214.018297833085</v>
      </c>
      <c r="P293" s="11">
        <f t="shared" si="90"/>
        <v>98.322794597734173</v>
      </c>
      <c r="Q293" s="11">
        <f t="shared" si="95"/>
        <v>53.064437833101415</v>
      </c>
      <c r="R293" s="11">
        <f t="shared" si="91"/>
        <v>45.258356764632758</v>
      </c>
      <c r="S293" s="9">
        <f t="shared" si="92"/>
        <v>100</v>
      </c>
      <c r="T293" s="14">
        <f t="shared" si="99"/>
        <v>1.2117200350366897E-2</v>
      </c>
      <c r="U293" s="14">
        <f t="shared" si="96"/>
        <v>0</v>
      </c>
      <c r="V293" s="14">
        <f t="shared" si="108"/>
        <v>3.3291716500641728E-3</v>
      </c>
      <c r="W293" s="14">
        <f t="shared" si="108"/>
        <v>4.1770624122378086E-4</v>
      </c>
      <c r="X293" s="16">
        <f t="shared" si="102"/>
        <v>7.9701266620064963</v>
      </c>
    </row>
    <row r="294" spans="1:24" x14ac:dyDescent="0.25">
      <c r="A294" s="10">
        <v>45607</v>
      </c>
      <c r="B294" s="11">
        <v>14691.26</v>
      </c>
      <c r="C294" s="12">
        <f t="shared" si="97"/>
        <v>1.9122675646958687E-3</v>
      </c>
      <c r="D294" s="11">
        <f t="shared" si="107"/>
        <v>14207.580000000002</v>
      </c>
      <c r="E294" s="11">
        <f t="shared" si="88"/>
        <v>14136.523199999998</v>
      </c>
      <c r="F294" s="11">
        <f t="shared" si="109"/>
        <v>13629.273625000005</v>
      </c>
      <c r="G294" s="12">
        <f t="shared" si="98"/>
        <v>1.9104415086442883E-3</v>
      </c>
      <c r="H294" s="19">
        <f t="shared" si="103"/>
        <v>0.11047264423056739</v>
      </c>
      <c r="I294" s="11">
        <f t="shared" si="104"/>
        <v>14691.26</v>
      </c>
      <c r="J294" s="11">
        <f t="shared" si="105"/>
        <v>13834.74</v>
      </c>
      <c r="K294" s="12">
        <f>(B294-MAX($B$2:B294))/MAX($B$2:B294)</f>
        <v>0</v>
      </c>
      <c r="L294" s="12">
        <f t="shared" si="106"/>
        <v>4.5741017292752595E-2</v>
      </c>
      <c r="M294" s="15">
        <f t="shared" si="100"/>
        <v>89.295313448024558</v>
      </c>
      <c r="N294" s="11">
        <f t="shared" si="93"/>
        <v>14370.636308979923</v>
      </c>
      <c r="O294" s="11">
        <f t="shared" si="94"/>
        <v>14249.369535030635</v>
      </c>
      <c r="P294" s="11">
        <f t="shared" si="90"/>
        <v>121.26677394928811</v>
      </c>
      <c r="Q294" s="11">
        <f t="shared" si="95"/>
        <v>66.70490505633876</v>
      </c>
      <c r="R294" s="11">
        <f t="shared" si="91"/>
        <v>54.561868892949349</v>
      </c>
      <c r="S294" s="9">
        <f t="shared" si="92"/>
        <v>100</v>
      </c>
      <c r="T294" s="14">
        <f t="shared" si="99"/>
        <v>1.9122675646958687E-3</v>
      </c>
      <c r="U294" s="14">
        <f t="shared" si="96"/>
        <v>0</v>
      </c>
      <c r="V294" s="14">
        <f t="shared" si="108"/>
        <v>3.4657621903995922E-3</v>
      </c>
      <c r="W294" s="14">
        <f t="shared" si="108"/>
        <v>4.1547418872671182E-4</v>
      </c>
      <c r="X294" s="16">
        <f t="shared" si="102"/>
        <v>8.3417027686388501</v>
      </c>
    </row>
    <row r="295" spans="1:24" x14ac:dyDescent="0.25">
      <c r="A295" s="10">
        <v>45608</v>
      </c>
      <c r="B295" s="11">
        <v>14650.02</v>
      </c>
      <c r="C295" s="12">
        <f t="shared" si="97"/>
        <v>-2.8071111667753446E-3</v>
      </c>
      <c r="D295" s="11">
        <f t="shared" si="107"/>
        <v>14237.648000000001</v>
      </c>
      <c r="E295" s="11">
        <f t="shared" si="88"/>
        <v>14150.822</v>
      </c>
      <c r="F295" s="11">
        <f t="shared" si="109"/>
        <v>13639.781437500002</v>
      </c>
      <c r="G295" s="12">
        <f t="shared" si="98"/>
        <v>-2.811058492111297E-3</v>
      </c>
      <c r="H295" s="19">
        <f t="shared" si="103"/>
        <v>0.10985920021442504</v>
      </c>
      <c r="I295" s="11">
        <f t="shared" si="104"/>
        <v>14691.26</v>
      </c>
      <c r="J295" s="11">
        <f t="shared" si="105"/>
        <v>13834.74</v>
      </c>
      <c r="K295" s="12">
        <f>(B295-MAX($B$2:B295))/MAX($B$2:B295)</f>
        <v>-2.8071111667753333E-3</v>
      </c>
      <c r="L295" s="12">
        <f t="shared" si="106"/>
        <v>5.0955112441283035E-2</v>
      </c>
      <c r="M295" s="15">
        <f t="shared" si="100"/>
        <v>84.811824681197692</v>
      </c>
      <c r="N295" s="11">
        <f t="shared" si="93"/>
        <v>14413.618415290704</v>
      </c>
      <c r="O295" s="11">
        <f t="shared" si="94"/>
        <v>14279.047347250587</v>
      </c>
      <c r="P295" s="11">
        <f t="shared" si="90"/>
        <v>134.5710680401171</v>
      </c>
      <c r="Q295" s="11">
        <f t="shared" si="95"/>
        <v>80.278137653094433</v>
      </c>
      <c r="R295" s="11">
        <f t="shared" si="91"/>
        <v>54.292930387022665</v>
      </c>
      <c r="S295" s="9">
        <f t="shared" si="92"/>
        <v>100</v>
      </c>
      <c r="T295" s="14">
        <f t="shared" si="99"/>
        <v>0</v>
      </c>
      <c r="U295" s="14">
        <f t="shared" si="96"/>
        <v>2.8071111667753446E-3</v>
      </c>
      <c r="V295" s="14">
        <f t="shared" si="108"/>
        <v>3.4396869441381617E-3</v>
      </c>
      <c r="W295" s="14">
        <f t="shared" si="108"/>
        <v>6.1598212921066501E-4</v>
      </c>
      <c r="X295" s="16">
        <f t="shared" si="102"/>
        <v>5.5840693764052265</v>
      </c>
    </row>
    <row r="296" spans="1:24" x14ac:dyDescent="0.25">
      <c r="A296" s="10">
        <v>45609</v>
      </c>
      <c r="B296" s="11">
        <v>14678.1</v>
      </c>
      <c r="C296" s="12">
        <f t="shared" si="97"/>
        <v>1.9167209328041501E-3</v>
      </c>
      <c r="D296" s="11">
        <f t="shared" si="107"/>
        <v>14274.567000000001</v>
      </c>
      <c r="E296" s="11">
        <f t="shared" si="88"/>
        <v>14165.714799999998</v>
      </c>
      <c r="F296" s="11">
        <f t="shared" si="109"/>
        <v>13649.871562500004</v>
      </c>
      <c r="G296" s="12">
        <f t="shared" si="98"/>
        <v>1.9148863670966337E-3</v>
      </c>
      <c r="H296" s="19">
        <f t="shared" si="103"/>
        <v>0.10350023126713191</v>
      </c>
      <c r="I296" s="11">
        <f t="shared" si="104"/>
        <v>14691.26</v>
      </c>
      <c r="J296" s="11">
        <f t="shared" si="105"/>
        <v>13834.74</v>
      </c>
      <c r="K296" s="12">
        <f>(B296-MAX($B$2:B296))/MAX($B$2:B296)</f>
        <v>-8.957706827052175E-4</v>
      </c>
      <c r="L296" s="12">
        <f t="shared" si="106"/>
        <v>6.0959584350699814E-2</v>
      </c>
      <c r="M296" s="15">
        <f t="shared" si="100"/>
        <v>84.695233892249377</v>
      </c>
      <c r="N296" s="11">
        <f t="shared" si="93"/>
        <v>14454.307889861364</v>
      </c>
      <c r="O296" s="11">
        <f t="shared" si="94"/>
        <v>14308.606803009803</v>
      </c>
      <c r="P296" s="11">
        <f t="shared" si="90"/>
        <v>145.70108685156083</v>
      </c>
      <c r="Q296" s="11">
        <f t="shared" si="95"/>
        <v>93.362727492787727</v>
      </c>
      <c r="R296" s="11">
        <f t="shared" si="91"/>
        <v>52.338359358773104</v>
      </c>
      <c r="S296" s="9">
        <f t="shared" si="92"/>
        <v>100</v>
      </c>
      <c r="T296" s="14">
        <f t="shared" si="99"/>
        <v>1.9167209328041501E-3</v>
      </c>
      <c r="U296" s="14">
        <f t="shared" si="96"/>
        <v>0</v>
      </c>
      <c r="V296" s="14">
        <f t="shared" si="108"/>
        <v>3.4087911007357912E-3</v>
      </c>
      <c r="W296" s="14">
        <f t="shared" si="108"/>
        <v>6.1598212921066501E-4</v>
      </c>
      <c r="X296" s="16">
        <f t="shared" si="102"/>
        <v>5.5339123313591934</v>
      </c>
    </row>
    <row r="297" spans="1:24" x14ac:dyDescent="0.25">
      <c r="A297" s="10">
        <v>45610</v>
      </c>
      <c r="B297" s="11">
        <v>14751.03</v>
      </c>
      <c r="C297" s="12">
        <f t="shared" si="97"/>
        <v>4.9686267296176201E-3</v>
      </c>
      <c r="D297" s="11">
        <f t="shared" si="107"/>
        <v>14320.3815</v>
      </c>
      <c r="E297" s="11">
        <f t="shared" si="88"/>
        <v>14181.3712</v>
      </c>
      <c r="F297" s="11">
        <f t="shared" si="109"/>
        <v>13660.280312500001</v>
      </c>
      <c r="G297" s="12">
        <f t="shared" si="98"/>
        <v>4.9563238393125503E-3</v>
      </c>
      <c r="H297" s="19">
        <f t="shared" si="103"/>
        <v>9.6537548289282127E-2</v>
      </c>
      <c r="I297" s="11">
        <f t="shared" si="104"/>
        <v>14751.03</v>
      </c>
      <c r="J297" s="11">
        <f t="shared" si="105"/>
        <v>14080.13</v>
      </c>
      <c r="K297" s="12">
        <f>(B297-MAX($B$2:B297))/MAX($B$2:B297)</f>
        <v>0</v>
      </c>
      <c r="L297" s="12">
        <f t="shared" si="106"/>
        <v>4.4301485423985154E-2</v>
      </c>
      <c r="M297" s="15">
        <f t="shared" si="100"/>
        <v>85.602643785087253</v>
      </c>
      <c r="N297" s="11">
        <f t="shared" si="93"/>
        <v>14499.957445267308</v>
      </c>
      <c r="O297" s="11">
        <f t="shared" si="94"/>
        <v>14341.378891675744</v>
      </c>
      <c r="P297" s="11">
        <f t="shared" si="90"/>
        <v>158.57855359156383</v>
      </c>
      <c r="Q297" s="11">
        <f t="shared" si="95"/>
        <v>106.40589271254295</v>
      </c>
      <c r="R297" s="11">
        <f t="shared" si="91"/>
        <v>52.172660879020881</v>
      </c>
      <c r="S297" s="9">
        <f t="shared" si="92"/>
        <v>100</v>
      </c>
      <c r="T297" s="14">
        <f t="shared" si="99"/>
        <v>4.9686267296176201E-3</v>
      </c>
      <c r="U297" s="14">
        <f t="shared" si="96"/>
        <v>0</v>
      </c>
      <c r="V297" s="14">
        <f t="shared" si="108"/>
        <v>3.6624570509815441E-3</v>
      </c>
      <c r="W297" s="14">
        <f t="shared" si="108"/>
        <v>6.1598212921066501E-4</v>
      </c>
      <c r="X297" s="16">
        <f t="shared" si="102"/>
        <v>5.9457196520858631</v>
      </c>
    </row>
    <row r="298" spans="1:24" x14ac:dyDescent="0.25">
      <c r="A298" s="10">
        <v>45611</v>
      </c>
      <c r="B298" s="11">
        <v>14862.45</v>
      </c>
      <c r="C298" s="12">
        <f t="shared" si="97"/>
        <v>7.553370849357588E-3</v>
      </c>
      <c r="D298" s="11">
        <f t="shared" si="107"/>
        <v>14357.241</v>
      </c>
      <c r="E298" s="11">
        <f t="shared" si="88"/>
        <v>14200.706599999998</v>
      </c>
      <c r="F298" s="11">
        <f t="shared" si="109"/>
        <v>13671.704500000002</v>
      </c>
      <c r="G298" s="12">
        <f t="shared" si="98"/>
        <v>7.524986983401631E-3</v>
      </c>
      <c r="H298" s="19">
        <f t="shared" si="103"/>
        <v>7.3166933697250969E-2</v>
      </c>
      <c r="I298" s="11">
        <f t="shared" si="104"/>
        <v>14862.45</v>
      </c>
      <c r="J298" s="11">
        <f t="shared" si="105"/>
        <v>14080.13</v>
      </c>
      <c r="K298" s="12">
        <f>(B298-MAX($B$2:B298))/MAX($B$2:B298)</f>
        <v>0</v>
      </c>
      <c r="L298" s="12">
        <f t="shared" si="106"/>
        <v>5.5529002021935225E-2</v>
      </c>
      <c r="M298" s="15">
        <f t="shared" si="100"/>
        <v>86.608841623404842</v>
      </c>
      <c r="N298" s="11">
        <f t="shared" si="93"/>
        <v>14555.725530610798</v>
      </c>
      <c r="O298" s="11">
        <f t="shared" si="94"/>
        <v>14379.976751551614</v>
      </c>
      <c r="P298" s="11">
        <f t="shared" si="90"/>
        <v>175.74877905918402</v>
      </c>
      <c r="Q298" s="11">
        <f t="shared" si="95"/>
        <v>120.27446998187116</v>
      </c>
      <c r="R298" s="11">
        <f t="shared" si="91"/>
        <v>55.474309077312853</v>
      </c>
      <c r="S298" s="9">
        <f t="shared" si="92"/>
        <v>100</v>
      </c>
      <c r="T298" s="14">
        <f t="shared" si="99"/>
        <v>7.553370849357588E-3</v>
      </c>
      <c r="U298" s="14">
        <f t="shared" si="96"/>
        <v>0</v>
      </c>
      <c r="V298" s="14">
        <f t="shared" si="108"/>
        <v>3.9839345612473331E-3</v>
      </c>
      <c r="W298" s="14">
        <f t="shared" si="108"/>
        <v>6.1598212921066501E-4</v>
      </c>
      <c r="X298" s="16">
        <f t="shared" si="102"/>
        <v>6.4676138678770547</v>
      </c>
    </row>
    <row r="299" spans="1:24" x14ac:dyDescent="0.25">
      <c r="A299" s="10">
        <v>45615</v>
      </c>
      <c r="B299" s="11">
        <v>14976.79</v>
      </c>
      <c r="C299" s="12">
        <f t="shared" si="97"/>
        <v>7.6932134338552061E-3</v>
      </c>
      <c r="D299" s="11">
        <f t="shared" si="107"/>
        <v>14402.052</v>
      </c>
      <c r="E299" s="11">
        <f t="shared" si="88"/>
        <v>14223.286799999996</v>
      </c>
      <c r="F299" s="11">
        <f t="shared" si="109"/>
        <v>13684.297750000002</v>
      </c>
      <c r="G299" s="12">
        <f t="shared" si="98"/>
        <v>7.6637715726550776E-3</v>
      </c>
      <c r="H299" s="19">
        <f t="shared" si="103"/>
        <v>7.2044905297884099E-2</v>
      </c>
      <c r="I299" s="11">
        <f t="shared" si="104"/>
        <v>14976.79</v>
      </c>
      <c r="J299" s="11">
        <f t="shared" si="105"/>
        <v>14080.13</v>
      </c>
      <c r="K299" s="12">
        <f>(B299-MAX($B$2:B299))/MAX($B$2:B299)</f>
        <v>0</v>
      </c>
      <c r="L299" s="12">
        <f t="shared" si="106"/>
        <v>6.3682650657344908E-2</v>
      </c>
      <c r="M299" s="15">
        <f t="shared" si="100"/>
        <v>87.674378143985621</v>
      </c>
      <c r="N299" s="11">
        <f t="shared" si="93"/>
        <v>14620.504679747599</v>
      </c>
      <c r="O299" s="11">
        <f t="shared" si="94"/>
        <v>14424.185140325568</v>
      </c>
      <c r="P299" s="11">
        <f t="shared" si="90"/>
        <v>196.31953942203108</v>
      </c>
      <c r="Q299" s="11">
        <f t="shared" si="95"/>
        <v>135.48348386990315</v>
      </c>
      <c r="R299" s="11">
        <f t="shared" si="91"/>
        <v>60.836055552127931</v>
      </c>
      <c r="S299" s="9">
        <f t="shared" si="92"/>
        <v>100</v>
      </c>
      <c r="T299" s="14">
        <f t="shared" si="99"/>
        <v>7.6932134338552061E-3</v>
      </c>
      <c r="U299" s="14">
        <f t="shared" si="96"/>
        <v>0</v>
      </c>
      <c r="V299" s="14">
        <f t="shared" si="108"/>
        <v>4.3815923250964161E-3</v>
      </c>
      <c r="W299" s="14">
        <f t="shared" si="108"/>
        <v>6.1598212921066501E-4</v>
      </c>
      <c r="X299" s="16">
        <f t="shared" si="102"/>
        <v>7.113180914373439</v>
      </c>
    </row>
    <row r="300" spans="1:24" x14ac:dyDescent="0.25">
      <c r="A300" s="10">
        <v>45616</v>
      </c>
      <c r="B300" s="11">
        <v>14986.56</v>
      </c>
      <c r="C300" s="12">
        <f t="shared" si="97"/>
        <v>6.5234272497627366E-4</v>
      </c>
      <c r="D300" s="11">
        <f t="shared" si="107"/>
        <v>14447.373499999998</v>
      </c>
      <c r="E300" s="11">
        <f t="shared" si="88"/>
        <v>14244.8896</v>
      </c>
      <c r="F300" s="11">
        <f t="shared" si="109"/>
        <v>13696.854000000001</v>
      </c>
      <c r="G300" s="12">
        <f t="shared" si="98"/>
        <v>6.521300419506488E-4</v>
      </c>
      <c r="H300" s="19">
        <f t="shared" si="103"/>
        <v>7.1692799261151435E-2</v>
      </c>
      <c r="I300" s="11">
        <f t="shared" si="104"/>
        <v>14986.56</v>
      </c>
      <c r="J300" s="11">
        <f t="shared" si="105"/>
        <v>14085.27</v>
      </c>
      <c r="K300" s="12">
        <f>(B300-MAX($B$2:B300))/MAX($B$2:B300)</f>
        <v>0</v>
      </c>
      <c r="L300" s="12">
        <f t="shared" si="106"/>
        <v>6.3988123763335736E-2</v>
      </c>
      <c r="M300" s="15">
        <f t="shared" si="100"/>
        <v>87.333241021903333</v>
      </c>
      <c r="N300" s="11">
        <f t="shared" si="93"/>
        <v>14676.820882863352</v>
      </c>
      <c r="O300" s="11">
        <f t="shared" si="94"/>
        <v>14465.842537338489</v>
      </c>
      <c r="P300" s="11">
        <f t="shared" si="90"/>
        <v>210.97834552486347</v>
      </c>
      <c r="Q300" s="11">
        <f t="shared" si="95"/>
        <v>150.58245620089522</v>
      </c>
      <c r="R300" s="11">
        <f t="shared" si="91"/>
        <v>60.395889323968248</v>
      </c>
      <c r="S300" s="9">
        <f t="shared" si="92"/>
        <v>100</v>
      </c>
      <c r="T300" s="14">
        <f t="shared" si="99"/>
        <v>6.5234272497627366E-4</v>
      </c>
      <c r="U300" s="14">
        <f t="shared" si="96"/>
        <v>0</v>
      </c>
      <c r="V300" s="14">
        <f t="shared" si="108"/>
        <v>4.2469992401816181E-3</v>
      </c>
      <c r="W300" s="14">
        <f t="shared" si="108"/>
        <v>6.1598212921066501E-4</v>
      </c>
      <c r="X300" s="16">
        <f t="shared" si="102"/>
        <v>6.8946793076997697</v>
      </c>
    </row>
    <row r="301" spans="1:24" x14ac:dyDescent="0.25">
      <c r="A301" s="10">
        <v>45617</v>
      </c>
      <c r="B301" s="11">
        <v>14868.14</v>
      </c>
      <c r="C301" s="12">
        <f t="shared" si="97"/>
        <v>-7.9017466316486651E-3</v>
      </c>
      <c r="D301" s="11">
        <f t="shared" si="107"/>
        <v>14486.517000000002</v>
      </c>
      <c r="E301" s="11">
        <f t="shared" si="88"/>
        <v>14264.0254</v>
      </c>
      <c r="F301" s="11">
        <f t="shared" si="109"/>
        <v>13708.660437500002</v>
      </c>
      <c r="G301" s="12">
        <f t="shared" si="98"/>
        <v>-7.933130867744E-3</v>
      </c>
      <c r="H301" s="19">
        <f t="shared" si="103"/>
        <v>8.1325201866798286E-2</v>
      </c>
      <c r="I301" s="11">
        <f t="shared" si="104"/>
        <v>14986.56</v>
      </c>
      <c r="J301" s="11">
        <f t="shared" si="105"/>
        <v>14118.36</v>
      </c>
      <c r="K301" s="12">
        <f>(B301-MAX($B$2:B301))/MAX($B$2:B301)</f>
        <v>-7.9017466316486287E-3</v>
      </c>
      <c r="L301" s="12">
        <f t="shared" si="106"/>
        <v>5.310673477656036E-2</v>
      </c>
      <c r="M301" s="15">
        <f t="shared" si="100"/>
        <v>83.283150939638531</v>
      </c>
      <c r="N301" s="11">
        <f t="shared" si="93"/>
        <v>14706.254593192067</v>
      </c>
      <c r="O301" s="11">
        <f t="shared" si="94"/>
        <v>14495.64234938749</v>
      </c>
      <c r="P301" s="11">
        <f t="shared" si="90"/>
        <v>210.61224380457679</v>
      </c>
      <c r="Q301" s="11">
        <f t="shared" si="95"/>
        <v>162.58841372163153</v>
      </c>
      <c r="R301" s="11">
        <f t="shared" si="91"/>
        <v>48.023830082945267</v>
      </c>
      <c r="S301" s="9">
        <f t="shared" si="92"/>
        <v>100</v>
      </c>
      <c r="T301" s="14">
        <f t="shared" si="99"/>
        <v>0</v>
      </c>
      <c r="U301" s="14">
        <f t="shared" si="96"/>
        <v>7.9017466316486651E-3</v>
      </c>
      <c r="V301" s="14">
        <f t="shared" si="108"/>
        <v>4.2469992401816181E-3</v>
      </c>
      <c r="W301" s="14">
        <f t="shared" si="108"/>
        <v>8.5247069132917839E-4</v>
      </c>
      <c r="X301" s="16">
        <f t="shared" si="102"/>
        <v>4.9819885696711363</v>
      </c>
    </row>
    <row r="302" spans="1:24" x14ac:dyDescent="0.25">
      <c r="A302" s="10">
        <v>45618</v>
      </c>
      <c r="B302" s="11">
        <v>14886.65</v>
      </c>
      <c r="C302" s="12">
        <f t="shared" si="97"/>
        <v>1.2449438867270235E-3</v>
      </c>
      <c r="D302" s="11">
        <f t="shared" si="107"/>
        <v>14524.931500000002</v>
      </c>
      <c r="E302" s="11">
        <f t="shared" si="88"/>
        <v>14282.124800000001</v>
      </c>
      <c r="F302" s="11">
        <f t="shared" si="109"/>
        <v>13720.681812500003</v>
      </c>
      <c r="G302" s="12">
        <f t="shared" si="98"/>
        <v>1.2441695866599373E-3</v>
      </c>
      <c r="H302" s="19">
        <f t="shared" si="103"/>
        <v>8.1483550401012197E-2</v>
      </c>
      <c r="I302" s="11">
        <f t="shared" si="104"/>
        <v>14986.56</v>
      </c>
      <c r="J302" s="11">
        <f t="shared" si="105"/>
        <v>14138.37</v>
      </c>
      <c r="K302" s="12">
        <f>(B302-MAX($B$2:B302))/MAX($B$2:B302)</f>
        <v>-6.6666399760852294E-3</v>
      </c>
      <c r="L302" s="12">
        <f t="shared" si="106"/>
        <v>5.2925478679649585E-2</v>
      </c>
      <c r="M302" s="15">
        <f t="shared" si="100"/>
        <v>84.739368627473723</v>
      </c>
      <c r="N302" s="11">
        <f t="shared" si="93"/>
        <v>14734.007732700979</v>
      </c>
      <c r="O302" s="11">
        <f t="shared" si="94"/>
        <v>14524.605879062492</v>
      </c>
      <c r="P302" s="11">
        <f t="shared" si="90"/>
        <v>209.4018536384865</v>
      </c>
      <c r="Q302" s="11">
        <f t="shared" si="95"/>
        <v>171.95110170500254</v>
      </c>
      <c r="R302" s="11">
        <f t="shared" si="91"/>
        <v>37.450751933483957</v>
      </c>
      <c r="S302" s="9">
        <f t="shared" si="92"/>
        <v>100</v>
      </c>
      <c r="T302" s="14">
        <f t="shared" si="99"/>
        <v>1.2449438867270235E-3</v>
      </c>
      <c r="U302" s="14">
        <f t="shared" si="96"/>
        <v>0</v>
      </c>
      <c r="V302" s="14">
        <f t="shared" si="108"/>
        <v>4.3359238035192626E-3</v>
      </c>
      <c r="W302" s="14">
        <f t="shared" si="108"/>
        <v>7.8085234639589467E-4</v>
      </c>
      <c r="X302" s="16">
        <f t="shared" si="102"/>
        <v>5.5528088293928688</v>
      </c>
    </row>
    <row r="303" spans="1:24" x14ac:dyDescent="0.25">
      <c r="A303" s="10">
        <v>45621</v>
      </c>
      <c r="B303" s="11">
        <v>14718.68</v>
      </c>
      <c r="C303" s="12">
        <f t="shared" si="97"/>
        <v>-1.1283263863931747E-2</v>
      </c>
      <c r="D303" s="11">
        <f t="shared" si="107"/>
        <v>14553.947</v>
      </c>
      <c r="E303" s="11">
        <f t="shared" si="88"/>
        <v>14297.497200000002</v>
      </c>
      <c r="F303" s="11">
        <f t="shared" si="109"/>
        <v>13731.807937500005</v>
      </c>
      <c r="G303" s="12">
        <f t="shared" si="98"/>
        <v>-1.1347402806449313E-2</v>
      </c>
      <c r="H303" s="19">
        <f t="shared" si="103"/>
        <v>9.5445115356446536E-2</v>
      </c>
      <c r="I303" s="11">
        <f t="shared" si="104"/>
        <v>14986.56</v>
      </c>
      <c r="J303" s="11">
        <f t="shared" si="105"/>
        <v>14168.1</v>
      </c>
      <c r="K303" s="12">
        <f>(B303-MAX($B$2:B303))/MAX($B$2:B303)</f>
        <v>-1.787468238208096E-2</v>
      </c>
      <c r="L303" s="12">
        <f t="shared" si="106"/>
        <v>3.7876731213063675E-2</v>
      </c>
      <c r="M303" s="15">
        <f t="shared" si="100"/>
        <v>70.664774301381158</v>
      </c>
      <c r="N303" s="11">
        <f t="shared" si="93"/>
        <v>14731.64961997775</v>
      </c>
      <c r="O303" s="11">
        <f t="shared" si="94"/>
        <v>14538.981739872677</v>
      </c>
      <c r="P303" s="11">
        <f t="shared" si="90"/>
        <v>192.66788010507298</v>
      </c>
      <c r="Q303" s="11">
        <f t="shared" si="95"/>
        <v>176.09445738501663</v>
      </c>
      <c r="R303" s="11">
        <f t="shared" si="91"/>
        <v>16.573422720056357</v>
      </c>
      <c r="S303" s="9">
        <f t="shared" si="92"/>
        <v>100</v>
      </c>
      <c r="T303" s="14">
        <f t="shared" si="99"/>
        <v>0</v>
      </c>
      <c r="U303" s="14">
        <f t="shared" si="96"/>
        <v>1.1283263863931747E-2</v>
      </c>
      <c r="V303" s="14">
        <f t="shared" si="108"/>
        <v>3.8223959285244341E-3</v>
      </c>
      <c r="W303" s="14">
        <f t="shared" si="108"/>
        <v>1.5867997652481622E-3</v>
      </c>
      <c r="X303" s="16">
        <f t="shared" si="102"/>
        <v>2.408870994461386</v>
      </c>
    </row>
    <row r="304" spans="1:24" x14ac:dyDescent="0.25">
      <c r="A304" s="10">
        <v>45622</v>
      </c>
      <c r="B304" s="11">
        <v>14811.74</v>
      </c>
      <c r="C304" s="12">
        <f t="shared" si="97"/>
        <v>6.3225778398605659E-3</v>
      </c>
      <c r="D304" s="11">
        <f t="shared" si="107"/>
        <v>14585.4575</v>
      </c>
      <c r="E304" s="11">
        <f t="shared" si="88"/>
        <v>14315.208200000001</v>
      </c>
      <c r="F304" s="11">
        <f t="shared" si="109"/>
        <v>13743.243937500007</v>
      </c>
      <c r="G304" s="12">
        <f t="shared" si="98"/>
        <v>6.3026741954299382E-3</v>
      </c>
      <c r="H304" s="19">
        <f t="shared" si="103"/>
        <v>9.6606143026474939E-2</v>
      </c>
      <c r="I304" s="11">
        <f t="shared" si="104"/>
        <v>14986.56</v>
      </c>
      <c r="J304" s="11">
        <f t="shared" si="105"/>
        <v>14168.1</v>
      </c>
      <c r="K304" s="12">
        <f>(B304-MAX($B$2:B304))/MAX($B$2:B304)</f>
        <v>-1.1665118612943845E-2</v>
      </c>
      <c r="L304" s="12">
        <f t="shared" si="106"/>
        <v>4.2223016561025783E-2</v>
      </c>
      <c r="M304" s="15">
        <f t="shared" si="100"/>
        <v>72.209392308172994</v>
      </c>
      <c r="N304" s="11">
        <f t="shared" si="93"/>
        <v>14743.97121690425</v>
      </c>
      <c r="O304" s="11">
        <f t="shared" si="94"/>
        <v>14559.186055437665</v>
      </c>
      <c r="P304" s="11">
        <f t="shared" si="90"/>
        <v>184.78516146658512</v>
      </c>
      <c r="Q304" s="11">
        <f t="shared" si="95"/>
        <v>177.83259820133031</v>
      </c>
      <c r="R304" s="11">
        <f t="shared" si="91"/>
        <v>6.9525632652548097</v>
      </c>
      <c r="S304" s="9">
        <f t="shared" si="92"/>
        <v>100</v>
      </c>
      <c r="T304" s="14">
        <f t="shared" si="99"/>
        <v>6.3225778398605659E-3</v>
      </c>
      <c r="U304" s="14">
        <f t="shared" si="96"/>
        <v>0</v>
      </c>
      <c r="V304" s="14">
        <f t="shared" ref="V304:W319" si="110">AVERAGE(T291:T304)</f>
        <v>4.1230421455310208E-3</v>
      </c>
      <c r="W304" s="14">
        <f t="shared" si="110"/>
        <v>1.5867997652481622E-3</v>
      </c>
      <c r="X304" s="16">
        <f t="shared" si="102"/>
        <v>2.5983380107736602</v>
      </c>
    </row>
    <row r="305" spans="1:24" x14ac:dyDescent="0.25">
      <c r="A305" s="10">
        <v>45623</v>
      </c>
      <c r="B305" s="11">
        <v>14901.09</v>
      </c>
      <c r="C305" s="12">
        <f t="shared" si="97"/>
        <v>6.0323770198504878E-3</v>
      </c>
      <c r="D305" s="11">
        <f t="shared" si="107"/>
        <v>14619.928000000004</v>
      </c>
      <c r="E305" s="11">
        <f t="shared" si="88"/>
        <v>14335.537399999999</v>
      </c>
      <c r="F305" s="11">
        <f t="shared" si="109"/>
        <v>13755.207375000007</v>
      </c>
      <c r="G305" s="12">
        <f t="shared" si="98"/>
        <v>6.0142550760087137E-3</v>
      </c>
      <c r="H305" s="19">
        <f t="shared" si="103"/>
        <v>9.7561655189068328E-2</v>
      </c>
      <c r="I305" s="11">
        <f t="shared" si="104"/>
        <v>14986.56</v>
      </c>
      <c r="J305" s="11">
        <f t="shared" si="105"/>
        <v>14168.1</v>
      </c>
      <c r="K305" s="12">
        <f>(B305-MAX($B$2:B305))/MAX($B$2:B305)</f>
        <v>-5.7031099865479037E-3</v>
      </c>
      <c r="L305" s="12">
        <f t="shared" si="106"/>
        <v>4.5857129521685192E-2</v>
      </c>
      <c r="M305" s="15">
        <f t="shared" si="100"/>
        <v>74.352340131031852</v>
      </c>
      <c r="N305" s="11">
        <f t="shared" si="93"/>
        <v>14768.143337380519</v>
      </c>
      <c r="O305" s="11">
        <f t="shared" si="94"/>
        <v>14584.512273553395</v>
      </c>
      <c r="P305" s="11">
        <f t="shared" si="90"/>
        <v>183.63106382712431</v>
      </c>
      <c r="Q305" s="11">
        <f t="shared" si="95"/>
        <v>178.99229132648912</v>
      </c>
      <c r="R305" s="11">
        <f t="shared" si="91"/>
        <v>4.6387725006351843</v>
      </c>
      <c r="S305" s="9">
        <f t="shared" si="92"/>
        <v>100</v>
      </c>
      <c r="T305" s="14">
        <f t="shared" si="99"/>
        <v>6.0323770198504878E-3</v>
      </c>
      <c r="U305" s="14">
        <f t="shared" si="96"/>
        <v>0</v>
      </c>
      <c r="V305" s="14">
        <f t="shared" si="110"/>
        <v>4.5539262183774843E-3</v>
      </c>
      <c r="W305" s="14">
        <f t="shared" si="110"/>
        <v>1.5708658330254113E-3</v>
      </c>
      <c r="X305" s="16">
        <f t="shared" si="102"/>
        <v>2.8989911949430103</v>
      </c>
    </row>
    <row r="306" spans="1:24" x14ac:dyDescent="0.25">
      <c r="A306" s="10">
        <v>45624</v>
      </c>
      <c r="B306" s="11">
        <v>14888.31</v>
      </c>
      <c r="C306" s="12">
        <f t="shared" si="97"/>
        <v>-8.5765537957294136E-4</v>
      </c>
      <c r="D306" s="11">
        <f t="shared" si="107"/>
        <v>14651.957</v>
      </c>
      <c r="E306" s="11">
        <f t="shared" si="88"/>
        <v>14353.325200000003</v>
      </c>
      <c r="F306" s="11">
        <f t="shared" si="109"/>
        <v>13766.951625000007</v>
      </c>
      <c r="G306" s="12">
        <f t="shared" si="98"/>
        <v>-8.5802337637266499E-4</v>
      </c>
      <c r="H306" s="19">
        <f t="shared" si="103"/>
        <v>9.8226088831227937E-2</v>
      </c>
      <c r="I306" s="11">
        <f t="shared" si="104"/>
        <v>14986.56</v>
      </c>
      <c r="J306" s="11">
        <f t="shared" si="105"/>
        <v>14168.1</v>
      </c>
      <c r="K306" s="12">
        <f>(B306-MAX($B$2:B306))/MAX($B$2:B306)</f>
        <v>-6.5558740631605919E-3</v>
      </c>
      <c r="L306" s="12">
        <f t="shared" si="106"/>
        <v>4.9779584722386749E-2</v>
      </c>
      <c r="M306" s="15">
        <f t="shared" si="100"/>
        <v>68.811478430789251</v>
      </c>
      <c r="N306" s="11">
        <f t="shared" si="93"/>
        <v>14786.630516245054</v>
      </c>
      <c r="O306" s="11">
        <f t="shared" si="94"/>
        <v>14607.015808845736</v>
      </c>
      <c r="P306" s="11">
        <f t="shared" si="90"/>
        <v>179.61470739931792</v>
      </c>
      <c r="Q306" s="11">
        <f t="shared" si="95"/>
        <v>179.11677454105489</v>
      </c>
      <c r="R306" s="11">
        <f t="shared" si="91"/>
        <v>0.49793285826302736</v>
      </c>
      <c r="S306" s="9">
        <f t="shared" si="92"/>
        <v>100</v>
      </c>
      <c r="T306" s="14">
        <f t="shared" si="99"/>
        <v>0</v>
      </c>
      <c r="U306" s="14">
        <f t="shared" si="96"/>
        <v>8.5765537957294136E-4</v>
      </c>
      <c r="V306" s="14">
        <f t="shared" si="110"/>
        <v>3.6009743808651201E-3</v>
      </c>
      <c r="W306" s="14">
        <f t="shared" si="110"/>
        <v>1.6321269315663356E-3</v>
      </c>
      <c r="X306" s="16">
        <f t="shared" si="102"/>
        <v>2.206307800710881</v>
      </c>
    </row>
    <row r="307" spans="1:24" x14ac:dyDescent="0.25">
      <c r="A307" s="10">
        <v>45625</v>
      </c>
      <c r="B307" s="11">
        <v>14837.22</v>
      </c>
      <c r="C307" s="12">
        <f t="shared" si="97"/>
        <v>-3.4315513312122015E-3</v>
      </c>
      <c r="D307" s="11">
        <f t="shared" si="107"/>
        <v>14684.701999999999</v>
      </c>
      <c r="E307" s="11">
        <f t="shared" si="88"/>
        <v>14368.308800000001</v>
      </c>
      <c r="F307" s="11">
        <f t="shared" si="109"/>
        <v>13778.389750000008</v>
      </c>
      <c r="G307" s="12">
        <f t="shared" si="98"/>
        <v>-3.4374526077047209E-3</v>
      </c>
      <c r="H307" s="19">
        <f t="shared" si="103"/>
        <v>9.7239182350632059E-2</v>
      </c>
      <c r="I307" s="11">
        <f t="shared" si="104"/>
        <v>14986.56</v>
      </c>
      <c r="J307" s="11">
        <f t="shared" si="105"/>
        <v>14168.1</v>
      </c>
      <c r="K307" s="12">
        <f>(B307-MAX($B$2:B307))/MAX($B$2:B307)</f>
        <v>-9.9649285760041104E-3</v>
      </c>
      <c r="L307" s="12">
        <f t="shared" si="106"/>
        <v>4.7227221716390932E-2</v>
      </c>
      <c r="M307" s="15">
        <f t="shared" si="100"/>
        <v>59.3028241209255</v>
      </c>
      <c r="N307" s="11">
        <f t="shared" si="93"/>
        <v>14794.413513745814</v>
      </c>
      <c r="O307" s="11">
        <f t="shared" si="94"/>
        <v>14624.067971153459</v>
      </c>
      <c r="P307" s="11">
        <f t="shared" si="90"/>
        <v>170.34554259235483</v>
      </c>
      <c r="Q307" s="11">
        <f t="shared" si="95"/>
        <v>177.3625281513149</v>
      </c>
      <c r="R307" s="11">
        <f t="shared" si="91"/>
        <v>-7.0169855589600729</v>
      </c>
      <c r="S307" s="9">
        <f t="shared" si="92"/>
        <v>60</v>
      </c>
      <c r="T307" s="14">
        <f t="shared" si="99"/>
        <v>0</v>
      </c>
      <c r="U307" s="14">
        <f t="shared" si="96"/>
        <v>3.4315513312122015E-3</v>
      </c>
      <c r="V307" s="14">
        <f t="shared" si="110"/>
        <v>2.7354600701246273E-3</v>
      </c>
      <c r="W307" s="14">
        <f t="shared" si="110"/>
        <v>1.8772377409386357E-3</v>
      </c>
      <c r="X307" s="16">
        <f t="shared" si="102"/>
        <v>1.4571729570900662</v>
      </c>
    </row>
    <row r="308" spans="1:24" x14ac:dyDescent="0.25">
      <c r="A308" s="10">
        <v>45628</v>
      </c>
      <c r="B308" s="11">
        <v>14718.91</v>
      </c>
      <c r="C308" s="12">
        <f t="shared" si="97"/>
        <v>-7.9738657241720245E-3</v>
      </c>
      <c r="D308" s="11">
        <f t="shared" si="107"/>
        <v>14712.242499999997</v>
      </c>
      <c r="E308" s="11">
        <f t="shared" ref="E308:E371" si="111">AVERAGE(B259:B308)</f>
        <v>14379.000400000003</v>
      </c>
      <c r="F308" s="11">
        <f t="shared" si="109"/>
        <v>13788.800625000009</v>
      </c>
      <c r="G308" s="12">
        <f t="shared" si="98"/>
        <v>-8.0058270081717169E-3</v>
      </c>
      <c r="H308" s="19">
        <f t="shared" si="103"/>
        <v>0.10333898468309143</v>
      </c>
      <c r="I308" s="11">
        <f t="shared" si="104"/>
        <v>14986.56</v>
      </c>
      <c r="J308" s="11">
        <f t="shared" si="105"/>
        <v>14269.96</v>
      </c>
      <c r="K308" s="12">
        <f>(B308-MAX($B$2:B308))/MAX($B$2:B308)</f>
        <v>-1.7859335297760102E-2</v>
      </c>
      <c r="L308" s="12">
        <f t="shared" si="106"/>
        <v>3.1461195406294218E-2</v>
      </c>
      <c r="M308" s="15">
        <f t="shared" si="100"/>
        <v>51.50693543462372</v>
      </c>
      <c r="N308" s="11">
        <f t="shared" si="93"/>
        <v>14782.797588554151</v>
      </c>
      <c r="O308" s="11">
        <f t="shared" si="94"/>
        <v>14631.093306623574</v>
      </c>
      <c r="P308" s="11">
        <f t="shared" si="90"/>
        <v>151.70428193057705</v>
      </c>
      <c r="Q308" s="11">
        <f t="shared" si="95"/>
        <v>172.23087890716732</v>
      </c>
      <c r="R308" s="11">
        <f t="shared" si="91"/>
        <v>-20.52659697659027</v>
      </c>
      <c r="S308" s="9">
        <f t="shared" si="92"/>
        <v>60</v>
      </c>
      <c r="T308" s="14">
        <f t="shared" si="99"/>
        <v>0</v>
      </c>
      <c r="U308" s="14">
        <f t="shared" si="96"/>
        <v>7.9738657241720245E-3</v>
      </c>
      <c r="V308" s="14">
        <f t="shared" si="110"/>
        <v>2.5988695297892083E-3</v>
      </c>
      <c r="W308" s="14">
        <f t="shared" si="110"/>
        <v>2.4467995783794944E-3</v>
      </c>
      <c r="X308" s="16">
        <f t="shared" si="102"/>
        <v>1.062150554852731</v>
      </c>
    </row>
    <row r="309" spans="1:24" x14ac:dyDescent="0.25">
      <c r="A309" s="10">
        <v>45629</v>
      </c>
      <c r="B309" s="11">
        <v>14728.12</v>
      </c>
      <c r="C309" s="12">
        <f t="shared" si="97"/>
        <v>6.2572568213270507E-4</v>
      </c>
      <c r="D309" s="11">
        <f t="shared" si="107"/>
        <v>14735.150499999998</v>
      </c>
      <c r="E309" s="11">
        <f t="shared" si="111"/>
        <v>14388.625600000003</v>
      </c>
      <c r="F309" s="11">
        <f t="shared" si="109"/>
        <v>13799.004937500009</v>
      </c>
      <c r="G309" s="12">
        <f t="shared" si="98"/>
        <v>6.2552999744376679E-4</v>
      </c>
      <c r="H309" s="19">
        <f t="shared" si="103"/>
        <v>0.10151789754254428</v>
      </c>
      <c r="I309" s="11">
        <f t="shared" si="104"/>
        <v>14986.56</v>
      </c>
      <c r="J309" s="11">
        <f t="shared" si="105"/>
        <v>14296.93</v>
      </c>
      <c r="K309" s="12">
        <f>(B309-MAX($B$2:B309))/MAX($B$2:B309)</f>
        <v>-1.7244784660388954E-2</v>
      </c>
      <c r="L309" s="12">
        <f t="shared" si="106"/>
        <v>2.9929818770751515E-2</v>
      </c>
      <c r="M309" s="15">
        <f t="shared" si="100"/>
        <v>54.062211595887767</v>
      </c>
      <c r="N309" s="11">
        <f t="shared" si="93"/>
        <v>14774.385651853514</v>
      </c>
      <c r="O309" s="11">
        <f t="shared" si="94"/>
        <v>14638.280469095902</v>
      </c>
      <c r="P309" s="11">
        <f t="shared" si="90"/>
        <v>136.10518275761206</v>
      </c>
      <c r="Q309" s="11">
        <f t="shared" si="95"/>
        <v>165.00573967725629</v>
      </c>
      <c r="R309" s="11">
        <f t="shared" si="91"/>
        <v>-28.900556919644231</v>
      </c>
      <c r="S309" s="9">
        <f t="shared" si="92"/>
        <v>60</v>
      </c>
      <c r="T309" s="14">
        <f t="shared" si="99"/>
        <v>6.2572568213270507E-4</v>
      </c>
      <c r="U309" s="14">
        <f t="shared" si="96"/>
        <v>0</v>
      </c>
      <c r="V309" s="14">
        <f t="shared" si="110"/>
        <v>2.6435642213701155E-3</v>
      </c>
      <c r="W309" s="14">
        <f t="shared" si="110"/>
        <v>2.2462916378955416E-3</v>
      </c>
      <c r="X309" s="16">
        <f t="shared" si="102"/>
        <v>1.1768570815883739</v>
      </c>
    </row>
    <row r="310" spans="1:24" x14ac:dyDescent="0.25">
      <c r="A310" s="10">
        <v>45630</v>
      </c>
      <c r="B310" s="11">
        <v>14749.59</v>
      </c>
      <c r="C310" s="12">
        <f t="shared" si="97"/>
        <v>1.4577556402310954E-3</v>
      </c>
      <c r="D310" s="11">
        <f t="shared" si="107"/>
        <v>14757.624</v>
      </c>
      <c r="E310" s="11">
        <f t="shared" si="111"/>
        <v>14398.226400000001</v>
      </c>
      <c r="F310" s="11">
        <f t="shared" si="109"/>
        <v>13809.274687500007</v>
      </c>
      <c r="G310" s="12">
        <f t="shared" si="98"/>
        <v>1.4566941459520765E-3</v>
      </c>
      <c r="H310" s="19">
        <f t="shared" si="103"/>
        <v>0.1014990580635879</v>
      </c>
      <c r="I310" s="11">
        <f t="shared" si="104"/>
        <v>14986.56</v>
      </c>
      <c r="J310" s="11">
        <f t="shared" si="105"/>
        <v>14296.93</v>
      </c>
      <c r="K310" s="12">
        <f>(B310-MAX($B$2:B310))/MAX($B$2:B310)</f>
        <v>-1.5812167702261182E-2</v>
      </c>
      <c r="L310" s="12">
        <f t="shared" si="106"/>
        <v>3.1661342679861981E-2</v>
      </c>
      <c r="M310" s="15">
        <f t="shared" si="100"/>
        <v>53.752150487555078</v>
      </c>
      <c r="N310" s="11">
        <f t="shared" si="93"/>
        <v>14770.570936183742</v>
      </c>
      <c r="O310" s="11">
        <f t="shared" si="94"/>
        <v>14646.525619533244</v>
      </c>
      <c r="P310" s="11">
        <f t="shared" si="90"/>
        <v>124.04531665049763</v>
      </c>
      <c r="Q310" s="11">
        <f t="shared" si="95"/>
        <v>156.81365507190455</v>
      </c>
      <c r="R310" s="11">
        <f t="shared" si="91"/>
        <v>-32.768338421406924</v>
      </c>
      <c r="S310" s="9">
        <f t="shared" si="92"/>
        <v>60</v>
      </c>
      <c r="T310" s="14">
        <f t="shared" si="99"/>
        <v>1.4577556402310954E-3</v>
      </c>
      <c r="U310" s="14">
        <f t="shared" si="96"/>
        <v>0</v>
      </c>
      <c r="V310" s="14">
        <f t="shared" si="110"/>
        <v>2.6107809861863262E-3</v>
      </c>
      <c r="W310" s="14">
        <f t="shared" si="110"/>
        <v>2.2462916378955416E-3</v>
      </c>
      <c r="X310" s="16">
        <f t="shared" si="102"/>
        <v>1.162262700951983</v>
      </c>
    </row>
    <row r="311" spans="1:24" x14ac:dyDescent="0.25">
      <c r="A311" s="10">
        <v>45631</v>
      </c>
      <c r="B311" s="11">
        <v>14881.52</v>
      </c>
      <c r="C311" s="12">
        <f t="shared" si="97"/>
        <v>8.9446554107606158E-3</v>
      </c>
      <c r="D311" s="11">
        <f t="shared" si="107"/>
        <v>14786.853500000001</v>
      </c>
      <c r="E311" s="11">
        <f t="shared" si="111"/>
        <v>14411.990800000003</v>
      </c>
      <c r="F311" s="11">
        <f t="shared" si="109"/>
        <v>13820.292000000005</v>
      </c>
      <c r="G311" s="12">
        <f t="shared" si="98"/>
        <v>8.9048889362429561E-3</v>
      </c>
      <c r="H311" s="19">
        <f t="shared" si="103"/>
        <v>0.10451414407170274</v>
      </c>
      <c r="I311" s="11">
        <f t="shared" si="104"/>
        <v>14986.56</v>
      </c>
      <c r="J311" s="11">
        <f t="shared" si="105"/>
        <v>14487.67</v>
      </c>
      <c r="K311" s="12">
        <f>(B311-MAX($B$2:B311))/MAX($B$2:B311)</f>
        <v>-7.0089466828944774E-3</v>
      </c>
      <c r="L311" s="12">
        <f t="shared" si="106"/>
        <v>2.7185185747604645E-2</v>
      </c>
      <c r="M311" s="15">
        <f t="shared" si="100"/>
        <v>56.306963409645178</v>
      </c>
      <c r="N311" s="11">
        <f t="shared" si="93"/>
        <v>14787.640022924705</v>
      </c>
      <c r="O311" s="11">
        <f t="shared" si="94"/>
        <v>14663.932610678929</v>
      </c>
      <c r="P311" s="11">
        <f t="shared" si="90"/>
        <v>123.70741224577614</v>
      </c>
      <c r="Q311" s="11">
        <f t="shared" si="95"/>
        <v>150.19240650667888</v>
      </c>
      <c r="R311" s="11">
        <f t="shared" si="91"/>
        <v>-26.484994260902738</v>
      </c>
      <c r="S311" s="9">
        <f t="shared" si="92"/>
        <v>60</v>
      </c>
      <c r="T311" s="14">
        <f t="shared" si="99"/>
        <v>8.9446554107606158E-3</v>
      </c>
      <c r="U311" s="14">
        <f t="shared" si="96"/>
        <v>0</v>
      </c>
      <c r="V311" s="14">
        <f t="shared" si="110"/>
        <v>2.8947830348393972E-3</v>
      </c>
      <c r="W311" s="14">
        <f t="shared" si="110"/>
        <v>2.2462916378955416E-3</v>
      </c>
      <c r="X311" s="16">
        <f t="shared" si="102"/>
        <v>1.2886942131661054</v>
      </c>
    </row>
    <row r="312" spans="1:24" x14ac:dyDescent="0.25">
      <c r="A312" s="10">
        <v>45632</v>
      </c>
      <c r="B312" s="11">
        <v>14762.43</v>
      </c>
      <c r="C312" s="12">
        <f t="shared" si="97"/>
        <v>-8.0025427510093117E-3</v>
      </c>
      <c r="D312" s="11">
        <f t="shared" si="107"/>
        <v>14800.5915</v>
      </c>
      <c r="E312" s="11">
        <f t="shared" si="111"/>
        <v>14421.585200000005</v>
      </c>
      <c r="F312" s="11">
        <f t="shared" si="109"/>
        <v>13829.932500000006</v>
      </c>
      <c r="G312" s="12">
        <f t="shared" si="98"/>
        <v>-8.0347349576152458E-3</v>
      </c>
      <c r="H312" s="19">
        <f t="shared" si="103"/>
        <v>0.10139431249618942</v>
      </c>
      <c r="I312" s="11">
        <f t="shared" si="104"/>
        <v>14986.56</v>
      </c>
      <c r="J312" s="11">
        <f t="shared" si="105"/>
        <v>14650.02</v>
      </c>
      <c r="K312" s="12">
        <f>(B312-MAX($B$2:B312))/MAX($B$2:B312)</f>
        <v>-1.4955400038434385E-2</v>
      </c>
      <c r="L312" s="12">
        <f t="shared" si="106"/>
        <v>6.7659081702382551E-3</v>
      </c>
      <c r="M312" s="15">
        <f t="shared" si="100"/>
        <v>45.528405909766342</v>
      </c>
      <c r="N312" s="11">
        <f t="shared" si="93"/>
        <v>14783.761557859365</v>
      </c>
      <c r="O312" s="11">
        <f t="shared" si="94"/>
        <v>14671.228713591601</v>
      </c>
      <c r="P312" s="11">
        <f t="shared" si="90"/>
        <v>112.53284426776372</v>
      </c>
      <c r="Q312" s="11">
        <f t="shared" si="95"/>
        <v>142.66049405889586</v>
      </c>
      <c r="R312" s="11">
        <f t="shared" si="91"/>
        <v>-30.127649791132143</v>
      </c>
      <c r="S312" s="9">
        <f t="shared" si="92"/>
        <v>60</v>
      </c>
      <c r="T312" s="14">
        <f t="shared" si="99"/>
        <v>0</v>
      </c>
      <c r="U312" s="14">
        <f t="shared" si="96"/>
        <v>8.0025427510093117E-3</v>
      </c>
      <c r="V312" s="14">
        <f t="shared" si="110"/>
        <v>2.3552565455995694E-3</v>
      </c>
      <c r="W312" s="14">
        <f t="shared" si="110"/>
        <v>2.8179018343962065E-3</v>
      </c>
      <c r="X312" s="16">
        <f t="shared" si="102"/>
        <v>0.8358192314759012</v>
      </c>
    </row>
    <row r="313" spans="1:24" x14ac:dyDescent="0.25">
      <c r="A313" s="10">
        <v>45635</v>
      </c>
      <c r="B313" s="11">
        <v>14798.42</v>
      </c>
      <c r="C313" s="12">
        <f t="shared" si="97"/>
        <v>2.4379455143901385E-3</v>
      </c>
      <c r="D313" s="11">
        <f t="shared" si="107"/>
        <v>14807.351499999999</v>
      </c>
      <c r="E313" s="11">
        <f t="shared" si="111"/>
        <v>14430.140800000003</v>
      </c>
      <c r="F313" s="11">
        <f t="shared" si="109"/>
        <v>13839.039562500006</v>
      </c>
      <c r="G313" s="12">
        <f t="shared" si="98"/>
        <v>2.4349785464502739E-3</v>
      </c>
      <c r="H313" s="19">
        <f t="shared" si="103"/>
        <v>9.28095442565533E-2</v>
      </c>
      <c r="I313" s="11">
        <f t="shared" si="104"/>
        <v>14986.56</v>
      </c>
      <c r="J313" s="11">
        <f t="shared" si="105"/>
        <v>14650.02</v>
      </c>
      <c r="K313" s="12">
        <f>(B313-MAX($B$2:B313))/MAX($B$2:B313)</f>
        <v>-1.2553914974483766E-2</v>
      </c>
      <c r="L313" s="12">
        <f t="shared" si="106"/>
        <v>7.2941327020281665E-3</v>
      </c>
      <c r="M313" s="15">
        <f t="shared" si="100"/>
        <v>41.266573269839704</v>
      </c>
      <c r="N313" s="11">
        <f t="shared" si="93"/>
        <v>14786.016702804078</v>
      </c>
      <c r="O313" s="11">
        <f t="shared" si="94"/>
        <v>14680.650290362593</v>
      </c>
      <c r="P313" s="11">
        <f t="shared" si="90"/>
        <v>105.3664124414845</v>
      </c>
      <c r="Q313" s="11">
        <f t="shared" si="95"/>
        <v>135.2016777354136</v>
      </c>
      <c r="R313" s="11">
        <f t="shared" si="91"/>
        <v>-29.835265293929098</v>
      </c>
      <c r="S313" s="9">
        <f t="shared" si="92"/>
        <v>60</v>
      </c>
      <c r="T313" s="14">
        <f t="shared" si="99"/>
        <v>2.4379455143901385E-3</v>
      </c>
      <c r="U313" s="14">
        <f t="shared" si="96"/>
        <v>0</v>
      </c>
      <c r="V313" s="14">
        <f t="shared" si="110"/>
        <v>1.979880265637779E-3</v>
      </c>
      <c r="W313" s="14">
        <f t="shared" si="110"/>
        <v>2.8179018343962065E-3</v>
      </c>
      <c r="X313" s="16">
        <f t="shared" si="102"/>
        <v>0.70260796223300981</v>
      </c>
    </row>
    <row r="314" spans="1:24" x14ac:dyDescent="0.25">
      <c r="A314" s="10">
        <v>45636</v>
      </c>
      <c r="B314" s="11">
        <v>14694.94</v>
      </c>
      <c r="C314" s="12">
        <f t="shared" si="97"/>
        <v>-6.9926384032890088E-3</v>
      </c>
      <c r="D314" s="11">
        <f t="shared" si="107"/>
        <v>14807.535499999998</v>
      </c>
      <c r="E314" s="11">
        <f t="shared" si="111"/>
        <v>14435.0586</v>
      </c>
      <c r="F314" s="11">
        <f t="shared" si="109"/>
        <v>13847.303437500004</v>
      </c>
      <c r="G314" s="12">
        <f t="shared" si="98"/>
        <v>-7.0172014732952153E-3</v>
      </c>
      <c r="H314" s="19">
        <f t="shared" si="103"/>
        <v>9.6302220615697487E-2</v>
      </c>
      <c r="I314" s="11">
        <f t="shared" si="104"/>
        <v>14986.56</v>
      </c>
      <c r="J314" s="11">
        <f t="shared" si="105"/>
        <v>14650.02</v>
      </c>
      <c r="K314" s="12">
        <f>(B314-MAX($B$2:B314))/MAX($B$2:B314)</f>
        <v>-1.9458768389810536E-2</v>
      </c>
      <c r="L314" s="12">
        <f t="shared" si="106"/>
        <v>3.0662074181468935E-3</v>
      </c>
      <c r="M314" s="15">
        <f t="shared" si="100"/>
        <v>36.81983261417367</v>
      </c>
      <c r="N314" s="11">
        <f t="shared" si="93"/>
        <v>14772.004902372681</v>
      </c>
      <c r="O314" s="11">
        <f t="shared" si="94"/>
        <v>14681.708787372771</v>
      </c>
      <c r="P314" s="11">
        <f t="shared" si="90"/>
        <v>90.29611499991006</v>
      </c>
      <c r="Q314" s="11">
        <f t="shared" si="95"/>
        <v>126.22056518831289</v>
      </c>
      <c r="R314" s="11">
        <f t="shared" si="91"/>
        <v>-35.92445018840283</v>
      </c>
      <c r="S314" s="9">
        <f t="shared" si="92"/>
        <v>60</v>
      </c>
      <c r="T314" s="14">
        <f t="shared" si="99"/>
        <v>0</v>
      </c>
      <c r="U314" s="14">
        <f t="shared" si="96"/>
        <v>6.9926384032890088E-3</v>
      </c>
      <c r="V314" s="14">
        <f t="shared" si="110"/>
        <v>1.9332843567109023E-3</v>
      </c>
      <c r="W314" s="14">
        <f t="shared" si="110"/>
        <v>3.3173760060597073E-3</v>
      </c>
      <c r="X314" s="16">
        <f t="shared" si="102"/>
        <v>0.58277516723442124</v>
      </c>
    </row>
    <row r="315" spans="1:24" x14ac:dyDescent="0.25">
      <c r="A315" s="10">
        <v>45637</v>
      </c>
      <c r="B315" s="11">
        <v>14698.63</v>
      </c>
      <c r="C315" s="12">
        <f t="shared" si="97"/>
        <v>2.5110684357998458E-4</v>
      </c>
      <c r="D315" s="11">
        <f t="shared" si="107"/>
        <v>14809.965999999997</v>
      </c>
      <c r="E315" s="11">
        <f t="shared" si="111"/>
        <v>14441.574400000001</v>
      </c>
      <c r="F315" s="11">
        <f t="shared" si="109"/>
        <v>13855.655312500003</v>
      </c>
      <c r="G315" s="12">
        <f t="shared" si="98"/>
        <v>2.5107532153336224E-4</v>
      </c>
      <c r="H315" s="19">
        <f t="shared" si="103"/>
        <v>9.572310195606383E-2</v>
      </c>
      <c r="I315" s="11">
        <f t="shared" si="104"/>
        <v>14986.56</v>
      </c>
      <c r="J315" s="11">
        <f t="shared" si="105"/>
        <v>14678.1</v>
      </c>
      <c r="K315" s="12">
        <f>(B315-MAX($B$2:B315))/MAX($B$2:B315)</f>
        <v>-1.9212547776140777E-2</v>
      </c>
      <c r="L315" s="12">
        <f t="shared" si="106"/>
        <v>1.3986823907725654E-3</v>
      </c>
      <c r="M315" s="15">
        <f t="shared" si="100"/>
        <v>41.478388005556312</v>
      </c>
      <c r="N315" s="11">
        <f t="shared" si="93"/>
        <v>14760.716455853806</v>
      </c>
      <c r="O315" s="11">
        <f t="shared" si="94"/>
        <v>14682.962210530344</v>
      </c>
      <c r="P315" s="11">
        <f t="shared" si="90"/>
        <v>77.754245323461873</v>
      </c>
      <c r="Q315" s="11">
        <f t="shared" si="95"/>
        <v>116.52730121534269</v>
      </c>
      <c r="R315" s="11">
        <f t="shared" si="91"/>
        <v>-38.773055891880816</v>
      </c>
      <c r="S315" s="9">
        <f t="shared" si="92"/>
        <v>60</v>
      </c>
      <c r="T315" s="14">
        <f t="shared" si="99"/>
        <v>2.5110684357998458E-4</v>
      </c>
      <c r="U315" s="14">
        <f t="shared" si="96"/>
        <v>0</v>
      </c>
      <c r="V315" s="14">
        <f t="shared" si="110"/>
        <v>1.9512205598237584E-3</v>
      </c>
      <c r="W315" s="14">
        <f t="shared" si="110"/>
        <v>2.7529655323705166E-3</v>
      </c>
      <c r="X315" s="16">
        <f t="shared" si="102"/>
        <v>0.70877042842726989</v>
      </c>
    </row>
    <row r="316" spans="1:24" x14ac:dyDescent="0.25">
      <c r="A316" s="10">
        <v>45638</v>
      </c>
      <c r="B316" s="11">
        <v>14677.92</v>
      </c>
      <c r="C316" s="12">
        <f t="shared" si="97"/>
        <v>-1.4089748500369925E-3</v>
      </c>
      <c r="D316" s="11">
        <f t="shared" si="107"/>
        <v>14809.956999999999</v>
      </c>
      <c r="E316" s="11">
        <f t="shared" si="111"/>
        <v>14451.105400000002</v>
      </c>
      <c r="F316" s="11">
        <f t="shared" si="109"/>
        <v>13863.737125000003</v>
      </c>
      <c r="G316" s="12">
        <f t="shared" si="98"/>
        <v>-1.4099683884577685E-3</v>
      </c>
      <c r="H316" s="19">
        <f t="shared" si="103"/>
        <v>9.5644776354251476E-2</v>
      </c>
      <c r="I316" s="11">
        <f t="shared" si="104"/>
        <v>14986.56</v>
      </c>
      <c r="J316" s="11">
        <f t="shared" si="105"/>
        <v>14677.92</v>
      </c>
      <c r="K316" s="12">
        <f>(B316-MAX($B$2:B316))/MAX($B$2:B316)</f>
        <v>-2.0594452629556045E-2</v>
      </c>
      <c r="L316" s="12">
        <f t="shared" si="106"/>
        <v>-4.9562640710513195E-3</v>
      </c>
      <c r="M316" s="15">
        <f t="shared" si="100"/>
        <v>39.489704486337033</v>
      </c>
      <c r="N316" s="11">
        <f t="shared" si="93"/>
        <v>14747.978539568605</v>
      </c>
      <c r="O316" s="11">
        <f t="shared" si="94"/>
        <v>14682.588713454023</v>
      </c>
      <c r="P316" s="11">
        <f t="shared" si="90"/>
        <v>65.38982611458232</v>
      </c>
      <c r="Q316" s="11">
        <f t="shared" si="95"/>
        <v>106.29980619519061</v>
      </c>
      <c r="R316" s="11">
        <f t="shared" si="91"/>
        <v>-40.909980080608292</v>
      </c>
      <c r="S316" s="9">
        <f t="shared" si="92"/>
        <v>60</v>
      </c>
      <c r="T316" s="14">
        <f t="shared" si="99"/>
        <v>0</v>
      </c>
      <c r="U316" s="14">
        <f t="shared" si="96"/>
        <v>1.4089748500369925E-3</v>
      </c>
      <c r="V316" s="14">
        <f t="shared" si="110"/>
        <v>1.8622959964861138E-3</v>
      </c>
      <c r="W316" s="14">
        <f t="shared" si="110"/>
        <v>2.8536065930874449E-3</v>
      </c>
      <c r="X316" s="16">
        <f t="shared" si="102"/>
        <v>0.65261133086716494</v>
      </c>
    </row>
    <row r="317" spans="1:24" x14ac:dyDescent="0.25">
      <c r="A317" s="10">
        <v>45639</v>
      </c>
      <c r="B317" s="11">
        <v>14704.81</v>
      </c>
      <c r="C317" s="12">
        <f t="shared" si="97"/>
        <v>1.8320034446297484E-3</v>
      </c>
      <c r="D317" s="11">
        <f t="shared" si="107"/>
        <v>14807.645999999999</v>
      </c>
      <c r="E317" s="11">
        <f t="shared" si="111"/>
        <v>14464.710000000005</v>
      </c>
      <c r="F317" s="11">
        <f t="shared" si="109"/>
        <v>13871.544375000001</v>
      </c>
      <c r="G317" s="12">
        <f t="shared" si="98"/>
        <v>1.8303273730529044E-3</v>
      </c>
      <c r="H317" s="19">
        <f t="shared" si="103"/>
        <v>9.4127645196182247E-2</v>
      </c>
      <c r="I317" s="11">
        <f t="shared" si="104"/>
        <v>14986.56</v>
      </c>
      <c r="J317" s="11">
        <f t="shared" si="105"/>
        <v>14677.92</v>
      </c>
      <c r="K317" s="12">
        <f>(B317-MAX($B$2:B317))/MAX($B$2:B317)</f>
        <v>-1.8800178293083936E-2</v>
      </c>
      <c r="L317" s="12">
        <f t="shared" si="106"/>
        <v>-1.0606595816975095E-2</v>
      </c>
      <c r="M317" s="15">
        <f t="shared" si="100"/>
        <v>49.325559054736026</v>
      </c>
      <c r="N317" s="11">
        <f t="shared" si="93"/>
        <v>14741.337225788819</v>
      </c>
      <c r="O317" s="11">
        <f t="shared" si="94"/>
        <v>14684.234734679651</v>
      </c>
      <c r="P317" s="11">
        <f t="shared" si="90"/>
        <v>57.102491109168113</v>
      </c>
      <c r="Q317" s="11">
        <f t="shared" si="95"/>
        <v>96.460343177986118</v>
      </c>
      <c r="R317" s="11">
        <f t="shared" si="91"/>
        <v>-39.357852068818005</v>
      </c>
      <c r="S317" s="9">
        <f t="shared" si="92"/>
        <v>60</v>
      </c>
      <c r="T317" s="14">
        <f t="shared" si="99"/>
        <v>1.8320034446297484E-3</v>
      </c>
      <c r="U317" s="14">
        <f t="shared" si="96"/>
        <v>0</v>
      </c>
      <c r="V317" s="14">
        <f t="shared" si="110"/>
        <v>1.9931533853882388E-3</v>
      </c>
      <c r="W317" s="14">
        <f t="shared" si="110"/>
        <v>2.0476591742351774E-3</v>
      </c>
      <c r="X317" s="16">
        <f t="shared" si="102"/>
        <v>0.97338141545587187</v>
      </c>
    </row>
    <row r="318" spans="1:24" x14ac:dyDescent="0.25">
      <c r="A318" s="10">
        <v>45642</v>
      </c>
      <c r="B318" s="11">
        <v>14703.51</v>
      </c>
      <c r="C318" s="12">
        <f t="shared" si="97"/>
        <v>-8.840644659802166E-5</v>
      </c>
      <c r="D318" s="11">
        <f t="shared" si="107"/>
        <v>14799.698999999999</v>
      </c>
      <c r="E318" s="11">
        <f t="shared" si="111"/>
        <v>14475.680800000004</v>
      </c>
      <c r="F318" s="11">
        <f t="shared" si="109"/>
        <v>13879.357875000002</v>
      </c>
      <c r="G318" s="12">
        <f t="shared" si="98"/>
        <v>-8.8410354678256398E-5</v>
      </c>
      <c r="H318" s="19">
        <f t="shared" si="103"/>
        <v>8.9660229015269252E-2</v>
      </c>
      <c r="I318" s="11">
        <f t="shared" si="104"/>
        <v>14986.56</v>
      </c>
      <c r="J318" s="11">
        <f t="shared" si="105"/>
        <v>14677.92</v>
      </c>
      <c r="K318" s="12">
        <f>(B318-MAX($B$2:B318))/MAX($B$2:B318)</f>
        <v>-1.8886922682723673E-2</v>
      </c>
      <c r="L318" s="12">
        <f t="shared" si="106"/>
        <v>-1.8246900704356639E-2</v>
      </c>
      <c r="M318" s="15">
        <f t="shared" si="100"/>
        <v>42.873993093261561</v>
      </c>
      <c r="N318" s="11">
        <f t="shared" si="93"/>
        <v>14735.517652590539</v>
      </c>
      <c r="O318" s="11">
        <f t="shared" si="94"/>
        <v>14685.662532110788</v>
      </c>
      <c r="P318" s="11">
        <f t="shared" si="90"/>
        <v>49.855120479751349</v>
      </c>
      <c r="Q318" s="11">
        <f t="shared" si="95"/>
        <v>87.13929863833917</v>
      </c>
      <c r="R318" s="11">
        <f t="shared" si="91"/>
        <v>-37.284178158587821</v>
      </c>
      <c r="S318" s="9">
        <f t="shared" si="92"/>
        <v>60</v>
      </c>
      <c r="T318" s="14">
        <f t="shared" si="99"/>
        <v>0</v>
      </c>
      <c r="U318" s="14">
        <f t="shared" si="96"/>
        <v>8.840644659802166E-5</v>
      </c>
      <c r="V318" s="14">
        <f t="shared" si="110"/>
        <v>1.5415406825410555E-3</v>
      </c>
      <c r="W318" s="14">
        <f t="shared" si="110"/>
        <v>2.0539739204207502E-3</v>
      </c>
      <c r="X318" s="16">
        <f t="shared" si="102"/>
        <v>0.75051619069499953</v>
      </c>
    </row>
    <row r="319" spans="1:24" x14ac:dyDescent="0.25">
      <c r="A319" s="10">
        <v>45643</v>
      </c>
      <c r="B319" s="11">
        <v>14775.4</v>
      </c>
      <c r="C319" s="12">
        <f t="shared" si="97"/>
        <v>4.8893087432864135E-3</v>
      </c>
      <c r="D319" s="11">
        <f t="shared" si="107"/>
        <v>14789.629500000001</v>
      </c>
      <c r="E319" s="11">
        <f t="shared" si="111"/>
        <v>14487.848200000002</v>
      </c>
      <c r="F319" s="11">
        <f t="shared" si="109"/>
        <v>13888.564875</v>
      </c>
      <c r="G319" s="12">
        <f t="shared" si="98"/>
        <v>4.8773948911789884E-3</v>
      </c>
      <c r="H319" s="19">
        <f t="shared" si="103"/>
        <v>8.6779033826665214E-2</v>
      </c>
      <c r="I319" s="11">
        <f t="shared" si="104"/>
        <v>14986.56</v>
      </c>
      <c r="J319" s="11">
        <f t="shared" si="105"/>
        <v>14677.92</v>
      </c>
      <c r="K319" s="12">
        <f>(B319-MAX($B$2:B319))/MAX($B$2:B319)</f>
        <v>-1.4089957935643662E-2</v>
      </c>
      <c r="L319" s="12">
        <f t="shared" si="106"/>
        <v>-1.4089957935643715E-2</v>
      </c>
      <c r="M319" s="15">
        <f t="shared" si="100"/>
        <v>41.546620943804818</v>
      </c>
      <c r="N319" s="11">
        <f t="shared" si="93"/>
        <v>14741.653398345841</v>
      </c>
      <c r="O319" s="11">
        <f t="shared" si="94"/>
        <v>14692.309751954434</v>
      </c>
      <c r="P319" s="11">
        <f t="shared" si="90"/>
        <v>49.343646391407674</v>
      </c>
      <c r="Q319" s="11">
        <f t="shared" si="95"/>
        <v>79.580168188952868</v>
      </c>
      <c r="R319" s="11">
        <f t="shared" si="91"/>
        <v>-30.236521797545194</v>
      </c>
      <c r="S319" s="9">
        <f t="shared" si="92"/>
        <v>60</v>
      </c>
      <c r="T319" s="14">
        <f t="shared" si="99"/>
        <v>4.8893087432864135E-3</v>
      </c>
      <c r="U319" s="14">
        <f t="shared" si="96"/>
        <v>0</v>
      </c>
      <c r="V319" s="14">
        <f t="shared" si="110"/>
        <v>1.4598929485007644E-3</v>
      </c>
      <c r="W319" s="14">
        <f t="shared" si="110"/>
        <v>2.0539739204207502E-3</v>
      </c>
      <c r="X319" s="16">
        <f t="shared" si="102"/>
        <v>0.71076508517776593</v>
      </c>
    </row>
    <row r="320" spans="1:24" x14ac:dyDescent="0.25">
      <c r="A320" s="10">
        <v>45644</v>
      </c>
      <c r="B320" s="11">
        <v>14769.95</v>
      </c>
      <c r="C320" s="12">
        <f t="shared" si="97"/>
        <v>-3.6885634229866238E-4</v>
      </c>
      <c r="D320" s="11">
        <f t="shared" si="107"/>
        <v>14778.799000000003</v>
      </c>
      <c r="E320" s="11">
        <f t="shared" si="111"/>
        <v>14500.109800000002</v>
      </c>
      <c r="F320" s="11">
        <f t="shared" si="109"/>
        <v>13898.085437500002</v>
      </c>
      <c r="G320" s="12">
        <f t="shared" si="98"/>
        <v>-3.6892438653216849E-4</v>
      </c>
      <c r="H320" s="19">
        <f t="shared" si="103"/>
        <v>8.6647217463380055E-2</v>
      </c>
      <c r="I320" s="11">
        <f t="shared" si="104"/>
        <v>14901.09</v>
      </c>
      <c r="J320" s="11">
        <f t="shared" si="105"/>
        <v>14677.92</v>
      </c>
      <c r="K320" s="12">
        <f>(B320-MAX($B$2:B320))/MAX($B$2:B320)</f>
        <v>-1.445361710759499E-2</v>
      </c>
      <c r="L320" s="12">
        <f t="shared" si="106"/>
        <v>-6.6040540376939294E-3</v>
      </c>
      <c r="M320" s="15">
        <f t="shared" si="100"/>
        <v>41.963576241047015</v>
      </c>
      <c r="N320" s="11">
        <f t="shared" si="93"/>
        <v>14746.006721677251</v>
      </c>
      <c r="O320" s="11">
        <f t="shared" si="94"/>
        <v>14698.060881439291</v>
      </c>
      <c r="P320" s="11">
        <f t="shared" si="90"/>
        <v>47.94584023796051</v>
      </c>
      <c r="Q320" s="11">
        <f t="shared" si="95"/>
        <v>73.253302598754402</v>
      </c>
      <c r="R320" s="11">
        <f t="shared" si="91"/>
        <v>-25.307462360793892</v>
      </c>
      <c r="S320" s="9">
        <f t="shared" si="92"/>
        <v>60</v>
      </c>
      <c r="T320" s="14">
        <f t="shared" si="99"/>
        <v>0</v>
      </c>
      <c r="U320" s="14">
        <f t="shared" si="96"/>
        <v>3.6885634229866238E-4</v>
      </c>
      <c r="V320" s="14">
        <f t="shared" ref="V320:W335" si="112">AVERAGE(T307:T320)</f>
        <v>1.4598929485007644E-3</v>
      </c>
      <c r="W320" s="14">
        <f t="shared" si="112"/>
        <v>2.0190597034725872E-3</v>
      </c>
      <c r="X320" s="16">
        <f t="shared" si="102"/>
        <v>0.72305585911594883</v>
      </c>
    </row>
    <row r="321" spans="1:24" x14ac:dyDescent="0.25">
      <c r="A321" s="10">
        <v>45645</v>
      </c>
      <c r="B321" s="11">
        <v>14724</v>
      </c>
      <c r="C321" s="12">
        <f t="shared" si="97"/>
        <v>-3.1110464151876682E-3</v>
      </c>
      <c r="D321" s="11">
        <f t="shared" si="107"/>
        <v>14771.592000000001</v>
      </c>
      <c r="E321" s="11">
        <f t="shared" si="111"/>
        <v>14514.197200000002</v>
      </c>
      <c r="F321" s="11">
        <f t="shared" si="109"/>
        <v>13907.102687500001</v>
      </c>
      <c r="G321" s="12">
        <f t="shared" si="98"/>
        <v>-3.1158957804318082E-3</v>
      </c>
      <c r="H321" s="19">
        <f t="shared" si="103"/>
        <v>8.2942330163905897E-2</v>
      </c>
      <c r="I321" s="11">
        <f t="shared" si="104"/>
        <v>14901.09</v>
      </c>
      <c r="J321" s="11">
        <f t="shared" si="105"/>
        <v>14677.92</v>
      </c>
      <c r="K321" s="12">
        <f>(B321-MAX($B$2:B321))/MAX($B$2:B321)</f>
        <v>-1.7519697649093554E-2</v>
      </c>
      <c r="L321" s="12">
        <f t="shared" si="106"/>
        <v>-1.0925896692674297E-2</v>
      </c>
      <c r="M321" s="15">
        <f t="shared" si="100"/>
        <v>42.241546254881243</v>
      </c>
      <c r="N321" s="11">
        <f t="shared" si="93"/>
        <v>14742.621072188444</v>
      </c>
      <c r="O321" s="11">
        <f t="shared" si="94"/>
        <v>14699.982297628972</v>
      </c>
      <c r="P321" s="11">
        <f t="shared" si="90"/>
        <v>42.63877455947113</v>
      </c>
      <c r="Q321" s="11">
        <f t="shared" si="95"/>
        <v>67.130396990897751</v>
      </c>
      <c r="R321" s="11">
        <f t="shared" si="91"/>
        <v>-24.49162243142662</v>
      </c>
      <c r="S321" s="9">
        <f t="shared" si="92"/>
        <v>60</v>
      </c>
      <c r="T321" s="14">
        <f t="shared" si="99"/>
        <v>0</v>
      </c>
      <c r="U321" s="14">
        <f t="shared" si="96"/>
        <v>3.1110464151876682E-3</v>
      </c>
      <c r="V321" s="14">
        <f t="shared" si="112"/>
        <v>1.4598929485007644E-3</v>
      </c>
      <c r="W321" s="14">
        <f t="shared" si="112"/>
        <v>1.9961664951851205E-3</v>
      </c>
      <c r="X321" s="16">
        <f t="shared" si="102"/>
        <v>0.73134828784177985</v>
      </c>
    </row>
    <row r="322" spans="1:24" x14ac:dyDescent="0.25">
      <c r="A322" s="10">
        <v>45646</v>
      </c>
      <c r="B322" s="11">
        <v>14721.45</v>
      </c>
      <c r="C322" s="12">
        <f t="shared" si="97"/>
        <v>-1.731866340667354E-4</v>
      </c>
      <c r="D322" s="11">
        <f t="shared" si="107"/>
        <v>14763.332</v>
      </c>
      <c r="E322" s="11">
        <f t="shared" si="111"/>
        <v>14525.646400000001</v>
      </c>
      <c r="F322" s="11">
        <f t="shared" si="109"/>
        <v>13915.694187500001</v>
      </c>
      <c r="G322" s="12">
        <f t="shared" si="98"/>
        <v>-1.7320163260356748E-4</v>
      </c>
      <c r="H322" s="19">
        <f t="shared" si="103"/>
        <v>8.27021851181544E-2</v>
      </c>
      <c r="I322" s="11">
        <f t="shared" si="104"/>
        <v>14901.09</v>
      </c>
      <c r="J322" s="11">
        <f t="shared" si="105"/>
        <v>14677.92</v>
      </c>
      <c r="K322" s="12">
        <f>(B322-MAX($B$2:B322))/MAX($B$2:B322)</f>
        <v>-1.768985010569462E-2</v>
      </c>
      <c r="L322" s="12">
        <f t="shared" si="106"/>
        <v>1.8819622411792025E-4</v>
      </c>
      <c r="M322" s="15">
        <f t="shared" si="100"/>
        <v>50.360792839076375</v>
      </c>
      <c r="N322" s="11">
        <f t="shared" si="93"/>
        <v>14739.363984159452</v>
      </c>
      <c r="O322" s="11">
        <f t="shared" si="94"/>
        <v>14701.572497804604</v>
      </c>
      <c r="P322" s="11">
        <f t="shared" ref="P322:P385" si="113">N322-O322</f>
        <v>37.79148635484853</v>
      </c>
      <c r="Q322" s="11">
        <f t="shared" si="95"/>
        <v>61.262614863687915</v>
      </c>
      <c r="R322" s="11">
        <f t="shared" ref="R322:R385" si="114">P322-Q322</f>
        <v>-23.471128508839385</v>
      </c>
      <c r="S322" s="9">
        <f t="shared" ref="S322:S385" si="115">IF(AND(D322&gt;E322,P322&gt;Q322),100,IF(OR(D322&gt;E322,P322&gt;Q322),60,20))</f>
        <v>60</v>
      </c>
      <c r="T322" s="14">
        <f t="shared" si="99"/>
        <v>0</v>
      </c>
      <c r="U322" s="14">
        <f t="shared" si="96"/>
        <v>1.731866340667354E-4</v>
      </c>
      <c r="V322" s="14">
        <f t="shared" si="112"/>
        <v>1.4598929485007644E-3</v>
      </c>
      <c r="W322" s="14">
        <f t="shared" si="112"/>
        <v>1.4389751316061714E-3</v>
      </c>
      <c r="X322" s="16">
        <f t="shared" si="102"/>
        <v>1.014536607641888</v>
      </c>
    </row>
    <row r="323" spans="1:24" x14ac:dyDescent="0.25">
      <c r="A323" s="10">
        <v>45649</v>
      </c>
      <c r="B323" s="11">
        <v>14720.44</v>
      </c>
      <c r="C323" s="12">
        <f t="shared" si="97"/>
        <v>-6.8607372235796049E-5</v>
      </c>
      <c r="D323" s="11">
        <f t="shared" si="107"/>
        <v>14763.420000000002</v>
      </c>
      <c r="E323" s="11">
        <f t="shared" si="111"/>
        <v>14538.000600000001</v>
      </c>
      <c r="F323" s="11">
        <f t="shared" si="109"/>
        <v>13924.228375000001</v>
      </c>
      <c r="G323" s="12">
        <f t="shared" si="98"/>
        <v>-6.8609725829208457E-5</v>
      </c>
      <c r="H323" s="19">
        <f t="shared" si="103"/>
        <v>7.2211321769346651E-2</v>
      </c>
      <c r="I323" s="11">
        <f t="shared" si="104"/>
        <v>14901.09</v>
      </c>
      <c r="J323" s="11">
        <f t="shared" si="105"/>
        <v>14677.92</v>
      </c>
      <c r="K323" s="12">
        <f>(B323-MAX($B$2:B323))/MAX($B$2:B323)</f>
        <v>-1.7757243823799389E-2</v>
      </c>
      <c r="L323" s="12">
        <f t="shared" si="106"/>
        <v>-6.1640293442903893E-3</v>
      </c>
      <c r="M323" s="15">
        <f t="shared" si="100"/>
        <v>49.49848443716364</v>
      </c>
      <c r="N323" s="11">
        <f t="shared" ref="N323:N386" si="116">(B323*(2/13))+N322*(1-2/13)</f>
        <v>14736.452601981076</v>
      </c>
      <c r="O323" s="11">
        <f t="shared" ref="O323:O386" si="117">(B323*(2/27))+O322*(1-2/27)</f>
        <v>14702.970090559818</v>
      </c>
      <c r="P323" s="11">
        <f t="shared" si="113"/>
        <v>33.482511421258096</v>
      </c>
      <c r="Q323" s="11">
        <f t="shared" ref="Q323:Q386" si="118">(P323*(2/10))+Q322*(1-2/10)</f>
        <v>55.706594175201957</v>
      </c>
      <c r="R323" s="11">
        <f t="shared" si="114"/>
        <v>-22.224082753943861</v>
      </c>
      <c r="S323" s="9">
        <f t="shared" si="115"/>
        <v>60</v>
      </c>
      <c r="T323" s="14">
        <f t="shared" si="99"/>
        <v>0</v>
      </c>
      <c r="U323" s="14">
        <f t="shared" ref="U323:U386" si="119">ABS(MIN(C323,0))</f>
        <v>6.8607372235796049E-5</v>
      </c>
      <c r="V323" s="14">
        <f t="shared" si="112"/>
        <v>1.4151982569198568E-3</v>
      </c>
      <c r="W323" s="14">
        <f t="shared" si="112"/>
        <v>1.4438756581944426E-3</v>
      </c>
      <c r="X323" s="16">
        <f t="shared" si="102"/>
        <v>0.98013859357498501</v>
      </c>
    </row>
    <row r="324" spans="1:24" x14ac:dyDescent="0.25">
      <c r="A324" s="10">
        <v>45650</v>
      </c>
      <c r="B324" s="11">
        <v>14634.58</v>
      </c>
      <c r="C324" s="12">
        <f t="shared" ref="C324:C387" si="120">(B324/B323)-1</f>
        <v>-5.8327060875897896E-3</v>
      </c>
      <c r="D324" s="11">
        <f t="shared" si="107"/>
        <v>14754.562000000002</v>
      </c>
      <c r="E324" s="11">
        <f t="shared" si="111"/>
        <v>14548.66</v>
      </c>
      <c r="F324" s="11">
        <f t="shared" si="109"/>
        <v>13932.107625000001</v>
      </c>
      <c r="G324" s="12">
        <f t="shared" ref="G324:G387" si="121">LN(B324/B323)</f>
        <v>-5.8497827522285368E-3</v>
      </c>
      <c r="H324" s="19">
        <f t="shared" si="103"/>
        <v>7.1031461726246387E-2</v>
      </c>
      <c r="I324" s="11">
        <f t="shared" si="104"/>
        <v>14901.09</v>
      </c>
      <c r="J324" s="11">
        <f t="shared" si="105"/>
        <v>14634.58</v>
      </c>
      <c r="K324" s="12">
        <f>(B324-MAX($B$2:B324))/MAX($B$2:B324)</f>
        <v>-2.3486377127239312E-2</v>
      </c>
      <c r="L324" s="12">
        <f t="shared" si="106"/>
        <v>-1.788526879577268E-2</v>
      </c>
      <c r="M324" s="15">
        <f t="shared" si="100"/>
        <v>41.338286677043229</v>
      </c>
      <c r="N324" s="11">
        <f t="shared" si="116"/>
        <v>14720.779893983989</v>
      </c>
      <c r="O324" s="11">
        <f t="shared" si="117"/>
        <v>14697.904157925759</v>
      </c>
      <c r="P324" s="11">
        <f t="shared" si="113"/>
        <v>22.87573605822945</v>
      </c>
      <c r="Q324" s="11">
        <f t="shared" si="118"/>
        <v>49.140422551807461</v>
      </c>
      <c r="R324" s="11">
        <f t="shared" si="114"/>
        <v>-26.264686493578012</v>
      </c>
      <c r="S324" s="9">
        <f t="shared" si="115"/>
        <v>60</v>
      </c>
      <c r="T324" s="14">
        <f t="shared" ref="T324:T387" si="122">MAX(C324,0)</f>
        <v>0</v>
      </c>
      <c r="U324" s="14">
        <f t="shared" si="119"/>
        <v>5.8327060875897896E-3</v>
      </c>
      <c r="V324" s="14">
        <f t="shared" si="112"/>
        <v>1.3110728540462072E-3</v>
      </c>
      <c r="W324" s="14">
        <f t="shared" si="112"/>
        <v>1.8604975215937133E-3</v>
      </c>
      <c r="X324" s="16">
        <f t="shared" si="102"/>
        <v>0.70468938487116839</v>
      </c>
    </row>
    <row r="325" spans="1:24" x14ac:dyDescent="0.25">
      <c r="A325" s="10">
        <v>45651</v>
      </c>
      <c r="B325" s="11">
        <v>14611.23</v>
      </c>
      <c r="C325" s="12">
        <f t="shared" si="120"/>
        <v>-1.5955360522816875E-3</v>
      </c>
      <c r="D325" s="11">
        <f t="shared" si="107"/>
        <v>14740.069</v>
      </c>
      <c r="E325" s="11">
        <f t="shared" si="111"/>
        <v>14559.911399999999</v>
      </c>
      <c r="F325" s="11">
        <f t="shared" si="109"/>
        <v>13940.181812500003</v>
      </c>
      <c r="G325" s="12">
        <f t="shared" si="121"/>
        <v>-1.5968102754884961E-3</v>
      </c>
      <c r="H325" s="19">
        <f t="shared" si="103"/>
        <v>6.6630759257273672E-2</v>
      </c>
      <c r="I325" s="11">
        <f t="shared" si="104"/>
        <v>14888.31</v>
      </c>
      <c r="J325" s="11">
        <f t="shared" si="105"/>
        <v>14611.23</v>
      </c>
      <c r="K325" s="12">
        <f>(B325-MAX($B$2:B325))/MAX($B$2:B325)</f>
        <v>-2.5044439818076993E-2</v>
      </c>
      <c r="L325" s="12">
        <f t="shared" si="106"/>
        <v>-1.86105743365097E-2</v>
      </c>
      <c r="M325" s="15">
        <f t="shared" si="100"/>
        <v>25.397130065894288</v>
      </c>
      <c r="N325" s="11">
        <f t="shared" si="116"/>
        <v>14703.926064140298</v>
      </c>
      <c r="O325" s="11">
        <f t="shared" si="117"/>
        <v>14691.483849931259</v>
      </c>
      <c r="P325" s="11">
        <f t="shared" si="113"/>
        <v>12.442214209038866</v>
      </c>
      <c r="Q325" s="11">
        <f t="shared" si="118"/>
        <v>41.800780883253744</v>
      </c>
      <c r="R325" s="11">
        <f t="shared" si="114"/>
        <v>-29.358566674214877</v>
      </c>
      <c r="S325" s="9">
        <f t="shared" si="115"/>
        <v>60</v>
      </c>
      <c r="T325" s="14">
        <f t="shared" si="122"/>
        <v>0</v>
      </c>
      <c r="U325" s="14">
        <f t="shared" si="119"/>
        <v>1.5955360522816875E-3</v>
      </c>
      <c r="V325" s="14">
        <f t="shared" si="112"/>
        <v>6.7216889613473467E-4</v>
      </c>
      <c r="W325" s="14">
        <f t="shared" si="112"/>
        <v>1.9744643824709768E-3</v>
      </c>
      <c r="X325" s="16">
        <f t="shared" si="102"/>
        <v>0.34043100605012566</v>
      </c>
    </row>
    <row r="326" spans="1:24" x14ac:dyDescent="0.25">
      <c r="A326" s="10">
        <v>45652</v>
      </c>
      <c r="B326" s="11">
        <v>14654.88</v>
      </c>
      <c r="C326" s="12">
        <f t="shared" si="120"/>
        <v>2.9874281631321331E-3</v>
      </c>
      <c r="D326" s="11">
        <f t="shared" si="107"/>
        <v>14728.397500000001</v>
      </c>
      <c r="E326" s="11">
        <f t="shared" si="111"/>
        <v>14574.214599999999</v>
      </c>
      <c r="F326" s="11">
        <f t="shared" si="109"/>
        <v>13948.506999999998</v>
      </c>
      <c r="G326" s="12">
        <f t="shared" si="121"/>
        <v>2.9829746670789387E-3</v>
      </c>
      <c r="H326" s="19">
        <f t="shared" si="103"/>
        <v>6.8104339382073859E-2</v>
      </c>
      <c r="I326" s="11">
        <f t="shared" si="104"/>
        <v>14881.52</v>
      </c>
      <c r="J326" s="11">
        <f t="shared" si="105"/>
        <v>14611.23</v>
      </c>
      <c r="K326" s="12">
        <f>(B326-MAX($B$2:B326))/MAX($B$2:B326)</f>
        <v>-2.2131830119787348E-2</v>
      </c>
      <c r="L326" s="12">
        <f t="shared" si="106"/>
        <v>-1.2289364180082307E-2</v>
      </c>
      <c r="M326" s="15">
        <f t="shared" si="100"/>
        <v>38.697449730629067</v>
      </c>
      <c r="N326" s="11">
        <f t="shared" si="116"/>
        <v>14696.380515811023</v>
      </c>
      <c r="O326" s="11">
        <f t="shared" si="117"/>
        <v>14688.772453640055</v>
      </c>
      <c r="P326" s="11">
        <f t="shared" si="113"/>
        <v>7.608062170967969</v>
      </c>
      <c r="Q326" s="11">
        <f t="shared" si="118"/>
        <v>34.962237140796589</v>
      </c>
      <c r="R326" s="11">
        <f t="shared" si="114"/>
        <v>-27.35417496982862</v>
      </c>
      <c r="S326" s="9">
        <f t="shared" si="115"/>
        <v>60</v>
      </c>
      <c r="T326" s="14">
        <f t="shared" si="122"/>
        <v>2.9874281631321331E-3</v>
      </c>
      <c r="U326" s="14">
        <f t="shared" si="119"/>
        <v>0</v>
      </c>
      <c r="V326" s="14">
        <f t="shared" si="112"/>
        <v>8.8555662207274414E-4</v>
      </c>
      <c r="W326" s="14">
        <f t="shared" si="112"/>
        <v>1.4028541859703117E-3</v>
      </c>
      <c r="X326" s="16">
        <f t="shared" si="102"/>
        <v>0.63125350512479061</v>
      </c>
    </row>
    <row r="327" spans="1:24" x14ac:dyDescent="0.25">
      <c r="A327" s="10">
        <v>45653</v>
      </c>
      <c r="B327" s="11">
        <v>14648.53</v>
      </c>
      <c r="C327" s="12">
        <f t="shared" si="120"/>
        <v>-4.3330276331154938E-4</v>
      </c>
      <c r="D327" s="11">
        <f t="shared" si="107"/>
        <v>14718.963000000003</v>
      </c>
      <c r="E327" s="11">
        <f t="shared" si="111"/>
        <v>14590.490399999999</v>
      </c>
      <c r="F327" s="11">
        <f t="shared" si="109"/>
        <v>13956.288624999997</v>
      </c>
      <c r="G327" s="12">
        <f t="shared" si="121"/>
        <v>-4.3339666608042862E-4</v>
      </c>
      <c r="H327" s="19">
        <f t="shared" si="103"/>
        <v>6.7386596038548907E-2</v>
      </c>
      <c r="I327" s="11">
        <f t="shared" si="104"/>
        <v>14881.52</v>
      </c>
      <c r="J327" s="11">
        <f t="shared" si="105"/>
        <v>14611.23</v>
      </c>
      <c r="K327" s="12">
        <f>(B327-MAX($B$2:B327))/MAX($B$2:B327)</f>
        <v>-2.2555543099950812E-2</v>
      </c>
      <c r="L327" s="12">
        <f t="shared" si="106"/>
        <v>-4.7816040725841003E-3</v>
      </c>
      <c r="M327" s="15">
        <f t="shared" si="100"/>
        <v>33.162891461019029</v>
      </c>
      <c r="N327" s="11">
        <f t="shared" si="116"/>
        <v>14689.018897993943</v>
      </c>
      <c r="O327" s="11">
        <f t="shared" si="117"/>
        <v>14685.791531148199</v>
      </c>
      <c r="P327" s="11">
        <f t="shared" si="113"/>
        <v>3.2273668457437452</v>
      </c>
      <c r="Q327" s="11">
        <f t="shared" si="118"/>
        <v>28.615263081786022</v>
      </c>
      <c r="R327" s="11">
        <f t="shared" si="114"/>
        <v>-25.387896236042277</v>
      </c>
      <c r="S327" s="9">
        <f t="shared" si="115"/>
        <v>60</v>
      </c>
      <c r="T327" s="14">
        <f t="shared" si="122"/>
        <v>0</v>
      </c>
      <c r="U327" s="14">
        <f t="shared" si="119"/>
        <v>4.3330276331154938E-4</v>
      </c>
      <c r="V327" s="14">
        <f t="shared" si="112"/>
        <v>7.1141765675916278E-4</v>
      </c>
      <c r="W327" s="14">
        <f t="shared" si="112"/>
        <v>1.433804383349708E-3</v>
      </c>
      <c r="X327" s="16">
        <f t="shared" si="102"/>
        <v>0.49617483739108259</v>
      </c>
    </row>
    <row r="328" spans="1:24" x14ac:dyDescent="0.25">
      <c r="A328" s="10">
        <v>45656</v>
      </c>
      <c r="B328" s="11">
        <v>14719.22</v>
      </c>
      <c r="C328" s="12">
        <f t="shared" si="120"/>
        <v>4.8257401937257249E-3</v>
      </c>
      <c r="D328" s="11">
        <f t="shared" si="107"/>
        <v>14718.978500000001</v>
      </c>
      <c r="E328" s="11">
        <f t="shared" si="111"/>
        <v>14602.369599999998</v>
      </c>
      <c r="F328" s="11">
        <f t="shared" si="109"/>
        <v>13964.768250000003</v>
      </c>
      <c r="G328" s="12">
        <f t="shared" si="121"/>
        <v>4.8141336346983633E-3</v>
      </c>
      <c r="H328" s="19">
        <f t="shared" si="103"/>
        <v>6.4085040548088806E-2</v>
      </c>
      <c r="I328" s="11">
        <f t="shared" si="104"/>
        <v>14881.52</v>
      </c>
      <c r="J328" s="11">
        <f t="shared" si="105"/>
        <v>14611.23</v>
      </c>
      <c r="K328" s="12">
        <f>(B328-MAX($B$2:B328))/MAX($B$2:B328)</f>
        <v>-1.7838650097153727E-2</v>
      </c>
      <c r="L328" s="12">
        <f t="shared" si="106"/>
        <v>-6.0428622254582454E-4</v>
      </c>
      <c r="M328" s="15">
        <f t="shared" si="100"/>
        <v>53.059196789252553</v>
      </c>
      <c r="N328" s="11">
        <f t="shared" si="116"/>
        <v>14693.665221379491</v>
      </c>
      <c r="O328" s="11">
        <f t="shared" si="117"/>
        <v>14688.267714026111</v>
      </c>
      <c r="P328" s="11">
        <f t="shared" si="113"/>
        <v>5.397507353380206</v>
      </c>
      <c r="Q328" s="11">
        <f t="shared" si="118"/>
        <v>23.97171193610486</v>
      </c>
      <c r="R328" s="11">
        <f t="shared" si="114"/>
        <v>-18.574204582724654</v>
      </c>
      <c r="S328" s="9">
        <f t="shared" si="115"/>
        <v>60</v>
      </c>
      <c r="T328" s="14">
        <f t="shared" si="122"/>
        <v>4.8257401937257249E-3</v>
      </c>
      <c r="U328" s="14">
        <f t="shared" si="119"/>
        <v>0</v>
      </c>
      <c r="V328" s="14">
        <f t="shared" si="112"/>
        <v>1.0561133848824289E-3</v>
      </c>
      <c r="W328" s="14">
        <f t="shared" si="112"/>
        <v>9.3433021168620733E-4</v>
      </c>
      <c r="X328" s="16">
        <f t="shared" si="102"/>
        <v>1.130342754277887</v>
      </c>
    </row>
    <row r="329" spans="1:24" x14ac:dyDescent="0.25">
      <c r="A329" s="10">
        <v>45657</v>
      </c>
      <c r="B329" s="11">
        <v>14773.19</v>
      </c>
      <c r="C329" s="12">
        <f t="shared" si="120"/>
        <v>3.6666345091656005E-3</v>
      </c>
      <c r="D329" s="11">
        <f t="shared" si="107"/>
        <v>14721.232</v>
      </c>
      <c r="E329" s="11">
        <f t="shared" si="111"/>
        <v>14616.221999999998</v>
      </c>
      <c r="F329" s="11">
        <f t="shared" si="109"/>
        <v>13973.504000000001</v>
      </c>
      <c r="G329" s="12">
        <f t="shared" si="121"/>
        <v>3.6599287914655843E-3</v>
      </c>
      <c r="H329" s="19">
        <f t="shared" si="103"/>
        <v>6.5369510601976058E-2</v>
      </c>
      <c r="I329" s="11">
        <f t="shared" si="104"/>
        <v>14881.52</v>
      </c>
      <c r="J329" s="11">
        <f t="shared" si="105"/>
        <v>14611.23</v>
      </c>
      <c r="K329" s="12">
        <f>(B329-MAX($B$2:B329))/MAX($B$2:B329)</f>
        <v>-1.4237423398031235E-2</v>
      </c>
      <c r="L329" s="12">
        <f t="shared" si="106"/>
        <v>1.6000444758126342E-3</v>
      </c>
      <c r="M329" s="15">
        <f t="shared" si="100"/>
        <v>58.184475056118259</v>
      </c>
      <c r="N329" s="11">
        <f t="shared" si="116"/>
        <v>14705.899802705722</v>
      </c>
      <c r="O329" s="11">
        <f t="shared" si="117"/>
        <v>14694.558253727881</v>
      </c>
      <c r="P329" s="11">
        <f t="shared" si="113"/>
        <v>11.34154897784174</v>
      </c>
      <c r="Q329" s="11">
        <f t="shared" si="118"/>
        <v>21.445679344452238</v>
      </c>
      <c r="R329" s="11">
        <f t="shared" si="114"/>
        <v>-10.104130366610498</v>
      </c>
      <c r="S329" s="9">
        <f t="shared" si="115"/>
        <v>60</v>
      </c>
      <c r="T329" s="14">
        <f t="shared" si="122"/>
        <v>3.6666345091656005E-3</v>
      </c>
      <c r="U329" s="14">
        <f t="shared" si="119"/>
        <v>0</v>
      </c>
      <c r="V329" s="14">
        <f t="shared" si="112"/>
        <v>1.3000796467099729E-3</v>
      </c>
      <c r="W329" s="14">
        <f t="shared" si="112"/>
        <v>9.3433021168620733E-4</v>
      </c>
      <c r="X329" s="16">
        <f t="shared" si="102"/>
        <v>1.3914562864917843</v>
      </c>
    </row>
    <row r="330" spans="1:24" x14ac:dyDescent="0.25">
      <c r="A330" s="10">
        <v>45659</v>
      </c>
      <c r="B330" s="11">
        <v>15087.26</v>
      </c>
      <c r="C330" s="12">
        <f t="shared" si="120"/>
        <v>2.1259457165310858E-2</v>
      </c>
      <c r="D330" s="11">
        <f t="shared" si="107"/>
        <v>14738.1155</v>
      </c>
      <c r="E330" s="11">
        <f t="shared" si="111"/>
        <v>14636.364599999997</v>
      </c>
      <c r="F330" s="11">
        <f t="shared" si="109"/>
        <v>13983.932687500001</v>
      </c>
      <c r="G330" s="12">
        <f t="shared" si="121"/>
        <v>2.1036627531387846E-2</v>
      </c>
      <c r="H330" s="19">
        <f t="shared" si="103"/>
        <v>9.8898522806847661E-2</v>
      </c>
      <c r="I330" s="11">
        <f t="shared" si="104"/>
        <v>15087.26</v>
      </c>
      <c r="J330" s="11">
        <f t="shared" si="105"/>
        <v>14611.23</v>
      </c>
      <c r="K330" s="12">
        <f>(B330-MAX($B$2:B330))/MAX($B$2:B330)</f>
        <v>0</v>
      </c>
      <c r="L330" s="12">
        <f t="shared" si="106"/>
        <v>1.3825200651546243E-2</v>
      </c>
      <c r="M330" s="15">
        <f t="shared" si="100"/>
        <v>77.173594188558639</v>
      </c>
      <c r="N330" s="11">
        <f t="shared" si="116"/>
        <v>14764.570602289457</v>
      </c>
      <c r="O330" s="11">
        <f t="shared" si="117"/>
        <v>14723.64727197026</v>
      </c>
      <c r="P330" s="11">
        <f t="shared" si="113"/>
        <v>40.923330319197703</v>
      </c>
      <c r="Q330" s="11">
        <f t="shared" si="118"/>
        <v>25.341209539401333</v>
      </c>
      <c r="R330" s="11">
        <f t="shared" si="114"/>
        <v>15.582120779796369</v>
      </c>
      <c r="S330" s="9">
        <f t="shared" si="115"/>
        <v>100</v>
      </c>
      <c r="T330" s="14">
        <f t="shared" si="122"/>
        <v>2.1259457165310858E-2</v>
      </c>
      <c r="U330" s="14">
        <f t="shared" si="119"/>
        <v>0</v>
      </c>
      <c r="V330" s="14">
        <f t="shared" si="112"/>
        <v>2.8186123013750342E-3</v>
      </c>
      <c r="W330" s="14">
        <f t="shared" si="112"/>
        <v>8.3368915096927927E-4</v>
      </c>
      <c r="X330" s="16">
        <f t="shared" si="102"/>
        <v>3.380891184799522</v>
      </c>
    </row>
    <row r="331" spans="1:24" x14ac:dyDescent="0.25">
      <c r="A331" s="10">
        <v>45660</v>
      </c>
      <c r="B331" s="11">
        <v>15516.3</v>
      </c>
      <c r="C331" s="12">
        <f t="shared" si="120"/>
        <v>2.8437237775447599E-2</v>
      </c>
      <c r="D331" s="11">
        <f t="shared" si="107"/>
        <v>14769.854499999998</v>
      </c>
      <c r="E331" s="11">
        <f t="shared" si="111"/>
        <v>14664.985199999997</v>
      </c>
      <c r="F331" s="11">
        <f t="shared" si="109"/>
        <v>13996.670624999995</v>
      </c>
      <c r="G331" s="12">
        <f t="shared" si="121"/>
        <v>2.8040405181752756E-2</v>
      </c>
      <c r="H331" s="19">
        <f t="shared" si="103"/>
        <v>0.13542610122900964</v>
      </c>
      <c r="I331" s="11">
        <f t="shared" si="104"/>
        <v>15516.3</v>
      </c>
      <c r="J331" s="11">
        <f t="shared" si="105"/>
        <v>14611.23</v>
      </c>
      <c r="K331" s="12">
        <f>(B331-MAX($B$2:B331))/MAX($B$2:B331)</f>
        <v>0</v>
      </c>
      <c r="L331" s="12">
        <f t="shared" si="106"/>
        <v>5.1066795913680796E-2</v>
      </c>
      <c r="M331" s="15">
        <f t="shared" si="100"/>
        <v>84.985811325992216</v>
      </c>
      <c r="N331" s="11">
        <f t="shared" si="116"/>
        <v>14880.22127886031</v>
      </c>
      <c r="O331" s="11">
        <f t="shared" si="117"/>
        <v>14782.362288861352</v>
      </c>
      <c r="P331" s="11">
        <f t="shared" si="113"/>
        <v>97.85898999895835</v>
      </c>
      <c r="Q331" s="11">
        <f t="shared" si="118"/>
        <v>39.84476563131274</v>
      </c>
      <c r="R331" s="11">
        <f t="shared" si="114"/>
        <v>58.01422436764561</v>
      </c>
      <c r="S331" s="9">
        <f t="shared" si="115"/>
        <v>100</v>
      </c>
      <c r="T331" s="14">
        <f t="shared" si="122"/>
        <v>2.8437237775447599E-2</v>
      </c>
      <c r="U331" s="14">
        <f t="shared" si="119"/>
        <v>0</v>
      </c>
      <c r="V331" s="14">
        <f t="shared" si="112"/>
        <v>4.7189861821477375E-3</v>
      </c>
      <c r="W331" s="14">
        <f t="shared" si="112"/>
        <v>8.3368915096927927E-4</v>
      </c>
      <c r="X331" s="16">
        <f t="shared" si="102"/>
        <v>5.6603665486845562</v>
      </c>
    </row>
    <row r="332" spans="1:24" x14ac:dyDescent="0.25">
      <c r="A332" s="10">
        <v>45663</v>
      </c>
      <c r="B332" s="11">
        <v>15559.07</v>
      </c>
      <c r="C332" s="12">
        <f t="shared" si="120"/>
        <v>2.7564561138930799E-3</v>
      </c>
      <c r="D332" s="11">
        <f t="shared" si="107"/>
        <v>14809.6865</v>
      </c>
      <c r="E332" s="11">
        <f t="shared" si="111"/>
        <v>14693.799399999994</v>
      </c>
      <c r="F332" s="11">
        <f t="shared" si="109"/>
        <v>14009.370999999996</v>
      </c>
      <c r="G332" s="12">
        <f t="shared" si="121"/>
        <v>2.7526640555690734E-3</v>
      </c>
      <c r="H332" s="19">
        <f t="shared" si="103"/>
        <v>0.13003726078274772</v>
      </c>
      <c r="I332" s="11">
        <f t="shared" si="104"/>
        <v>15559.07</v>
      </c>
      <c r="J332" s="11">
        <f t="shared" si="105"/>
        <v>14611.23</v>
      </c>
      <c r="K332" s="12">
        <f>(B332-MAX($B$2:B332))/MAX($B$2:B332)</f>
        <v>0</v>
      </c>
      <c r="L332" s="12">
        <f t="shared" si="106"/>
        <v>5.1400757648451645E-2</v>
      </c>
      <c r="M332" s="15">
        <f t="shared" si="100"/>
        <v>85.593969264470331</v>
      </c>
      <c r="N332" s="11">
        <f t="shared" si="116"/>
        <v>14984.659543651031</v>
      </c>
      <c r="O332" s="11">
        <f t="shared" si="117"/>
        <v>14839.896193390141</v>
      </c>
      <c r="P332" s="11">
        <f t="shared" si="113"/>
        <v>144.76335026088964</v>
      </c>
      <c r="Q332" s="11">
        <f t="shared" si="118"/>
        <v>60.828482557228121</v>
      </c>
      <c r="R332" s="11">
        <f t="shared" si="114"/>
        <v>83.934867703661524</v>
      </c>
      <c r="S332" s="9">
        <f t="shared" si="115"/>
        <v>100</v>
      </c>
      <c r="T332" s="14">
        <f t="shared" si="122"/>
        <v>2.7564561138930799E-3</v>
      </c>
      <c r="U332" s="14">
        <f t="shared" si="119"/>
        <v>0</v>
      </c>
      <c r="V332" s="14">
        <f t="shared" si="112"/>
        <v>4.9158759045686718E-3</v>
      </c>
      <c r="W332" s="14">
        <f t="shared" si="112"/>
        <v>8.2737440478370631E-4</v>
      </c>
      <c r="X332" s="16">
        <f t="shared" si="102"/>
        <v>5.9415373211282612</v>
      </c>
    </row>
    <row r="333" spans="1:24" x14ac:dyDescent="0.25">
      <c r="A333" s="10">
        <v>45664</v>
      </c>
      <c r="B333" s="11">
        <v>15529.16</v>
      </c>
      <c r="C333" s="12">
        <f t="shared" si="120"/>
        <v>-1.9223514001800446E-3</v>
      </c>
      <c r="D333" s="11">
        <f t="shared" si="107"/>
        <v>14846.223499999998</v>
      </c>
      <c r="E333" s="11">
        <f t="shared" si="111"/>
        <v>14721.615199999995</v>
      </c>
      <c r="F333" s="11">
        <f t="shared" si="109"/>
        <v>14021.794937499993</v>
      </c>
      <c r="G333" s="12">
        <f t="shared" si="121"/>
        <v>-1.924201489027072E-3</v>
      </c>
      <c r="H333" s="19">
        <f t="shared" si="103"/>
        <v>0.13103980287288255</v>
      </c>
      <c r="I333" s="11">
        <f t="shared" si="104"/>
        <v>15559.07</v>
      </c>
      <c r="J333" s="11">
        <f t="shared" si="105"/>
        <v>14611.23</v>
      </c>
      <c r="K333" s="12">
        <f>(B333-MAX($B$2:B333))/MAX($B$2:B333)</f>
        <v>-1.9223514001800786E-3</v>
      </c>
      <c r="L333" s="12">
        <f t="shared" si="106"/>
        <v>5.676920082695136E-2</v>
      </c>
      <c r="M333" s="15">
        <f t="shared" si="100"/>
        <v>82.559599072442609</v>
      </c>
      <c r="N333" s="11">
        <f t="shared" si="116"/>
        <v>15068.428844627795</v>
      </c>
      <c r="O333" s="11">
        <f t="shared" si="117"/>
        <v>14890.952771657538</v>
      </c>
      <c r="P333" s="11">
        <f t="shared" si="113"/>
        <v>177.47607297025752</v>
      </c>
      <c r="Q333" s="11">
        <f t="shared" si="118"/>
        <v>84.158000639834</v>
      </c>
      <c r="R333" s="11">
        <f t="shared" si="114"/>
        <v>93.318072330423519</v>
      </c>
      <c r="S333" s="9">
        <f t="shared" si="115"/>
        <v>100</v>
      </c>
      <c r="T333" s="14">
        <f t="shared" si="122"/>
        <v>0</v>
      </c>
      <c r="U333" s="14">
        <f t="shared" si="119"/>
        <v>1.9223514001800446E-3</v>
      </c>
      <c r="V333" s="14">
        <f t="shared" si="112"/>
        <v>4.5666395657624993E-3</v>
      </c>
      <c r="W333" s="14">
        <f t="shared" si="112"/>
        <v>9.6468521908228092E-4</v>
      </c>
      <c r="X333" s="16">
        <f t="shared" si="102"/>
        <v>4.7338131396962941</v>
      </c>
    </row>
    <row r="334" spans="1:24" x14ac:dyDescent="0.25">
      <c r="A334" s="10">
        <v>45665</v>
      </c>
      <c r="B334" s="11">
        <v>15723.69</v>
      </c>
      <c r="C334" s="12">
        <f t="shared" si="120"/>
        <v>1.2526756115591509E-2</v>
      </c>
      <c r="D334" s="11">
        <f t="shared" si="107"/>
        <v>14897.660999999998</v>
      </c>
      <c r="E334" s="11">
        <f t="shared" si="111"/>
        <v>14752.458399999996</v>
      </c>
      <c r="F334" s="11">
        <f t="shared" si="109"/>
        <v>14035.683874999997</v>
      </c>
      <c r="G334" s="12">
        <f t="shared" si="121"/>
        <v>1.2448945442578831E-2</v>
      </c>
      <c r="H334" s="19">
        <f t="shared" si="103"/>
        <v>0.13068321648760445</v>
      </c>
      <c r="I334" s="11">
        <f t="shared" si="104"/>
        <v>15723.69</v>
      </c>
      <c r="J334" s="11">
        <f t="shared" si="105"/>
        <v>14611.23</v>
      </c>
      <c r="K334" s="12">
        <f>(B334-MAX($B$2:B334))/MAX($B$2:B334)</f>
        <v>0</v>
      </c>
      <c r="L334" s="12">
        <f t="shared" si="106"/>
        <v>6.9738472224962544E-2</v>
      </c>
      <c r="M334" s="15">
        <f t="shared" si="100"/>
        <v>85.337882025748002</v>
      </c>
      <c r="N334" s="11">
        <f t="shared" si="116"/>
        <v>15169.238253146596</v>
      </c>
      <c r="O334" s="11">
        <f t="shared" si="117"/>
        <v>14952.637010794017</v>
      </c>
      <c r="P334" s="11">
        <f t="shared" si="113"/>
        <v>216.60124235257899</v>
      </c>
      <c r="Q334" s="11">
        <f t="shared" si="118"/>
        <v>110.646648982383</v>
      </c>
      <c r="R334" s="11">
        <f t="shared" si="114"/>
        <v>105.95459337019599</v>
      </c>
      <c r="S334" s="9">
        <f t="shared" si="115"/>
        <v>100</v>
      </c>
      <c r="T334" s="14">
        <f t="shared" si="122"/>
        <v>1.2526756115591509E-2</v>
      </c>
      <c r="U334" s="14">
        <f t="shared" si="119"/>
        <v>0</v>
      </c>
      <c r="V334" s="14">
        <f t="shared" si="112"/>
        <v>5.4614078597333216E-3</v>
      </c>
      <c r="W334" s="14">
        <f t="shared" si="112"/>
        <v>9.3833833748951934E-4</v>
      </c>
      <c r="X334" s="16">
        <f t="shared" si="102"/>
        <v>5.8202970522818722</v>
      </c>
    </row>
    <row r="335" spans="1:24" x14ac:dyDescent="0.25">
      <c r="A335" s="10">
        <v>45666</v>
      </c>
      <c r="B335" s="11">
        <v>15845.63</v>
      </c>
      <c r="C335" s="12">
        <f t="shared" si="120"/>
        <v>7.7551770608552673E-3</v>
      </c>
      <c r="D335" s="11">
        <f t="shared" si="107"/>
        <v>14955.011000000002</v>
      </c>
      <c r="E335" s="11">
        <f t="shared" si="111"/>
        <v>14785.137399999996</v>
      </c>
      <c r="F335" s="11">
        <f t="shared" si="109"/>
        <v>14050.835312499996</v>
      </c>
      <c r="G335" s="12">
        <f t="shared" si="121"/>
        <v>7.7252602491320529E-3</v>
      </c>
      <c r="H335" s="19">
        <f t="shared" si="103"/>
        <v>0.13099994895514816</v>
      </c>
      <c r="I335" s="11">
        <f t="shared" si="104"/>
        <v>15845.63</v>
      </c>
      <c r="J335" s="11">
        <f t="shared" si="105"/>
        <v>14611.23</v>
      </c>
      <c r="K335" s="12">
        <f>(B335-MAX($B$2:B335))/MAX($B$2:B335)</f>
        <v>0</v>
      </c>
      <c r="L335" s="12">
        <f t="shared" si="106"/>
        <v>7.9555550105191886E-2</v>
      </c>
      <c r="M335" s="15">
        <f t="shared" si="100"/>
        <v>89.361599233003489</v>
      </c>
      <c r="N335" s="11">
        <f t="shared" si="116"/>
        <v>15273.298521893274</v>
      </c>
      <c r="O335" s="11">
        <f t="shared" si="117"/>
        <v>15018.784639624089</v>
      </c>
      <c r="P335" s="11">
        <f t="shared" si="113"/>
        <v>254.51388226918425</v>
      </c>
      <c r="Q335" s="11">
        <f t="shared" si="118"/>
        <v>139.42009563974324</v>
      </c>
      <c r="R335" s="11">
        <f t="shared" si="114"/>
        <v>115.09378662944101</v>
      </c>
      <c r="S335" s="9">
        <f t="shared" si="115"/>
        <v>100</v>
      </c>
      <c r="T335" s="14">
        <f t="shared" si="122"/>
        <v>7.7551770608552673E-3</v>
      </c>
      <c r="U335" s="14">
        <f t="shared" si="119"/>
        <v>0</v>
      </c>
      <c r="V335" s="14">
        <f t="shared" si="112"/>
        <v>6.0153490783658404E-3</v>
      </c>
      <c r="W335" s="14">
        <f t="shared" si="112"/>
        <v>7.1612073640468592E-4</v>
      </c>
      <c r="X335" s="16">
        <f t="shared" si="102"/>
        <v>8.3999090831612442</v>
      </c>
    </row>
    <row r="336" spans="1:24" x14ac:dyDescent="0.25">
      <c r="A336" s="10">
        <v>45667</v>
      </c>
      <c r="B336" s="11">
        <v>15875.76</v>
      </c>
      <c r="C336" s="12">
        <f t="shared" si="120"/>
        <v>1.9014706262863168E-3</v>
      </c>
      <c r="D336" s="11">
        <f t="shared" si="107"/>
        <v>15014.903</v>
      </c>
      <c r="E336" s="11">
        <f t="shared" si="111"/>
        <v>14817.697999999997</v>
      </c>
      <c r="F336" s="11">
        <f t="shared" si="109"/>
        <v>14066.237624999994</v>
      </c>
      <c r="G336" s="12">
        <f t="shared" si="121"/>
        <v>1.8996651193982463E-3</v>
      </c>
      <c r="H336" s="19">
        <f t="shared" si="103"/>
        <v>0.12978977161624772</v>
      </c>
      <c r="I336" s="11">
        <f t="shared" si="104"/>
        <v>15875.76</v>
      </c>
      <c r="J336" s="11">
        <f t="shared" si="105"/>
        <v>14611.23</v>
      </c>
      <c r="K336" s="12">
        <f>(B336-MAX($B$2:B336))/MAX($B$2:B336)</f>
        <v>0</v>
      </c>
      <c r="L336" s="12">
        <f t="shared" si="106"/>
        <v>7.9630406649252805E-2</v>
      </c>
      <c r="M336" s="15">
        <f t="shared" ref="M336:M399" si="123">IF(X336=0,100,100-(100/(1+X336)))</f>
        <v>89.733645338736068</v>
      </c>
      <c r="N336" s="11">
        <f t="shared" si="116"/>
        <v>15365.984903140463</v>
      </c>
      <c r="O336" s="11">
        <f t="shared" si="117"/>
        <v>15082.264295948231</v>
      </c>
      <c r="P336" s="11">
        <f t="shared" si="113"/>
        <v>283.72060719223191</v>
      </c>
      <c r="Q336" s="11">
        <f t="shared" si="118"/>
        <v>168.28019795024096</v>
      </c>
      <c r="R336" s="11">
        <f t="shared" si="114"/>
        <v>115.44040924199095</v>
      </c>
      <c r="S336" s="9">
        <f t="shared" si="115"/>
        <v>100</v>
      </c>
      <c r="T336" s="14">
        <f t="shared" si="122"/>
        <v>1.9014706262863168E-3</v>
      </c>
      <c r="U336" s="14">
        <f t="shared" si="119"/>
        <v>0</v>
      </c>
      <c r="V336" s="14">
        <f t="shared" ref="V336:W351" si="124">AVERAGE(T323:T336)</f>
        <v>6.1511684088148633E-3</v>
      </c>
      <c r="W336" s="14">
        <f t="shared" si="124"/>
        <v>7.037502625427762E-4</v>
      </c>
      <c r="X336" s="16">
        <f t="shared" ref="X336:X399" si="125">IF(W336=0,0,V336/W336)</f>
        <v>8.7405557570800561</v>
      </c>
    </row>
    <row r="337" spans="1:24" x14ac:dyDescent="0.25">
      <c r="A337" s="10">
        <v>45670</v>
      </c>
      <c r="B337" s="11">
        <v>15912.65</v>
      </c>
      <c r="C337" s="12">
        <f t="shared" si="120"/>
        <v>2.3236682842269207E-3</v>
      </c>
      <c r="D337" s="11">
        <f t="shared" si="107"/>
        <v>15075.295000000002</v>
      </c>
      <c r="E337" s="11">
        <f t="shared" si="111"/>
        <v>14852.304599999998</v>
      </c>
      <c r="F337" s="11">
        <f t="shared" si="109"/>
        <v>14081.778374999994</v>
      </c>
      <c r="G337" s="12">
        <f t="shared" si="121"/>
        <v>2.3209727419691512E-3</v>
      </c>
      <c r="H337" s="19">
        <f t="shared" si="103"/>
        <v>0.12969652649203858</v>
      </c>
      <c r="I337" s="11">
        <f t="shared" si="104"/>
        <v>15912.65</v>
      </c>
      <c r="J337" s="11">
        <f t="shared" si="105"/>
        <v>14611.23</v>
      </c>
      <c r="K337" s="12">
        <f>(B337-MAX($B$2:B337))/MAX($B$2:B337)</f>
        <v>0</v>
      </c>
      <c r="L337" s="12">
        <f t="shared" si="106"/>
        <v>8.2234786115696235E-2</v>
      </c>
      <c r="M337" s="15">
        <f t="shared" si="123"/>
        <v>90.039192008251149</v>
      </c>
      <c r="N337" s="11">
        <f t="shared" si="116"/>
        <v>15450.087225734238</v>
      </c>
      <c r="O337" s="11">
        <f t="shared" si="117"/>
        <v>15143.774348100214</v>
      </c>
      <c r="P337" s="11">
        <f t="shared" si="113"/>
        <v>306.31287763402361</v>
      </c>
      <c r="Q337" s="11">
        <f t="shared" si="118"/>
        <v>195.88673388699749</v>
      </c>
      <c r="R337" s="11">
        <f t="shared" si="114"/>
        <v>110.42614374702612</v>
      </c>
      <c r="S337" s="9">
        <f t="shared" si="115"/>
        <v>100</v>
      </c>
      <c r="T337" s="14">
        <f t="shared" si="122"/>
        <v>2.3236682842269207E-3</v>
      </c>
      <c r="U337" s="14">
        <f t="shared" si="119"/>
        <v>0</v>
      </c>
      <c r="V337" s="14">
        <f t="shared" si="124"/>
        <v>6.3171447148310722E-3</v>
      </c>
      <c r="W337" s="14">
        <f t="shared" si="124"/>
        <v>6.988497359545051E-4</v>
      </c>
      <c r="X337" s="16">
        <f t="shared" si="125"/>
        <v>9.0393462139653948</v>
      </c>
    </row>
    <row r="338" spans="1:24" x14ac:dyDescent="0.25">
      <c r="A338" s="10">
        <v>45672</v>
      </c>
      <c r="B338" s="11">
        <v>16079.69</v>
      </c>
      <c r="C338" s="12">
        <f t="shared" si="120"/>
        <v>1.0497308744929379E-2</v>
      </c>
      <c r="D338" s="11">
        <f t="shared" si="107"/>
        <v>15144.104000000003</v>
      </c>
      <c r="E338" s="11">
        <f t="shared" si="111"/>
        <v>14890.536399999997</v>
      </c>
      <c r="F338" s="11">
        <f t="shared" si="109"/>
        <v>14098.249312499995</v>
      </c>
      <c r="G338" s="12">
        <f t="shared" si="121"/>
        <v>1.0442594567471925E-2</v>
      </c>
      <c r="H338" s="19">
        <f t="shared" si="103"/>
        <v>0.13073359076274577</v>
      </c>
      <c r="I338" s="11">
        <f t="shared" si="104"/>
        <v>16079.69</v>
      </c>
      <c r="J338" s="11">
        <f t="shared" si="105"/>
        <v>14611.23</v>
      </c>
      <c r="K338" s="12">
        <f>(B338-MAX($B$2:B338))/MAX($B$2:B338)</f>
        <v>0</v>
      </c>
      <c r="L338" s="12">
        <f t="shared" si="106"/>
        <v>8.8274429118670339E-2</v>
      </c>
      <c r="M338" s="15">
        <f t="shared" si="123"/>
        <v>96.159736747135597</v>
      </c>
      <c r="N338" s="11">
        <f t="shared" si="116"/>
        <v>15546.949191005893</v>
      </c>
      <c r="O338" s="11">
        <f t="shared" si="117"/>
        <v>15213.101433426125</v>
      </c>
      <c r="P338" s="11">
        <f t="shared" si="113"/>
        <v>333.84775757976786</v>
      </c>
      <c r="Q338" s="11">
        <f t="shared" si="118"/>
        <v>223.47893862555156</v>
      </c>
      <c r="R338" s="11">
        <f t="shared" si="114"/>
        <v>110.36881895421629</v>
      </c>
      <c r="S338" s="9">
        <f t="shared" si="115"/>
        <v>100</v>
      </c>
      <c r="T338" s="14">
        <f t="shared" si="122"/>
        <v>1.0497308744929379E-2</v>
      </c>
      <c r="U338" s="14">
        <f t="shared" si="119"/>
        <v>0</v>
      </c>
      <c r="V338" s="14">
        <f t="shared" si="124"/>
        <v>7.0669524823260277E-3</v>
      </c>
      <c r="W338" s="14">
        <f t="shared" si="124"/>
        <v>2.8222787255523441E-4</v>
      </c>
      <c r="X338" s="16">
        <f t="shared" si="125"/>
        <v>25.039881491304389</v>
      </c>
    </row>
    <row r="339" spans="1:24" x14ac:dyDescent="0.25">
      <c r="A339" s="10">
        <v>45673</v>
      </c>
      <c r="B339" s="11">
        <v>16080.93</v>
      </c>
      <c r="C339" s="12">
        <f t="shared" si="120"/>
        <v>7.7115914548064879E-5</v>
      </c>
      <c r="D339" s="11">
        <f t="shared" si="107"/>
        <v>15209.380500000003</v>
      </c>
      <c r="E339" s="11">
        <f t="shared" si="111"/>
        <v>14926.755800000001</v>
      </c>
      <c r="F339" s="11">
        <f t="shared" si="109"/>
        <v>14114.837312499996</v>
      </c>
      <c r="G339" s="12">
        <f t="shared" si="121"/>
        <v>7.7112941268783704E-5</v>
      </c>
      <c r="H339" s="19">
        <f t="shared" si="103"/>
        <v>0.13164416101000179</v>
      </c>
      <c r="I339" s="11">
        <f t="shared" si="104"/>
        <v>16080.93</v>
      </c>
      <c r="J339" s="11">
        <f t="shared" si="105"/>
        <v>14611.23</v>
      </c>
      <c r="K339" s="12">
        <f>(B339-MAX($B$2:B339))/MAX($B$2:B339)</f>
        <v>0</v>
      </c>
      <c r="L339" s="12">
        <f t="shared" si="106"/>
        <v>8.8759948408762446E-2</v>
      </c>
      <c r="M339" s="15">
        <f t="shared" si="123"/>
        <v>97.676184544320989</v>
      </c>
      <c r="N339" s="11">
        <f t="shared" si="116"/>
        <v>15629.100084697293</v>
      </c>
      <c r="O339" s="11">
        <f t="shared" si="117"/>
        <v>15277.385030950116</v>
      </c>
      <c r="P339" s="11">
        <f t="shared" si="113"/>
        <v>351.71505374717708</v>
      </c>
      <c r="Q339" s="11">
        <f t="shared" si="118"/>
        <v>249.12616164987668</v>
      </c>
      <c r="R339" s="11">
        <f t="shared" si="114"/>
        <v>102.5888920973004</v>
      </c>
      <c r="S339" s="9">
        <f t="shared" si="115"/>
        <v>100</v>
      </c>
      <c r="T339" s="14">
        <f t="shared" si="122"/>
        <v>7.7115914548064879E-5</v>
      </c>
      <c r="U339" s="14">
        <f t="shared" si="119"/>
        <v>0</v>
      </c>
      <c r="V339" s="14">
        <f t="shared" si="124"/>
        <v>7.0724607619366041E-3</v>
      </c>
      <c r="W339" s="14">
        <f t="shared" si="124"/>
        <v>1.6826101167797099E-4</v>
      </c>
      <c r="X339" s="16">
        <f t="shared" si="125"/>
        <v>42.032677037936423</v>
      </c>
    </row>
    <row r="340" spans="1:24" x14ac:dyDescent="0.25">
      <c r="A340" s="10">
        <v>45674</v>
      </c>
      <c r="B340" s="11">
        <v>16021.76</v>
      </c>
      <c r="C340" s="12">
        <f t="shared" si="120"/>
        <v>-3.6795135604719142E-3</v>
      </c>
      <c r="D340" s="11">
        <f t="shared" si="107"/>
        <v>15271.971</v>
      </c>
      <c r="E340" s="11">
        <f t="shared" si="111"/>
        <v>14961.188599999999</v>
      </c>
      <c r="F340" s="11">
        <f t="shared" si="109"/>
        <v>14131.273062499997</v>
      </c>
      <c r="G340" s="12">
        <f t="shared" si="121"/>
        <v>-3.6862996218769589E-3</v>
      </c>
      <c r="H340" s="19">
        <f t="shared" si="103"/>
        <v>0.13369312940070491</v>
      </c>
      <c r="I340" s="11">
        <f t="shared" si="104"/>
        <v>16080.93</v>
      </c>
      <c r="J340" s="11">
        <f t="shared" si="105"/>
        <v>14611.23</v>
      </c>
      <c r="K340" s="12">
        <f>(B340-MAX($B$2:B340))/MAX($B$2:B340)</f>
        <v>-3.6795135604719424E-3</v>
      </c>
      <c r="L340" s="12">
        <f t="shared" si="106"/>
        <v>8.8139092637870231E-2</v>
      </c>
      <c r="M340" s="15">
        <f t="shared" si="123"/>
        <v>94.086774239819192</v>
      </c>
      <c r="N340" s="11">
        <f t="shared" si="116"/>
        <v>15689.50930243617</v>
      </c>
      <c r="O340" s="11">
        <f t="shared" si="117"/>
        <v>15332.523917546403</v>
      </c>
      <c r="P340" s="11">
        <f t="shared" si="113"/>
        <v>356.98538488976737</v>
      </c>
      <c r="Q340" s="11">
        <f t="shared" si="118"/>
        <v>270.69800629785482</v>
      </c>
      <c r="R340" s="11">
        <f t="shared" si="114"/>
        <v>86.287378591912557</v>
      </c>
      <c r="S340" s="9">
        <f t="shared" si="115"/>
        <v>100</v>
      </c>
      <c r="T340" s="14">
        <f t="shared" si="122"/>
        <v>0</v>
      </c>
      <c r="U340" s="14">
        <f t="shared" si="119"/>
        <v>3.6795135604719142E-3</v>
      </c>
      <c r="V340" s="14">
        <f t="shared" si="124"/>
        <v>6.8590730359985941E-3</v>
      </c>
      <c r="W340" s="14">
        <f t="shared" si="124"/>
        <v>4.3108340885453629E-4</v>
      </c>
      <c r="X340" s="16">
        <f t="shared" si="125"/>
        <v>15.91124338147076</v>
      </c>
    </row>
    <row r="341" spans="1:24" x14ac:dyDescent="0.25">
      <c r="A341" s="10">
        <v>45677</v>
      </c>
      <c r="B341" s="11">
        <v>15969.02</v>
      </c>
      <c r="C341" s="12">
        <f t="shared" si="120"/>
        <v>-3.2917731884636314E-3</v>
      </c>
      <c r="D341" s="11">
        <f t="shared" si="107"/>
        <v>15334.222000000003</v>
      </c>
      <c r="E341" s="11">
        <f t="shared" si="111"/>
        <v>14994.6304</v>
      </c>
      <c r="F341" s="11">
        <f t="shared" si="109"/>
        <v>14147.482374999998</v>
      </c>
      <c r="G341" s="12">
        <f t="shared" si="121"/>
        <v>-3.2972029928899521E-3</v>
      </c>
      <c r="H341" s="19">
        <f t="shared" ref="H341:H404" si="126">STDEV(G322:G341)*SQRT(252)</f>
        <v>0.13382382334573997</v>
      </c>
      <c r="I341" s="11">
        <f t="shared" ref="I341:I404" si="127">MAX(B322:B341)</f>
        <v>16080.93</v>
      </c>
      <c r="J341" s="11">
        <f t="shared" ref="J341:J404" si="128">MIN(B322:B341)</f>
        <v>14611.23</v>
      </c>
      <c r="K341" s="12">
        <f>(B341-MAX($B$2:B341))/MAX($B$2:B341)</f>
        <v>-6.959174624850668E-3</v>
      </c>
      <c r="L341" s="12">
        <f t="shared" ref="L341:L404" si="129">(B341/B322)-1</f>
        <v>8.474504889124379E-2</v>
      </c>
      <c r="M341" s="15">
        <f t="shared" si="123"/>
        <v>91.523463449662174</v>
      </c>
      <c r="N341" s="11">
        <f t="shared" si="116"/>
        <v>15732.510948215222</v>
      </c>
      <c r="O341" s="11">
        <f t="shared" si="117"/>
        <v>15379.671775505929</v>
      </c>
      <c r="P341" s="11">
        <f t="shared" si="113"/>
        <v>352.83917270929305</v>
      </c>
      <c r="Q341" s="11">
        <f t="shared" si="118"/>
        <v>287.12623958014251</v>
      </c>
      <c r="R341" s="11">
        <f t="shared" si="114"/>
        <v>65.712933129150542</v>
      </c>
      <c r="S341" s="9">
        <f t="shared" si="115"/>
        <v>100</v>
      </c>
      <c r="T341" s="14">
        <f t="shared" si="122"/>
        <v>0</v>
      </c>
      <c r="U341" s="14">
        <f t="shared" si="119"/>
        <v>3.2917731884636314E-3</v>
      </c>
      <c r="V341" s="14">
        <f t="shared" si="124"/>
        <v>6.8590730359985941E-3</v>
      </c>
      <c r="W341" s="14">
        <f t="shared" si="124"/>
        <v>6.3525986779397069E-4</v>
      </c>
      <c r="X341" s="16">
        <f t="shared" si="125"/>
        <v>10.797271138530585</v>
      </c>
    </row>
    <row r="342" spans="1:24" x14ac:dyDescent="0.25">
      <c r="A342" s="10">
        <v>45678</v>
      </c>
      <c r="B342" s="11">
        <v>15768.92</v>
      </c>
      <c r="C342" s="12">
        <f t="shared" si="120"/>
        <v>-1.2530512204255495E-2</v>
      </c>
      <c r="D342" s="11">
        <f t="shared" ref="D342:D405" si="130">AVERAGE(B323:B342)</f>
        <v>15386.595500000001</v>
      </c>
      <c r="E342" s="11">
        <f t="shared" si="111"/>
        <v>15020.255400000002</v>
      </c>
      <c r="F342" s="11">
        <f t="shared" si="109"/>
        <v>14162.471249999997</v>
      </c>
      <c r="G342" s="12">
        <f t="shared" si="121"/>
        <v>-1.2609681118915693E-2</v>
      </c>
      <c r="H342" s="19">
        <f t="shared" si="126"/>
        <v>0.14578631565370301</v>
      </c>
      <c r="I342" s="11">
        <f t="shared" si="127"/>
        <v>16080.93</v>
      </c>
      <c r="J342" s="11">
        <f t="shared" si="128"/>
        <v>14611.23</v>
      </c>
      <c r="K342" s="12">
        <f>(B342-MAX($B$2:B342))/MAX($B$2:B342)</f>
        <v>-1.9402484806537945E-2</v>
      </c>
      <c r="L342" s="12">
        <f t="shared" si="129"/>
        <v>7.1226131827581307E-2</v>
      </c>
      <c r="M342" s="15">
        <f t="shared" si="123"/>
        <v>80.977520044377698</v>
      </c>
      <c r="N342" s="11">
        <f t="shared" si="116"/>
        <v>15738.112340797496</v>
      </c>
      <c r="O342" s="11">
        <f t="shared" si="117"/>
        <v>15408.504977320305</v>
      </c>
      <c r="P342" s="11">
        <f t="shared" si="113"/>
        <v>329.60736347719103</v>
      </c>
      <c r="Q342" s="11">
        <f t="shared" si="118"/>
        <v>295.62246435955223</v>
      </c>
      <c r="R342" s="11">
        <f t="shared" si="114"/>
        <v>33.984899117638804</v>
      </c>
      <c r="S342" s="9">
        <f t="shared" si="115"/>
        <v>100</v>
      </c>
      <c r="T342" s="14">
        <f t="shared" si="122"/>
        <v>0</v>
      </c>
      <c r="U342" s="14">
        <f t="shared" si="119"/>
        <v>1.2530512204255495E-2</v>
      </c>
      <c r="V342" s="14">
        <f t="shared" si="124"/>
        <v>6.5143773078753285E-3</v>
      </c>
      <c r="W342" s="14">
        <f t="shared" si="124"/>
        <v>1.5302964538122204E-3</v>
      </c>
      <c r="X342" s="16">
        <f t="shared" si="125"/>
        <v>4.2569381191774589</v>
      </c>
    </row>
    <row r="343" spans="1:24" x14ac:dyDescent="0.25">
      <c r="A343" s="10">
        <v>45679</v>
      </c>
      <c r="B343" s="11">
        <v>15775.63</v>
      </c>
      <c r="C343" s="12">
        <f t="shared" si="120"/>
        <v>4.2552058099087908E-4</v>
      </c>
      <c r="D343" s="11">
        <f t="shared" si="130"/>
        <v>15439.355</v>
      </c>
      <c r="E343" s="11">
        <f t="shared" si="111"/>
        <v>15042.503600000002</v>
      </c>
      <c r="F343" s="11">
        <f t="shared" si="109"/>
        <v>14177.777749999997</v>
      </c>
      <c r="G343" s="12">
        <f t="shared" si="121"/>
        <v>4.2543007278294891E-4</v>
      </c>
      <c r="H343" s="19">
        <f t="shared" si="126"/>
        <v>0.14563923595547074</v>
      </c>
      <c r="I343" s="11">
        <f t="shared" si="127"/>
        <v>16080.93</v>
      </c>
      <c r="J343" s="11">
        <f t="shared" si="128"/>
        <v>14611.23</v>
      </c>
      <c r="K343" s="12">
        <f>(B343-MAX($B$2:B343))/MAX($B$2:B343)</f>
        <v>-1.8985220382154583E-2</v>
      </c>
      <c r="L343" s="12">
        <f t="shared" si="129"/>
        <v>7.7969439505609195E-2</v>
      </c>
      <c r="M343" s="15">
        <f t="shared" si="123"/>
        <v>80.413874126522657</v>
      </c>
      <c r="N343" s="11">
        <f t="shared" si="116"/>
        <v>15743.884288367111</v>
      </c>
      <c r="O343" s="11">
        <f t="shared" si="117"/>
        <v>15435.699423444727</v>
      </c>
      <c r="P343" s="11">
        <f t="shared" si="113"/>
        <v>308.1848649223848</v>
      </c>
      <c r="Q343" s="11">
        <f t="shared" si="118"/>
        <v>298.13494447211878</v>
      </c>
      <c r="R343" s="11">
        <f t="shared" si="114"/>
        <v>10.049920450266029</v>
      </c>
      <c r="S343" s="9">
        <f t="shared" si="115"/>
        <v>100</v>
      </c>
      <c r="T343" s="14">
        <f t="shared" si="122"/>
        <v>4.2552058099087908E-4</v>
      </c>
      <c r="U343" s="14">
        <f t="shared" si="119"/>
        <v>0</v>
      </c>
      <c r="V343" s="14">
        <f t="shared" si="124"/>
        <v>6.2828691701485627E-3</v>
      </c>
      <c r="W343" s="14">
        <f t="shared" si="124"/>
        <v>1.5302964538122204E-3</v>
      </c>
      <c r="X343" s="16">
        <f t="shared" si="125"/>
        <v>4.1056549235913744</v>
      </c>
    </row>
    <row r="344" spans="1:24" x14ac:dyDescent="0.25">
      <c r="A344" s="10">
        <v>45680</v>
      </c>
      <c r="B344" s="11">
        <v>15828.03</v>
      </c>
      <c r="C344" s="12">
        <f t="shared" si="120"/>
        <v>3.3215789163412168E-3</v>
      </c>
      <c r="D344" s="11">
        <f t="shared" si="130"/>
        <v>15499.027500000002</v>
      </c>
      <c r="E344" s="11">
        <f t="shared" si="111"/>
        <v>15065.239000000001</v>
      </c>
      <c r="F344" s="11">
        <f t="shared" si="109"/>
        <v>14193.113874999995</v>
      </c>
      <c r="G344" s="12">
        <f t="shared" si="121"/>
        <v>3.3160746582763618E-3</v>
      </c>
      <c r="H344" s="19">
        <f t="shared" si="126"/>
        <v>0.14144060984175394</v>
      </c>
      <c r="I344" s="11">
        <f t="shared" si="127"/>
        <v>16080.93</v>
      </c>
      <c r="J344" s="11">
        <f t="shared" si="128"/>
        <v>14611.23</v>
      </c>
      <c r="K344" s="12">
        <f>(B344-MAX($B$2:B344))/MAX($B$2:B344)</f>
        <v>-1.5726702373556729E-2</v>
      </c>
      <c r="L344" s="12">
        <f t="shared" si="129"/>
        <v>8.3278409825866984E-2</v>
      </c>
      <c r="M344" s="15">
        <f t="shared" si="123"/>
        <v>76.571914402137651</v>
      </c>
      <c r="N344" s="11">
        <f t="shared" si="116"/>
        <v>15756.82978246448</v>
      </c>
      <c r="O344" s="11">
        <f t="shared" si="117"/>
        <v>15464.760947634006</v>
      </c>
      <c r="P344" s="11">
        <f t="shared" si="113"/>
        <v>292.06883483047386</v>
      </c>
      <c r="Q344" s="11">
        <f t="shared" si="118"/>
        <v>296.92172254378983</v>
      </c>
      <c r="R344" s="11">
        <f t="shared" si="114"/>
        <v>-4.8528877133159654</v>
      </c>
      <c r="S344" s="9">
        <f t="shared" si="115"/>
        <v>60</v>
      </c>
      <c r="T344" s="14">
        <f t="shared" si="122"/>
        <v>3.3215789163412168E-3</v>
      </c>
      <c r="U344" s="14">
        <f t="shared" si="119"/>
        <v>0</v>
      </c>
      <c r="V344" s="14">
        <f t="shared" si="124"/>
        <v>5.0015921523650165E-3</v>
      </c>
      <c r="W344" s="14">
        <f t="shared" si="124"/>
        <v>1.5302964538122204E-3</v>
      </c>
      <c r="X344" s="16">
        <f t="shared" si="125"/>
        <v>3.2683811949673065</v>
      </c>
    </row>
    <row r="345" spans="1:24" x14ac:dyDescent="0.25">
      <c r="A345" s="10">
        <v>45681</v>
      </c>
      <c r="B345" s="11">
        <v>15882.04</v>
      </c>
      <c r="C345" s="12">
        <f t="shared" si="120"/>
        <v>3.4123008359221441E-3</v>
      </c>
      <c r="D345" s="11">
        <f t="shared" si="130"/>
        <v>15562.568000000003</v>
      </c>
      <c r="E345" s="11">
        <f t="shared" si="111"/>
        <v>15089.879400000002</v>
      </c>
      <c r="F345" s="11">
        <f t="shared" si="109"/>
        <v>14208.953999999994</v>
      </c>
      <c r="G345" s="12">
        <f t="shared" si="121"/>
        <v>3.4064921476685615E-3</v>
      </c>
      <c r="H345" s="19">
        <f t="shared" si="126"/>
        <v>0.13995966450391681</v>
      </c>
      <c r="I345" s="11">
        <f t="shared" si="127"/>
        <v>16080.93</v>
      </c>
      <c r="J345" s="11">
        <f t="shared" si="128"/>
        <v>14648.53</v>
      </c>
      <c r="K345" s="12">
        <f>(B345-MAX($B$2:B345))/MAX($B$2:B345)</f>
        <v>-1.2368065777290207E-2</v>
      </c>
      <c r="L345" s="12">
        <f t="shared" si="129"/>
        <v>8.3737294334720103E-2</v>
      </c>
      <c r="M345" s="15">
        <f t="shared" si="123"/>
        <v>67.745159008293825</v>
      </c>
      <c r="N345" s="11">
        <f t="shared" si="116"/>
        <v>15776.09289285456</v>
      </c>
      <c r="O345" s="11">
        <f t="shared" si="117"/>
        <v>15495.670507068524</v>
      </c>
      <c r="P345" s="11">
        <f t="shared" si="113"/>
        <v>280.4223857860361</v>
      </c>
      <c r="Q345" s="11">
        <f t="shared" si="118"/>
        <v>293.62185519223908</v>
      </c>
      <c r="R345" s="11">
        <f t="shared" si="114"/>
        <v>-13.199469406202979</v>
      </c>
      <c r="S345" s="9">
        <f t="shared" si="115"/>
        <v>60</v>
      </c>
      <c r="T345" s="14">
        <f t="shared" si="122"/>
        <v>3.4123008359221441E-3</v>
      </c>
      <c r="U345" s="14">
        <f t="shared" si="119"/>
        <v>0</v>
      </c>
      <c r="V345" s="14">
        <f t="shared" si="124"/>
        <v>3.2140966566846269E-3</v>
      </c>
      <c r="W345" s="14">
        <f t="shared" si="124"/>
        <v>1.5302964538122204E-3</v>
      </c>
      <c r="X345" s="16">
        <f t="shared" si="125"/>
        <v>2.1003098116562859</v>
      </c>
    </row>
    <row r="346" spans="1:24" x14ac:dyDescent="0.25">
      <c r="A346" s="10">
        <v>45684</v>
      </c>
      <c r="B346" s="11">
        <v>15886.27</v>
      </c>
      <c r="C346" s="12">
        <f t="shared" si="120"/>
        <v>2.663385811898511E-4</v>
      </c>
      <c r="D346" s="11">
        <f t="shared" si="130"/>
        <v>15624.137500000003</v>
      </c>
      <c r="E346" s="11">
        <f t="shared" si="111"/>
        <v>15114.042800000003</v>
      </c>
      <c r="F346" s="11">
        <f t="shared" si="109"/>
        <v>14225.032937499995</v>
      </c>
      <c r="G346" s="12">
        <f t="shared" si="121"/>
        <v>2.6630311936636408E-4</v>
      </c>
      <c r="H346" s="19">
        <f t="shared" si="126"/>
        <v>0.1405959994623994</v>
      </c>
      <c r="I346" s="11">
        <f t="shared" si="127"/>
        <v>16080.93</v>
      </c>
      <c r="J346" s="11">
        <f t="shared" si="128"/>
        <v>14648.53</v>
      </c>
      <c r="K346" s="12">
        <f>(B346-MAX($B$2:B346))/MAX($B$2:B346)</f>
        <v>-1.2105021289191598E-2</v>
      </c>
      <c r="L346" s="12">
        <f t="shared" si="129"/>
        <v>8.4495850436869802E-2</v>
      </c>
      <c r="M346" s="15">
        <f t="shared" si="123"/>
        <v>66.488837972956105</v>
      </c>
      <c r="N346" s="11">
        <f t="shared" si="116"/>
        <v>15793.043217030781</v>
      </c>
      <c r="O346" s="11">
        <f t="shared" si="117"/>
        <v>15524.603802841226</v>
      </c>
      <c r="P346" s="11">
        <f t="shared" si="113"/>
        <v>268.43941418955546</v>
      </c>
      <c r="Q346" s="11">
        <f t="shared" si="118"/>
        <v>288.58536699170236</v>
      </c>
      <c r="R346" s="11">
        <f t="shared" si="114"/>
        <v>-20.145952802146894</v>
      </c>
      <c r="S346" s="9">
        <f t="shared" si="115"/>
        <v>60</v>
      </c>
      <c r="T346" s="14">
        <f t="shared" si="122"/>
        <v>2.663385811898511E-4</v>
      </c>
      <c r="U346" s="14">
        <f t="shared" si="119"/>
        <v>0</v>
      </c>
      <c r="V346" s="14">
        <f t="shared" si="124"/>
        <v>3.0362311186343965E-3</v>
      </c>
      <c r="W346" s="14">
        <f t="shared" si="124"/>
        <v>1.5302964538122204E-3</v>
      </c>
      <c r="X346" s="16">
        <f t="shared" si="125"/>
        <v>1.9840803467005657</v>
      </c>
    </row>
    <row r="347" spans="1:24" x14ac:dyDescent="0.25">
      <c r="A347" s="10">
        <v>45685</v>
      </c>
      <c r="B347" s="11">
        <v>15912.73</v>
      </c>
      <c r="C347" s="12">
        <f t="shared" si="120"/>
        <v>1.6655892163484065E-3</v>
      </c>
      <c r="D347" s="11">
        <f t="shared" si="130"/>
        <v>15687.3475</v>
      </c>
      <c r="E347" s="11">
        <f t="shared" si="111"/>
        <v>15137.276800000003</v>
      </c>
      <c r="F347" s="11">
        <f t="shared" si="109"/>
        <v>14241.297499999995</v>
      </c>
      <c r="G347" s="12">
        <f t="shared" si="121"/>
        <v>1.6642036609270231E-3</v>
      </c>
      <c r="H347" s="19">
        <f t="shared" si="126"/>
        <v>0.13990745485121325</v>
      </c>
      <c r="I347" s="11">
        <f t="shared" si="127"/>
        <v>16080.93</v>
      </c>
      <c r="J347" s="11">
        <f t="shared" si="128"/>
        <v>14719.22</v>
      </c>
      <c r="K347" s="12">
        <f>(B347-MAX($B$2:B347))/MAX($B$2:B347)</f>
        <v>-1.0459594065766142E-2</v>
      </c>
      <c r="L347" s="12">
        <f t="shared" si="129"/>
        <v>8.1085139022312402E-2</v>
      </c>
      <c r="M347" s="15">
        <f t="shared" si="123"/>
        <v>69.37273001387733</v>
      </c>
      <c r="N347" s="11">
        <f t="shared" si="116"/>
        <v>15811.456568256814</v>
      </c>
      <c r="O347" s="11">
        <f t="shared" si="117"/>
        <v>15553.353891519653</v>
      </c>
      <c r="P347" s="11">
        <f t="shared" si="113"/>
        <v>258.10267673716044</v>
      </c>
      <c r="Q347" s="11">
        <f t="shared" si="118"/>
        <v>282.48882894079401</v>
      </c>
      <c r="R347" s="11">
        <f t="shared" si="114"/>
        <v>-24.386152203633571</v>
      </c>
      <c r="S347" s="9">
        <f t="shared" si="115"/>
        <v>60</v>
      </c>
      <c r="T347" s="14">
        <f t="shared" si="122"/>
        <v>1.6655892163484065E-3</v>
      </c>
      <c r="U347" s="14">
        <f t="shared" si="119"/>
        <v>0</v>
      </c>
      <c r="V347" s="14">
        <f t="shared" si="124"/>
        <v>3.1552017769449969E-3</v>
      </c>
      <c r="W347" s="14">
        <f t="shared" si="124"/>
        <v>1.3929856395136458E-3</v>
      </c>
      <c r="X347" s="16">
        <f t="shared" si="125"/>
        <v>2.2650641093806394</v>
      </c>
    </row>
    <row r="348" spans="1:24" x14ac:dyDescent="0.25">
      <c r="A348" s="10">
        <v>45686</v>
      </c>
      <c r="B348" s="11">
        <v>16106.61</v>
      </c>
      <c r="C348" s="12">
        <f t="shared" si="120"/>
        <v>1.2183955864267126E-2</v>
      </c>
      <c r="D348" s="11">
        <f t="shared" si="130"/>
        <v>15756.716999999999</v>
      </c>
      <c r="E348" s="11">
        <f t="shared" si="111"/>
        <v>15162.160000000002</v>
      </c>
      <c r="F348" s="11">
        <f t="shared" si="109"/>
        <v>14258.750749999997</v>
      </c>
      <c r="G348" s="12">
        <f t="shared" si="121"/>
        <v>1.2110328915712466E-2</v>
      </c>
      <c r="H348" s="19">
        <f t="shared" si="126"/>
        <v>0.14274285228403724</v>
      </c>
      <c r="I348" s="11">
        <f t="shared" si="127"/>
        <v>16106.61</v>
      </c>
      <c r="J348" s="11">
        <f t="shared" si="128"/>
        <v>14773.19</v>
      </c>
      <c r="K348" s="12">
        <f>(B348-MAX($B$2:B348))/MAX($B$2:B348)</f>
        <v>0</v>
      </c>
      <c r="L348" s="12">
        <f t="shared" si="129"/>
        <v>9.0259449719390261E-2</v>
      </c>
      <c r="M348" s="15">
        <f t="shared" si="123"/>
        <v>69.206951811777884</v>
      </c>
      <c r="N348" s="11">
        <f t="shared" si="116"/>
        <v>15856.864788524996</v>
      </c>
      <c r="O348" s="11">
        <f t="shared" si="117"/>
        <v>15594.335825481161</v>
      </c>
      <c r="P348" s="11">
        <f t="shared" si="113"/>
        <v>262.52896304383466</v>
      </c>
      <c r="Q348" s="11">
        <f t="shared" si="118"/>
        <v>278.49685576140212</v>
      </c>
      <c r="R348" s="11">
        <f t="shared" si="114"/>
        <v>-15.967892717567452</v>
      </c>
      <c r="S348" s="9">
        <f t="shared" si="115"/>
        <v>60</v>
      </c>
      <c r="T348" s="14">
        <f t="shared" si="122"/>
        <v>1.2183955864267126E-2</v>
      </c>
      <c r="U348" s="14">
        <f t="shared" si="119"/>
        <v>0</v>
      </c>
      <c r="V348" s="14">
        <f t="shared" si="124"/>
        <v>3.130716044707541E-3</v>
      </c>
      <c r="W348" s="14">
        <f t="shared" si="124"/>
        <v>1.3929856395136458E-3</v>
      </c>
      <c r="X348" s="16">
        <f t="shared" si="125"/>
        <v>2.2474862309424921</v>
      </c>
    </row>
    <row r="349" spans="1:24" x14ac:dyDescent="0.25">
      <c r="A349" s="10">
        <v>45687</v>
      </c>
      <c r="B349" s="11">
        <v>16344.54</v>
      </c>
      <c r="C349" s="12">
        <f t="shared" si="120"/>
        <v>1.47721960114513E-2</v>
      </c>
      <c r="D349" s="11">
        <f t="shared" si="130"/>
        <v>15835.284499999998</v>
      </c>
      <c r="E349" s="11">
        <f t="shared" si="111"/>
        <v>15189.515000000005</v>
      </c>
      <c r="F349" s="11">
        <f t="shared" si="109"/>
        <v>14278.162124999997</v>
      </c>
      <c r="G349" s="12">
        <f t="shared" si="121"/>
        <v>1.4664149876760627E-2</v>
      </c>
      <c r="H349" s="19">
        <f t="shared" si="126"/>
        <v>0.14715627900885805</v>
      </c>
      <c r="I349" s="11">
        <f t="shared" si="127"/>
        <v>16344.54</v>
      </c>
      <c r="J349" s="11">
        <f t="shared" si="128"/>
        <v>15087.26</v>
      </c>
      <c r="K349" s="12">
        <f>(B349-MAX($B$2:B349))/MAX($B$2:B349)</f>
        <v>0</v>
      </c>
      <c r="L349" s="12">
        <f t="shared" si="129"/>
        <v>8.333388567572908E-2</v>
      </c>
      <c r="M349" s="15">
        <f t="shared" si="123"/>
        <v>72.27843664242269</v>
      </c>
      <c r="N349" s="11">
        <f t="shared" si="116"/>
        <v>15931.891744136534</v>
      </c>
      <c r="O349" s="11">
        <f t="shared" si="117"/>
        <v>15649.906505075149</v>
      </c>
      <c r="P349" s="11">
        <f t="shared" si="113"/>
        <v>281.98523906138507</v>
      </c>
      <c r="Q349" s="11">
        <f t="shared" si="118"/>
        <v>279.19453242139872</v>
      </c>
      <c r="R349" s="11">
        <f t="shared" si="114"/>
        <v>2.7907066399863538</v>
      </c>
      <c r="S349" s="9">
        <f t="shared" si="115"/>
        <v>100</v>
      </c>
      <c r="T349" s="14">
        <f t="shared" si="122"/>
        <v>1.47721960114513E-2</v>
      </c>
      <c r="U349" s="14">
        <f t="shared" si="119"/>
        <v>0</v>
      </c>
      <c r="V349" s="14">
        <f t="shared" si="124"/>
        <v>3.631931684035829E-3</v>
      </c>
      <c r="W349" s="14">
        <f t="shared" si="124"/>
        <v>1.3929856395136458E-3</v>
      </c>
      <c r="X349" s="16">
        <f t="shared" si="125"/>
        <v>2.6073001623361316</v>
      </c>
    </row>
    <row r="350" spans="1:24" x14ac:dyDescent="0.25">
      <c r="A350" s="10">
        <v>45688</v>
      </c>
      <c r="B350" s="11">
        <v>16248.2</v>
      </c>
      <c r="C350" s="12">
        <f t="shared" si="120"/>
        <v>-5.8943231195249801E-3</v>
      </c>
      <c r="D350" s="11">
        <f t="shared" si="130"/>
        <v>15893.3315</v>
      </c>
      <c r="E350" s="11">
        <f t="shared" si="111"/>
        <v>15214.747800000003</v>
      </c>
      <c r="F350" s="11">
        <f t="shared" si="109"/>
        <v>14298.130374999997</v>
      </c>
      <c r="G350" s="12">
        <f t="shared" si="121"/>
        <v>-5.9117632074880012E-3</v>
      </c>
      <c r="H350" s="19">
        <f t="shared" si="126"/>
        <v>0.13921292228330562</v>
      </c>
      <c r="I350" s="11">
        <f t="shared" si="127"/>
        <v>16344.54</v>
      </c>
      <c r="J350" s="11">
        <f t="shared" si="128"/>
        <v>15516.3</v>
      </c>
      <c r="K350" s="12">
        <f>(B350-MAX($B$2:B350))/MAX($B$2:B350)</f>
        <v>-5.8943231195249385E-3</v>
      </c>
      <c r="L350" s="12">
        <f t="shared" si="129"/>
        <v>4.7169750520420495E-2</v>
      </c>
      <c r="M350" s="15">
        <f t="shared" si="123"/>
        <v>65.838656133839322</v>
      </c>
      <c r="N350" s="11">
        <f t="shared" si="116"/>
        <v>15980.554552730913</v>
      </c>
      <c r="O350" s="11">
        <f t="shared" si="117"/>
        <v>15694.22454173625</v>
      </c>
      <c r="P350" s="11">
        <f t="shared" si="113"/>
        <v>286.3300109946631</v>
      </c>
      <c r="Q350" s="11">
        <f t="shared" si="118"/>
        <v>280.62162813605164</v>
      </c>
      <c r="R350" s="11">
        <f t="shared" si="114"/>
        <v>5.7083828586114578</v>
      </c>
      <c r="S350" s="9">
        <f t="shared" si="115"/>
        <v>100</v>
      </c>
      <c r="T350" s="14">
        <f t="shared" si="122"/>
        <v>0</v>
      </c>
      <c r="U350" s="14">
        <f t="shared" si="119"/>
        <v>5.8943231195249801E-3</v>
      </c>
      <c r="V350" s="14">
        <f t="shared" si="124"/>
        <v>3.4961123535868061E-3</v>
      </c>
      <c r="W350" s="14">
        <f t="shared" si="124"/>
        <v>1.8140087194797158E-3</v>
      </c>
      <c r="X350" s="16">
        <f t="shared" si="125"/>
        <v>1.9272853079722474</v>
      </c>
    </row>
    <row r="351" spans="1:24" x14ac:dyDescent="0.25">
      <c r="A351" s="10">
        <v>45691</v>
      </c>
      <c r="B351" s="11">
        <v>16208.87</v>
      </c>
      <c r="C351" s="12">
        <f t="shared" si="120"/>
        <v>-2.4205758176290004E-3</v>
      </c>
      <c r="D351" s="11">
        <f t="shared" si="130"/>
        <v>15927.960000000001</v>
      </c>
      <c r="E351" s="11">
        <f t="shared" si="111"/>
        <v>15241.562400000003</v>
      </c>
      <c r="F351" s="11">
        <f t="shared" si="109"/>
        <v>14316.661437499995</v>
      </c>
      <c r="G351" s="12">
        <f t="shared" si="121"/>
        <v>-2.4235101474083054E-3</v>
      </c>
      <c r="H351" s="19">
        <f t="shared" si="126"/>
        <v>0.1068157780927048</v>
      </c>
      <c r="I351" s="11">
        <f t="shared" si="127"/>
        <v>16344.54</v>
      </c>
      <c r="J351" s="11">
        <f t="shared" si="128"/>
        <v>15529.16</v>
      </c>
      <c r="K351" s="12">
        <f>(B351-MAX($B$2:B351))/MAX($B$2:B351)</f>
        <v>-8.3006312811495491E-3</v>
      </c>
      <c r="L351" s="12">
        <f t="shared" si="129"/>
        <v>4.1763421592678762E-2</v>
      </c>
      <c r="M351" s="15">
        <f t="shared" si="123"/>
        <v>62.631353981566221</v>
      </c>
      <c r="N351" s="11">
        <f t="shared" si="116"/>
        <v>16015.680006156927</v>
      </c>
      <c r="O351" s="11">
        <f t="shared" si="117"/>
        <v>15732.346427533565</v>
      </c>
      <c r="P351" s="11">
        <f t="shared" si="113"/>
        <v>283.33357862336197</v>
      </c>
      <c r="Q351" s="11">
        <f t="shared" si="118"/>
        <v>281.16401823351373</v>
      </c>
      <c r="R351" s="11">
        <f t="shared" si="114"/>
        <v>2.1695603898482432</v>
      </c>
      <c r="S351" s="9">
        <f t="shared" si="115"/>
        <v>100</v>
      </c>
      <c r="T351" s="14">
        <f t="shared" si="122"/>
        <v>0</v>
      </c>
      <c r="U351" s="14">
        <f t="shared" si="119"/>
        <v>2.4205758176290004E-3</v>
      </c>
      <c r="V351" s="14">
        <f t="shared" si="124"/>
        <v>3.3301360475705977E-3</v>
      </c>
      <c r="W351" s="14">
        <f t="shared" si="124"/>
        <v>1.9869069921675015E-3</v>
      </c>
      <c r="X351" s="16">
        <f t="shared" si="125"/>
        <v>1.6760402276997264</v>
      </c>
    </row>
    <row r="352" spans="1:24" x14ac:dyDescent="0.25">
      <c r="A352" s="10">
        <v>45692</v>
      </c>
      <c r="B352" s="11">
        <v>16246.33</v>
      </c>
      <c r="C352" s="12">
        <f t="shared" si="120"/>
        <v>2.3110802912231776E-3</v>
      </c>
      <c r="D352" s="11">
        <f t="shared" si="130"/>
        <v>15962.323</v>
      </c>
      <c r="E352" s="11">
        <f t="shared" si="111"/>
        <v>15268.756000000003</v>
      </c>
      <c r="F352" s="11">
        <f t="shared" si="109"/>
        <v>14335.719499999996</v>
      </c>
      <c r="G352" s="12">
        <f t="shared" si="121"/>
        <v>2.3084138526125201E-3</v>
      </c>
      <c r="H352" s="19">
        <f t="shared" si="126"/>
        <v>0.10679601350852319</v>
      </c>
      <c r="I352" s="11">
        <f t="shared" si="127"/>
        <v>16344.54</v>
      </c>
      <c r="J352" s="11">
        <f t="shared" si="128"/>
        <v>15529.16</v>
      </c>
      <c r="K352" s="12">
        <f>(B352-MAX($B$2:B352))/MAX($B$2:B352)</f>
        <v>-6.0087344152849175E-3</v>
      </c>
      <c r="L352" s="12">
        <f t="shared" si="129"/>
        <v>4.6182150225768881E-2</v>
      </c>
      <c r="M352" s="15">
        <f t="shared" si="123"/>
        <v>58.014036074758607</v>
      </c>
      <c r="N352" s="11">
        <f t="shared" si="116"/>
        <v>16051.164620594322</v>
      </c>
      <c r="O352" s="11">
        <f t="shared" si="117"/>
        <v>15770.419284753301</v>
      </c>
      <c r="P352" s="11">
        <f t="shared" si="113"/>
        <v>280.74533584102028</v>
      </c>
      <c r="Q352" s="11">
        <f t="shared" si="118"/>
        <v>281.08028175501505</v>
      </c>
      <c r="R352" s="11">
        <f t="shared" si="114"/>
        <v>-0.33494591399477258</v>
      </c>
      <c r="S352" s="9">
        <f t="shared" si="115"/>
        <v>60</v>
      </c>
      <c r="T352" s="14">
        <f t="shared" si="122"/>
        <v>2.3110802912231776E-3</v>
      </c>
      <c r="U352" s="14">
        <f t="shared" si="119"/>
        <v>0</v>
      </c>
      <c r="V352" s="14">
        <f t="shared" ref="V352:W367" si="131">AVERAGE(T339:T352)</f>
        <v>2.7454054437344405E-3</v>
      </c>
      <c r="W352" s="14">
        <f t="shared" si="131"/>
        <v>1.9869069921675015E-3</v>
      </c>
      <c r="X352" s="16">
        <f t="shared" si="125"/>
        <v>1.381748342804662</v>
      </c>
    </row>
    <row r="353" spans="1:24" x14ac:dyDescent="0.25">
      <c r="A353" s="10">
        <v>45693</v>
      </c>
      <c r="B353" s="11">
        <v>16217.65</v>
      </c>
      <c r="C353" s="12">
        <f t="shared" si="120"/>
        <v>-1.7653217680546618E-3</v>
      </c>
      <c r="D353" s="11">
        <f t="shared" si="130"/>
        <v>15996.747500000003</v>
      </c>
      <c r="E353" s="11">
        <f t="shared" si="111"/>
        <v>15298.735400000003</v>
      </c>
      <c r="F353" s="11">
        <f t="shared" ref="F353:F416" si="132">AVERAGE(B194:B353)</f>
        <v>14354.835624999996</v>
      </c>
      <c r="G353" s="12">
        <f t="shared" si="121"/>
        <v>-1.7668817847516769E-3</v>
      </c>
      <c r="H353" s="19">
        <f t="shared" si="126"/>
        <v>0.10671762579191313</v>
      </c>
      <c r="I353" s="11">
        <f t="shared" si="127"/>
        <v>16344.54</v>
      </c>
      <c r="J353" s="11">
        <f t="shared" si="128"/>
        <v>15723.69</v>
      </c>
      <c r="K353" s="12">
        <f>(B353-MAX($B$2:B353))/MAX($B$2:B353)</f>
        <v>-7.7634488336778664E-3</v>
      </c>
      <c r="L353" s="12">
        <f t="shared" si="129"/>
        <v>3.1415017721666993E-2</v>
      </c>
      <c r="M353" s="15">
        <f t="shared" si="123"/>
        <v>56.458982720636953</v>
      </c>
      <c r="N353" s="11">
        <f t="shared" si="116"/>
        <v>16076.777755887502</v>
      </c>
      <c r="O353" s="11">
        <f t="shared" si="117"/>
        <v>15803.547485882686</v>
      </c>
      <c r="P353" s="11">
        <f t="shared" si="113"/>
        <v>273.2302700048167</v>
      </c>
      <c r="Q353" s="11">
        <f t="shared" si="118"/>
        <v>279.51027940497539</v>
      </c>
      <c r="R353" s="11">
        <f t="shared" si="114"/>
        <v>-6.2800094001586899</v>
      </c>
      <c r="S353" s="9">
        <f t="shared" si="115"/>
        <v>60</v>
      </c>
      <c r="T353" s="14">
        <f t="shared" si="122"/>
        <v>0</v>
      </c>
      <c r="U353" s="14">
        <f t="shared" si="119"/>
        <v>1.7653217680546618E-3</v>
      </c>
      <c r="V353" s="14">
        <f t="shared" si="131"/>
        <v>2.7398971641238645E-3</v>
      </c>
      <c r="W353" s="14">
        <f t="shared" si="131"/>
        <v>2.1130014041714057E-3</v>
      </c>
      <c r="X353" s="16">
        <f t="shared" si="125"/>
        <v>1.2966849708262689</v>
      </c>
    </row>
    <row r="354" spans="1:24" x14ac:dyDescent="0.25">
      <c r="A354" s="10">
        <v>45694</v>
      </c>
      <c r="B354" s="11">
        <v>16326.12</v>
      </c>
      <c r="C354" s="12">
        <f t="shared" si="120"/>
        <v>6.6883919680102988E-3</v>
      </c>
      <c r="D354" s="11">
        <f t="shared" si="130"/>
        <v>16026.869000000002</v>
      </c>
      <c r="E354" s="11">
        <f t="shared" si="111"/>
        <v>15329.023000000003</v>
      </c>
      <c r="F354" s="11">
        <f t="shared" si="132"/>
        <v>14374.460374999999</v>
      </c>
      <c r="G354" s="12">
        <f t="shared" si="121"/>
        <v>6.6661239109687661E-3</v>
      </c>
      <c r="H354" s="19">
        <f t="shared" si="126"/>
        <v>0.10115879080397565</v>
      </c>
      <c r="I354" s="11">
        <f t="shared" si="127"/>
        <v>16344.54</v>
      </c>
      <c r="J354" s="11">
        <f t="shared" si="128"/>
        <v>15768.92</v>
      </c>
      <c r="K354" s="12">
        <f>(B354-MAX($B$2:B354))/MAX($B$2:B354)</f>
        <v>-1.126981854490862E-3</v>
      </c>
      <c r="L354" s="12">
        <f t="shared" si="129"/>
        <v>3.0323186897586396E-2</v>
      </c>
      <c r="M354" s="15">
        <f t="shared" si="123"/>
        <v>63.491608399380709</v>
      </c>
      <c r="N354" s="11">
        <f t="shared" si="116"/>
        <v>16115.138101135579</v>
      </c>
      <c r="O354" s="11">
        <f t="shared" si="117"/>
        <v>15842.256561002487</v>
      </c>
      <c r="P354" s="11">
        <f t="shared" si="113"/>
        <v>272.88154013309213</v>
      </c>
      <c r="Q354" s="11">
        <f t="shared" si="118"/>
        <v>278.18453155059876</v>
      </c>
      <c r="R354" s="11">
        <f t="shared" si="114"/>
        <v>-5.3029914175066324</v>
      </c>
      <c r="S354" s="9">
        <f t="shared" si="115"/>
        <v>60</v>
      </c>
      <c r="T354" s="14">
        <f t="shared" si="122"/>
        <v>6.6883919680102988E-3</v>
      </c>
      <c r="U354" s="14">
        <f t="shared" si="119"/>
        <v>0</v>
      </c>
      <c r="V354" s="14">
        <f t="shared" si="131"/>
        <v>3.2176394475531716E-3</v>
      </c>
      <c r="W354" s="14">
        <f t="shared" si="131"/>
        <v>1.8501790069948407E-3</v>
      </c>
      <c r="X354" s="16">
        <f t="shared" si="125"/>
        <v>1.7390962903527012</v>
      </c>
    </row>
    <row r="355" spans="1:24" x14ac:dyDescent="0.25">
      <c r="A355" s="10">
        <v>45695</v>
      </c>
      <c r="B355" s="11">
        <v>16325.77</v>
      </c>
      <c r="C355" s="12">
        <f t="shared" si="120"/>
        <v>-2.1438039166654654E-5</v>
      </c>
      <c r="D355" s="11">
        <f t="shared" si="130"/>
        <v>16050.876000000004</v>
      </c>
      <c r="E355" s="11">
        <f t="shared" si="111"/>
        <v>15357.516600000001</v>
      </c>
      <c r="F355" s="11">
        <f t="shared" si="132"/>
        <v>14394.228374999997</v>
      </c>
      <c r="G355" s="12">
        <f t="shared" si="121"/>
        <v>-2.1438268964700596E-5</v>
      </c>
      <c r="H355" s="19">
        <f t="shared" si="126"/>
        <v>9.8934678111920402E-2</v>
      </c>
      <c r="I355" s="11">
        <f t="shared" si="127"/>
        <v>16344.54</v>
      </c>
      <c r="J355" s="11">
        <f t="shared" si="128"/>
        <v>15768.92</v>
      </c>
      <c r="K355" s="12">
        <f>(B355-MAX($B$2:B355))/MAX($B$2:B355)</f>
        <v>-1.1483957333764325E-3</v>
      </c>
      <c r="L355" s="12">
        <f t="shared" si="129"/>
        <v>2.8345729590268487E-2</v>
      </c>
      <c r="M355" s="15">
        <f t="shared" si="123"/>
        <v>66.559597888195356</v>
      </c>
      <c r="N355" s="11">
        <f t="shared" si="116"/>
        <v>16147.543008653183</v>
      </c>
      <c r="O355" s="11">
        <f t="shared" si="117"/>
        <v>15878.072371298598</v>
      </c>
      <c r="P355" s="11">
        <f t="shared" si="113"/>
        <v>269.47063735458505</v>
      </c>
      <c r="Q355" s="11">
        <f t="shared" si="118"/>
        <v>276.44175271139602</v>
      </c>
      <c r="R355" s="11">
        <f t="shared" si="114"/>
        <v>-6.9711153568109694</v>
      </c>
      <c r="S355" s="9">
        <f t="shared" si="115"/>
        <v>60</v>
      </c>
      <c r="T355" s="14">
        <f t="shared" si="122"/>
        <v>0</v>
      </c>
      <c r="U355" s="14">
        <f t="shared" si="119"/>
        <v>2.1438039166654654E-5</v>
      </c>
      <c r="V355" s="14">
        <f t="shared" si="131"/>
        <v>3.2176394475531716E-3</v>
      </c>
      <c r="W355" s="14">
        <f t="shared" si="131"/>
        <v>1.6165836391879137E-3</v>
      </c>
      <c r="X355" s="16">
        <f t="shared" si="125"/>
        <v>1.9903946628889204</v>
      </c>
    </row>
    <row r="356" spans="1:24" x14ac:dyDescent="0.25">
      <c r="A356" s="10">
        <v>45698</v>
      </c>
      <c r="B356" s="11">
        <v>16348.72</v>
      </c>
      <c r="C356" s="12">
        <f t="shared" si="120"/>
        <v>1.4057529905173727E-3</v>
      </c>
      <c r="D356" s="11">
        <f t="shared" si="130"/>
        <v>16074.524000000001</v>
      </c>
      <c r="E356" s="11">
        <f t="shared" si="111"/>
        <v>15386.724800000002</v>
      </c>
      <c r="F356" s="11">
        <f t="shared" si="132"/>
        <v>14413.977937499998</v>
      </c>
      <c r="G356" s="12">
        <f t="shared" si="121"/>
        <v>1.4047658447959386E-3</v>
      </c>
      <c r="H356" s="19">
        <f t="shared" si="126"/>
        <v>9.892326370380812E-2</v>
      </c>
      <c r="I356" s="11">
        <f t="shared" si="127"/>
        <v>16348.72</v>
      </c>
      <c r="J356" s="11">
        <f t="shared" si="128"/>
        <v>15768.92</v>
      </c>
      <c r="K356" s="12">
        <f>(B356-MAX($B$2:B356))/MAX($B$2:B356)</f>
        <v>0</v>
      </c>
      <c r="L356" s="12">
        <f t="shared" si="129"/>
        <v>2.7403983623092376E-2</v>
      </c>
      <c r="M356" s="15">
        <f t="shared" si="123"/>
        <v>82.138144557223725</v>
      </c>
      <c r="N356" s="11">
        <f t="shared" si="116"/>
        <v>16178.493315014231</v>
      </c>
      <c r="O356" s="11">
        <f t="shared" si="117"/>
        <v>15912.935158609815</v>
      </c>
      <c r="P356" s="11">
        <f t="shared" si="113"/>
        <v>265.55815640441688</v>
      </c>
      <c r="Q356" s="11">
        <f t="shared" si="118"/>
        <v>274.2650334500002</v>
      </c>
      <c r="R356" s="11">
        <f t="shared" si="114"/>
        <v>-8.706877045583326</v>
      </c>
      <c r="S356" s="9">
        <f t="shared" si="115"/>
        <v>60</v>
      </c>
      <c r="T356" s="14">
        <f t="shared" si="122"/>
        <v>1.4057529905173727E-3</v>
      </c>
      <c r="U356" s="14">
        <f t="shared" si="119"/>
        <v>0</v>
      </c>
      <c r="V356" s="14">
        <f t="shared" si="131"/>
        <v>3.3180503754472695E-3</v>
      </c>
      <c r="W356" s="14">
        <f t="shared" si="131"/>
        <v>7.215470531696641E-4</v>
      </c>
      <c r="X356" s="16">
        <f t="shared" si="125"/>
        <v>4.5985225230586106</v>
      </c>
    </row>
    <row r="357" spans="1:24" x14ac:dyDescent="0.25">
      <c r="A357" s="10">
        <v>45699</v>
      </c>
      <c r="B357" s="11">
        <v>16272.94</v>
      </c>
      <c r="C357" s="12">
        <f t="shared" si="120"/>
        <v>-4.6352252653417692E-3</v>
      </c>
      <c r="D357" s="11">
        <f t="shared" si="130"/>
        <v>16092.538500000001</v>
      </c>
      <c r="E357" s="11">
        <f t="shared" si="111"/>
        <v>15415.439200000001</v>
      </c>
      <c r="F357" s="11">
        <f t="shared" si="132"/>
        <v>14433.419874999998</v>
      </c>
      <c r="G357" s="12">
        <f t="shared" si="121"/>
        <v>-4.6460012342285587E-3</v>
      </c>
      <c r="H357" s="19">
        <f t="shared" si="126"/>
        <v>0.10119154374084718</v>
      </c>
      <c r="I357" s="11">
        <f t="shared" si="127"/>
        <v>16348.72</v>
      </c>
      <c r="J357" s="11">
        <f t="shared" si="128"/>
        <v>15768.92</v>
      </c>
      <c r="K357" s="12">
        <f>(B357-MAX($B$2:B357))/MAX($B$2:B357)</f>
        <v>-4.635225265341803E-3</v>
      </c>
      <c r="L357" s="12">
        <f t="shared" si="129"/>
        <v>1.201826652130733E-2</v>
      </c>
      <c r="M357" s="15">
        <f t="shared" si="123"/>
        <v>75.747371220127192</v>
      </c>
      <c r="N357" s="11">
        <f t="shared" si="116"/>
        <v>16193.02357424281</v>
      </c>
      <c r="O357" s="11">
        <f t="shared" si="117"/>
        <v>15939.602183897976</v>
      </c>
      <c r="P357" s="11">
        <f t="shared" si="113"/>
        <v>253.42139034483444</v>
      </c>
      <c r="Q357" s="11">
        <f t="shared" si="118"/>
        <v>270.09630482896705</v>
      </c>
      <c r="R357" s="11">
        <f t="shared" si="114"/>
        <v>-16.674914484132614</v>
      </c>
      <c r="S357" s="9">
        <f t="shared" si="115"/>
        <v>60</v>
      </c>
      <c r="T357" s="14">
        <f t="shared" si="122"/>
        <v>0</v>
      </c>
      <c r="U357" s="14">
        <f t="shared" si="119"/>
        <v>4.6352252653417692E-3</v>
      </c>
      <c r="V357" s="14">
        <f t="shared" si="131"/>
        <v>3.2876560482336353E-3</v>
      </c>
      <c r="W357" s="14">
        <f t="shared" si="131"/>
        <v>1.0526345721226476E-3</v>
      </c>
      <c r="X357" s="16">
        <f t="shared" si="125"/>
        <v>3.1232643647681506</v>
      </c>
    </row>
    <row r="358" spans="1:24" x14ac:dyDescent="0.25">
      <c r="A358" s="10">
        <v>45700</v>
      </c>
      <c r="B358" s="11">
        <v>16393.13</v>
      </c>
      <c r="C358" s="12">
        <f t="shared" si="120"/>
        <v>7.385881100772318E-3</v>
      </c>
      <c r="D358" s="11">
        <f t="shared" si="130"/>
        <v>16108.210499999997</v>
      </c>
      <c r="E358" s="11">
        <f t="shared" si="111"/>
        <v>15448.923599999998</v>
      </c>
      <c r="F358" s="11">
        <f t="shared" si="132"/>
        <v>14453.445937499997</v>
      </c>
      <c r="G358" s="12">
        <f t="shared" si="121"/>
        <v>7.3587390443544069E-3</v>
      </c>
      <c r="H358" s="19">
        <f t="shared" si="126"/>
        <v>9.7963734377009462E-2</v>
      </c>
      <c r="I358" s="11">
        <f t="shared" si="127"/>
        <v>16393.13</v>
      </c>
      <c r="J358" s="11">
        <f t="shared" si="128"/>
        <v>15768.92</v>
      </c>
      <c r="K358" s="12">
        <f>(B358-MAX($B$2:B358))/MAX($B$2:B358)</f>
        <v>0</v>
      </c>
      <c r="L358" s="12">
        <f t="shared" si="129"/>
        <v>1.9414300043592014E-2</v>
      </c>
      <c r="M358" s="15">
        <f t="shared" si="123"/>
        <v>77.26784768446376</v>
      </c>
      <c r="N358" s="11">
        <f t="shared" si="116"/>
        <v>16223.809178205454</v>
      </c>
      <c r="O358" s="11">
        <f t="shared" si="117"/>
        <v>15973.19683694257</v>
      </c>
      <c r="P358" s="11">
        <f t="shared" si="113"/>
        <v>250.612341262884</v>
      </c>
      <c r="Q358" s="11">
        <f t="shared" si="118"/>
        <v>266.19951211575045</v>
      </c>
      <c r="R358" s="11">
        <f t="shared" si="114"/>
        <v>-15.58717085286645</v>
      </c>
      <c r="S358" s="9">
        <f t="shared" si="115"/>
        <v>60</v>
      </c>
      <c r="T358" s="14">
        <f t="shared" si="122"/>
        <v>7.385881100772318E-3</v>
      </c>
      <c r="U358" s="14">
        <f t="shared" si="119"/>
        <v>0</v>
      </c>
      <c r="V358" s="14">
        <f t="shared" si="131"/>
        <v>3.577963347121571E-3</v>
      </c>
      <c r="W358" s="14">
        <f t="shared" si="131"/>
        <v>1.0526345721226476E-3</v>
      </c>
      <c r="X358" s="16">
        <f t="shared" si="125"/>
        <v>3.3990555144950005</v>
      </c>
    </row>
    <row r="359" spans="1:24" x14ac:dyDescent="0.25">
      <c r="A359" s="10">
        <v>45701</v>
      </c>
      <c r="B359" s="11">
        <v>16397.54</v>
      </c>
      <c r="C359" s="12">
        <f t="shared" si="120"/>
        <v>2.6901513011856615E-4</v>
      </c>
      <c r="D359" s="11">
        <f t="shared" si="130"/>
        <v>16124.040999999997</v>
      </c>
      <c r="E359" s="11">
        <f t="shared" si="111"/>
        <v>15482.312</v>
      </c>
      <c r="F359" s="11">
        <f t="shared" si="132"/>
        <v>14473.817249999998</v>
      </c>
      <c r="G359" s="12">
        <f t="shared" si="121"/>
        <v>2.6897895203660532E-4</v>
      </c>
      <c r="H359" s="19">
        <f t="shared" si="126"/>
        <v>9.7943028479641842E-2</v>
      </c>
      <c r="I359" s="11">
        <f t="shared" si="127"/>
        <v>16397.54</v>
      </c>
      <c r="J359" s="11">
        <f t="shared" si="128"/>
        <v>15768.92</v>
      </c>
      <c r="K359" s="12">
        <f>(B359-MAX($B$2:B359))/MAX($B$2:B359)</f>
        <v>0</v>
      </c>
      <c r="L359" s="12">
        <f t="shared" si="129"/>
        <v>2.3454352081169638E-2</v>
      </c>
      <c r="M359" s="15">
        <f t="shared" si="123"/>
        <v>76.109485833360708</v>
      </c>
      <c r="N359" s="11">
        <f t="shared" si="116"/>
        <v>16250.536996943076</v>
      </c>
      <c r="O359" s="11">
        <f t="shared" si="117"/>
        <v>16004.629663835713</v>
      </c>
      <c r="P359" s="11">
        <f t="shared" si="113"/>
        <v>245.90733310736323</v>
      </c>
      <c r="Q359" s="11">
        <f t="shared" si="118"/>
        <v>262.14107631407302</v>
      </c>
      <c r="R359" s="11">
        <f t="shared" si="114"/>
        <v>-16.233743206709789</v>
      </c>
      <c r="S359" s="9">
        <f t="shared" si="115"/>
        <v>60</v>
      </c>
      <c r="T359" s="14">
        <f t="shared" si="122"/>
        <v>2.6901513011856615E-4</v>
      </c>
      <c r="U359" s="14">
        <f t="shared" si="119"/>
        <v>0</v>
      </c>
      <c r="V359" s="14">
        <f t="shared" si="131"/>
        <v>3.3534429395641724E-3</v>
      </c>
      <c r="W359" s="14">
        <f t="shared" si="131"/>
        <v>1.0526345721226476E-3</v>
      </c>
      <c r="X359" s="16">
        <f t="shared" si="125"/>
        <v>3.1857617338198598</v>
      </c>
    </row>
    <row r="360" spans="1:24" x14ac:dyDescent="0.25">
      <c r="A360" s="10">
        <v>45702</v>
      </c>
      <c r="B360" s="11">
        <v>16452.23</v>
      </c>
      <c r="C360" s="12">
        <f t="shared" si="120"/>
        <v>3.3352563860187256E-3</v>
      </c>
      <c r="D360" s="11">
        <f t="shared" si="130"/>
        <v>16145.564499999997</v>
      </c>
      <c r="E360" s="11">
        <f t="shared" si="111"/>
        <v>15516.364799999999</v>
      </c>
      <c r="F360" s="11">
        <f t="shared" si="132"/>
        <v>14494.512999999997</v>
      </c>
      <c r="G360" s="12">
        <f t="shared" si="121"/>
        <v>3.3297067546439103E-3</v>
      </c>
      <c r="H360" s="19">
        <f t="shared" si="126"/>
        <v>9.6672542712909121E-2</v>
      </c>
      <c r="I360" s="11">
        <f t="shared" si="127"/>
        <v>16452.23</v>
      </c>
      <c r="J360" s="11">
        <f t="shared" si="128"/>
        <v>15768.92</v>
      </c>
      <c r="K360" s="12">
        <f>(B360-MAX($B$2:B360))/MAX($B$2:B360)</f>
        <v>0</v>
      </c>
      <c r="L360" s="12">
        <f t="shared" si="129"/>
        <v>3.0259214403889567E-2</v>
      </c>
      <c r="M360" s="15">
        <f t="shared" si="123"/>
        <v>77.241740534714765</v>
      </c>
      <c r="N360" s="11">
        <f t="shared" si="116"/>
        <v>16281.566689721065</v>
      </c>
      <c r="O360" s="11">
        <f t="shared" si="117"/>
        <v>16037.785244292327</v>
      </c>
      <c r="P360" s="11">
        <f t="shared" si="113"/>
        <v>243.78144542873815</v>
      </c>
      <c r="Q360" s="11">
        <f t="shared" si="118"/>
        <v>258.46915013700607</v>
      </c>
      <c r="R360" s="11">
        <f t="shared" si="114"/>
        <v>-14.687704708267916</v>
      </c>
      <c r="S360" s="9">
        <f t="shared" si="115"/>
        <v>60</v>
      </c>
      <c r="T360" s="14">
        <f t="shared" si="122"/>
        <v>3.3352563860187256E-3</v>
      </c>
      <c r="U360" s="14">
        <f t="shared" si="119"/>
        <v>0</v>
      </c>
      <c r="V360" s="14">
        <f t="shared" si="131"/>
        <v>3.5726513541948063E-3</v>
      </c>
      <c r="W360" s="14">
        <f t="shared" si="131"/>
        <v>1.0526345721226476E-3</v>
      </c>
      <c r="X360" s="16">
        <f t="shared" si="125"/>
        <v>3.3940091355640361</v>
      </c>
    </row>
    <row r="361" spans="1:24" x14ac:dyDescent="0.25">
      <c r="A361" s="10">
        <v>45705</v>
      </c>
      <c r="B361" s="11">
        <v>16644.62</v>
      </c>
      <c r="C361" s="12">
        <f t="shared" si="120"/>
        <v>1.1693855483420723E-2</v>
      </c>
      <c r="D361" s="11">
        <f t="shared" si="130"/>
        <v>16179.344499999996</v>
      </c>
      <c r="E361" s="11">
        <f t="shared" si="111"/>
        <v>15551.626799999996</v>
      </c>
      <c r="F361" s="11">
        <f t="shared" si="132"/>
        <v>14516.5076875</v>
      </c>
      <c r="G361" s="12">
        <f t="shared" si="121"/>
        <v>1.1626010754133291E-2</v>
      </c>
      <c r="H361" s="19">
        <f t="shared" si="126"/>
        <v>0.10159543405943444</v>
      </c>
      <c r="I361" s="11">
        <f t="shared" si="127"/>
        <v>16644.62</v>
      </c>
      <c r="J361" s="11">
        <f t="shared" si="128"/>
        <v>15768.92</v>
      </c>
      <c r="K361" s="12">
        <f>(B361-MAX($B$2:B361))/MAX($B$2:B361)</f>
        <v>0</v>
      </c>
      <c r="L361" s="12">
        <f t="shared" si="129"/>
        <v>5.5533289534096086E-2</v>
      </c>
      <c r="M361" s="15">
        <f t="shared" si="123"/>
        <v>80.293612161854526</v>
      </c>
      <c r="N361" s="11">
        <f t="shared" si="116"/>
        <v>16337.421045148592</v>
      </c>
      <c r="O361" s="11">
        <f t="shared" si="117"/>
        <v>16082.73596693734</v>
      </c>
      <c r="P361" s="11">
        <f t="shared" si="113"/>
        <v>254.6850782112524</v>
      </c>
      <c r="Q361" s="11">
        <f t="shared" si="118"/>
        <v>257.71233575185533</v>
      </c>
      <c r="R361" s="11">
        <f t="shared" si="114"/>
        <v>-3.0272575406029318</v>
      </c>
      <c r="S361" s="9">
        <f t="shared" si="115"/>
        <v>60</v>
      </c>
      <c r="T361" s="14">
        <f t="shared" si="122"/>
        <v>1.1693855483420723E-2</v>
      </c>
      <c r="U361" s="14">
        <f t="shared" si="119"/>
        <v>0</v>
      </c>
      <c r="V361" s="14">
        <f t="shared" si="131"/>
        <v>4.2889560875571152E-3</v>
      </c>
      <c r="W361" s="14">
        <f t="shared" si="131"/>
        <v>1.0526345721226476E-3</v>
      </c>
      <c r="X361" s="16">
        <f t="shared" si="125"/>
        <v>4.0744966972806091</v>
      </c>
    </row>
    <row r="362" spans="1:24" x14ac:dyDescent="0.25">
      <c r="A362" s="10">
        <v>45706</v>
      </c>
      <c r="B362" s="11">
        <v>16706.7</v>
      </c>
      <c r="C362" s="12">
        <f t="shared" si="120"/>
        <v>3.7297336917274659E-3</v>
      </c>
      <c r="D362" s="11">
        <f t="shared" si="130"/>
        <v>16226.233499999998</v>
      </c>
      <c r="E362" s="11">
        <f t="shared" si="111"/>
        <v>15590.512199999997</v>
      </c>
      <c r="F362" s="11">
        <f t="shared" si="132"/>
        <v>14537.112562500002</v>
      </c>
      <c r="G362" s="12">
        <f t="shared" si="121"/>
        <v>3.7227954814548657E-3</v>
      </c>
      <c r="H362" s="19">
        <f t="shared" si="126"/>
        <v>8.5569028984899126E-2</v>
      </c>
      <c r="I362" s="11">
        <f t="shared" si="127"/>
        <v>16706.7</v>
      </c>
      <c r="J362" s="11">
        <f t="shared" si="128"/>
        <v>15775.63</v>
      </c>
      <c r="K362" s="12">
        <f>(B362-MAX($B$2:B362))/MAX($B$2:B362)</f>
        <v>0</v>
      </c>
      <c r="L362" s="12">
        <f t="shared" si="129"/>
        <v>5.9019513008355284E-2</v>
      </c>
      <c r="M362" s="15">
        <f t="shared" si="123"/>
        <v>77.781821322547415</v>
      </c>
      <c r="N362" s="11">
        <f t="shared" si="116"/>
        <v>16394.23319204881</v>
      </c>
      <c r="O362" s="11">
        <f t="shared" si="117"/>
        <v>16128.955524941981</v>
      </c>
      <c r="P362" s="11">
        <f t="shared" si="113"/>
        <v>265.27766710682954</v>
      </c>
      <c r="Q362" s="11">
        <f t="shared" si="118"/>
        <v>259.22540202285018</v>
      </c>
      <c r="R362" s="11">
        <f t="shared" si="114"/>
        <v>6.0522650839793641</v>
      </c>
      <c r="S362" s="9">
        <f t="shared" si="115"/>
        <v>100</v>
      </c>
      <c r="T362" s="14">
        <f t="shared" si="122"/>
        <v>3.7297336917274659E-3</v>
      </c>
      <c r="U362" s="14">
        <f t="shared" si="119"/>
        <v>0</v>
      </c>
      <c r="V362" s="14">
        <f t="shared" si="131"/>
        <v>3.6850830752328534E-3</v>
      </c>
      <c r="W362" s="14">
        <f t="shared" si="131"/>
        <v>1.0526345721226476E-3</v>
      </c>
      <c r="X362" s="16">
        <f t="shared" si="125"/>
        <v>3.5008189668346614</v>
      </c>
    </row>
    <row r="363" spans="1:24" x14ac:dyDescent="0.25">
      <c r="A363" s="10">
        <v>45707</v>
      </c>
      <c r="B363" s="11">
        <v>16869.61</v>
      </c>
      <c r="C363" s="12">
        <f t="shared" si="120"/>
        <v>9.7511776712337905E-3</v>
      </c>
      <c r="D363" s="11">
        <f t="shared" si="130"/>
        <v>16280.932499999999</v>
      </c>
      <c r="E363" s="11">
        <f t="shared" si="111"/>
        <v>15631.935999999998</v>
      </c>
      <c r="F363" s="11">
        <f t="shared" si="132"/>
        <v>14559.072187499998</v>
      </c>
      <c r="G363" s="12">
        <f t="shared" si="121"/>
        <v>9.7039417605157049E-3</v>
      </c>
      <c r="H363" s="19">
        <f t="shared" si="126"/>
        <v>8.8320967930895472E-2</v>
      </c>
      <c r="I363" s="11">
        <f t="shared" si="127"/>
        <v>16869.61</v>
      </c>
      <c r="J363" s="11">
        <f t="shared" si="128"/>
        <v>15828.03</v>
      </c>
      <c r="K363" s="12">
        <f>(B363-MAX($B$2:B363))/MAX($B$2:B363)</f>
        <v>0</v>
      </c>
      <c r="L363" s="12">
        <f t="shared" si="129"/>
        <v>6.5806041560446893E-2</v>
      </c>
      <c r="M363" s="15">
        <f t="shared" si="123"/>
        <v>75.962162387024676</v>
      </c>
      <c r="N363" s="11">
        <f t="shared" si="116"/>
        <v>16467.368085579765</v>
      </c>
      <c r="O363" s="11">
        <f t="shared" si="117"/>
        <v>16183.818819390724</v>
      </c>
      <c r="P363" s="11">
        <f t="shared" si="113"/>
        <v>283.54926618904028</v>
      </c>
      <c r="Q363" s="11">
        <f t="shared" si="118"/>
        <v>264.0901748560882</v>
      </c>
      <c r="R363" s="11">
        <f t="shared" si="114"/>
        <v>19.459091332952084</v>
      </c>
      <c r="S363" s="9">
        <f t="shared" si="115"/>
        <v>100</v>
      </c>
      <c r="T363" s="14">
        <f t="shared" si="122"/>
        <v>9.7511776712337905E-3</v>
      </c>
      <c r="U363" s="14">
        <f t="shared" si="119"/>
        <v>0</v>
      </c>
      <c r="V363" s="14">
        <f t="shared" si="131"/>
        <v>3.3264389080744599E-3</v>
      </c>
      <c r="W363" s="14">
        <f t="shared" si="131"/>
        <v>1.0526345721226476E-3</v>
      </c>
      <c r="X363" s="16">
        <f t="shared" si="125"/>
        <v>3.1601079768515148</v>
      </c>
    </row>
    <row r="364" spans="1:24" x14ac:dyDescent="0.25">
      <c r="A364" s="10">
        <v>45708</v>
      </c>
      <c r="B364" s="11">
        <v>16952.650000000001</v>
      </c>
      <c r="C364" s="12">
        <f t="shared" si="120"/>
        <v>4.9224611594458345E-3</v>
      </c>
      <c r="D364" s="11">
        <f t="shared" si="130"/>
        <v>16337.163500000001</v>
      </c>
      <c r="E364" s="11">
        <f t="shared" si="111"/>
        <v>15677.090199999999</v>
      </c>
      <c r="F364" s="11">
        <f t="shared" si="132"/>
        <v>14581.787562499998</v>
      </c>
      <c r="G364" s="12">
        <f t="shared" si="121"/>
        <v>4.9103854594091988E-3</v>
      </c>
      <c r="H364" s="19">
        <f t="shared" si="126"/>
        <v>8.8493419813171478E-2</v>
      </c>
      <c r="I364" s="11">
        <f t="shared" si="127"/>
        <v>16952.650000000001</v>
      </c>
      <c r="J364" s="11">
        <f t="shared" si="128"/>
        <v>15882.04</v>
      </c>
      <c r="K364" s="12">
        <f>(B364-MAX($B$2:B364))/MAX($B$2:B364)</f>
        <v>0</v>
      </c>
      <c r="L364" s="12">
        <f t="shared" si="129"/>
        <v>6.7410106006533299E-2</v>
      </c>
      <c r="M364" s="15">
        <f t="shared" si="123"/>
        <v>85.344267092236578</v>
      </c>
      <c r="N364" s="11">
        <f t="shared" si="116"/>
        <v>16542.026841644416</v>
      </c>
      <c r="O364" s="11">
        <f t="shared" si="117"/>
        <v>16240.769277213634</v>
      </c>
      <c r="P364" s="11">
        <f t="shared" si="113"/>
        <v>301.25756443078171</v>
      </c>
      <c r="Q364" s="11">
        <f t="shared" si="118"/>
        <v>271.52365277102695</v>
      </c>
      <c r="R364" s="11">
        <f t="shared" si="114"/>
        <v>29.733911659754767</v>
      </c>
      <c r="S364" s="9">
        <f t="shared" si="115"/>
        <v>100</v>
      </c>
      <c r="T364" s="14">
        <f t="shared" si="122"/>
        <v>4.9224611594458345E-3</v>
      </c>
      <c r="U364" s="14">
        <f t="shared" si="119"/>
        <v>0</v>
      </c>
      <c r="V364" s="14">
        <f t="shared" si="131"/>
        <v>3.6780432766063053E-3</v>
      </c>
      <c r="W364" s="14">
        <f t="shared" si="131"/>
        <v>6.3161149215657756E-4</v>
      </c>
      <c r="X364" s="16">
        <f t="shared" si="125"/>
        <v>5.8232684526495477</v>
      </c>
    </row>
    <row r="365" spans="1:24" x14ac:dyDescent="0.25">
      <c r="A365" s="10">
        <v>45709</v>
      </c>
      <c r="B365" s="11">
        <v>16843.03</v>
      </c>
      <c r="C365" s="12">
        <f t="shared" si="120"/>
        <v>-6.4662456902019327E-3</v>
      </c>
      <c r="D365" s="11">
        <f t="shared" si="130"/>
        <v>16385.213</v>
      </c>
      <c r="E365" s="11">
        <f t="shared" si="111"/>
        <v>15719.978199999998</v>
      </c>
      <c r="F365" s="11">
        <f t="shared" si="132"/>
        <v>14603.922937499996</v>
      </c>
      <c r="G365" s="12">
        <f t="shared" si="121"/>
        <v>-6.4872424191460215E-3</v>
      </c>
      <c r="H365" s="19">
        <f t="shared" si="126"/>
        <v>9.5242669180297057E-2</v>
      </c>
      <c r="I365" s="11">
        <f t="shared" si="127"/>
        <v>16952.650000000001</v>
      </c>
      <c r="J365" s="11">
        <f t="shared" si="128"/>
        <v>15886.27</v>
      </c>
      <c r="K365" s="12">
        <f>(B365-MAX($B$2:B365))/MAX($B$2:B365)</f>
        <v>-6.4662456902019804E-3</v>
      </c>
      <c r="L365" s="12">
        <f t="shared" si="129"/>
        <v>6.0225591029234637E-2</v>
      </c>
      <c r="M365" s="15">
        <f t="shared" si="123"/>
        <v>79.981262381253742</v>
      </c>
      <c r="N365" s="11">
        <f t="shared" si="116"/>
        <v>16588.335019852966</v>
      </c>
      <c r="O365" s="11">
        <f t="shared" si="117"/>
        <v>16285.381182605217</v>
      </c>
      <c r="P365" s="11">
        <f t="shared" si="113"/>
        <v>302.95383724774911</v>
      </c>
      <c r="Q365" s="11">
        <f t="shared" si="118"/>
        <v>277.80968966637141</v>
      </c>
      <c r="R365" s="11">
        <f t="shared" si="114"/>
        <v>25.144147581377695</v>
      </c>
      <c r="S365" s="9">
        <f t="shared" si="115"/>
        <v>100</v>
      </c>
      <c r="T365" s="14">
        <f t="shared" si="122"/>
        <v>0</v>
      </c>
      <c r="U365" s="14">
        <f t="shared" si="119"/>
        <v>6.4662456902019327E-3</v>
      </c>
      <c r="V365" s="14">
        <f t="shared" si="131"/>
        <v>3.6780432766063053E-3</v>
      </c>
      <c r="W365" s="14">
        <f t="shared" si="131"/>
        <v>9.2058791162607275E-4</v>
      </c>
      <c r="X365" s="16">
        <f t="shared" si="125"/>
        <v>3.9953199799350227</v>
      </c>
    </row>
    <row r="366" spans="1:24" x14ac:dyDescent="0.25">
      <c r="A366" s="10">
        <v>45712</v>
      </c>
      <c r="B366" s="11">
        <v>16913.189999999999</v>
      </c>
      <c r="C366" s="12">
        <f t="shared" si="120"/>
        <v>4.1655212868467739E-3</v>
      </c>
      <c r="D366" s="11">
        <f t="shared" si="130"/>
        <v>16436.559000000001</v>
      </c>
      <c r="E366" s="11">
        <f t="shared" si="111"/>
        <v>15764.683599999998</v>
      </c>
      <c r="F366" s="11">
        <f t="shared" si="132"/>
        <v>14626.484249999994</v>
      </c>
      <c r="G366" s="12">
        <f t="shared" si="121"/>
        <v>4.156869520806644E-3</v>
      </c>
      <c r="H366" s="19">
        <f t="shared" si="126"/>
        <v>9.4795687542349613E-2</v>
      </c>
      <c r="I366" s="11">
        <f t="shared" si="127"/>
        <v>16952.650000000001</v>
      </c>
      <c r="J366" s="11">
        <f t="shared" si="128"/>
        <v>15912.73</v>
      </c>
      <c r="K366" s="12">
        <f>(B366-MAX($B$2:B366))/MAX($B$2:B366)</f>
        <v>-2.3276596874236628E-3</v>
      </c>
      <c r="L366" s="12">
        <f t="shared" si="129"/>
        <v>6.2871675696124951E-2</v>
      </c>
      <c r="M366" s="15">
        <f t="shared" si="123"/>
        <v>80.541742672854866</v>
      </c>
      <c r="N366" s="11">
        <f t="shared" si="116"/>
        <v>16638.312709106358</v>
      </c>
      <c r="O366" s="11">
        <f t="shared" si="117"/>
        <v>16331.885539449275</v>
      </c>
      <c r="P366" s="11">
        <f t="shared" si="113"/>
        <v>306.42716965708314</v>
      </c>
      <c r="Q366" s="11">
        <f t="shared" si="118"/>
        <v>283.53318566451378</v>
      </c>
      <c r="R366" s="11">
        <f t="shared" si="114"/>
        <v>22.89398399256936</v>
      </c>
      <c r="S366" s="9">
        <f t="shared" si="115"/>
        <v>100</v>
      </c>
      <c r="T366" s="14">
        <f t="shared" si="122"/>
        <v>4.1655212868467739E-3</v>
      </c>
      <c r="U366" s="14">
        <f t="shared" si="119"/>
        <v>0</v>
      </c>
      <c r="V366" s="14">
        <f t="shared" si="131"/>
        <v>3.8105033477222766E-3</v>
      </c>
      <c r="W366" s="14">
        <f t="shared" si="131"/>
        <v>9.2058791162607275E-4</v>
      </c>
      <c r="X366" s="16">
        <f t="shared" si="125"/>
        <v>4.1392063697551986</v>
      </c>
    </row>
    <row r="367" spans="1:24" x14ac:dyDescent="0.25">
      <c r="A367" s="10">
        <v>45713</v>
      </c>
      <c r="B367" s="11">
        <v>16937.669999999998</v>
      </c>
      <c r="C367" s="12">
        <f t="shared" si="120"/>
        <v>1.4473910598769013E-3</v>
      </c>
      <c r="D367" s="11">
        <f t="shared" si="130"/>
        <v>16487.806</v>
      </c>
      <c r="E367" s="11">
        <f t="shared" si="111"/>
        <v>15809.340799999998</v>
      </c>
      <c r="F367" s="11">
        <f t="shared" si="132"/>
        <v>14649.563374999994</v>
      </c>
      <c r="G367" s="12">
        <f t="shared" si="121"/>
        <v>1.4463445990737704E-3</v>
      </c>
      <c r="H367" s="19">
        <f t="shared" si="126"/>
        <v>9.4843567975231247E-2</v>
      </c>
      <c r="I367" s="11">
        <f t="shared" si="127"/>
        <v>16952.650000000001</v>
      </c>
      <c r="J367" s="11">
        <f t="shared" si="128"/>
        <v>16106.61</v>
      </c>
      <c r="K367" s="12">
        <f>(B367-MAX($B$2:B367))/MAX($B$2:B367)</f>
        <v>-8.8363766136876536E-4</v>
      </c>
      <c r="L367" s="12">
        <f t="shared" si="129"/>
        <v>5.159744974268321E-2</v>
      </c>
      <c r="M367" s="15">
        <f t="shared" si="123"/>
        <v>83.125975916849143</v>
      </c>
      <c r="N367" s="11">
        <f t="shared" si="116"/>
        <v>16684.367676936148</v>
      </c>
      <c r="O367" s="11">
        <f t="shared" si="117"/>
        <v>16376.758462453034</v>
      </c>
      <c r="P367" s="11">
        <f t="shared" si="113"/>
        <v>307.60921448311456</v>
      </c>
      <c r="Q367" s="11">
        <f t="shared" si="118"/>
        <v>288.34839142823392</v>
      </c>
      <c r="R367" s="11">
        <f t="shared" si="114"/>
        <v>19.260823054880632</v>
      </c>
      <c r="S367" s="9">
        <f t="shared" si="115"/>
        <v>100</v>
      </c>
      <c r="T367" s="14">
        <f t="shared" si="122"/>
        <v>1.4473910598769013E-3</v>
      </c>
      <c r="U367" s="14">
        <f t="shared" si="119"/>
        <v>0</v>
      </c>
      <c r="V367" s="14">
        <f t="shared" si="131"/>
        <v>3.9138884234277693E-3</v>
      </c>
      <c r="W367" s="14">
        <f t="shared" si="131"/>
        <v>7.9449349962216836E-4</v>
      </c>
      <c r="X367" s="16">
        <f t="shared" si="125"/>
        <v>4.9262686545441463</v>
      </c>
    </row>
    <row r="368" spans="1:24" x14ac:dyDescent="0.25">
      <c r="A368" s="10">
        <v>45714</v>
      </c>
      <c r="B368" s="11">
        <v>17086.650000000001</v>
      </c>
      <c r="C368" s="12">
        <f t="shared" si="120"/>
        <v>8.795778876315552E-3</v>
      </c>
      <c r="D368" s="11">
        <f t="shared" si="130"/>
        <v>16536.808000000001</v>
      </c>
      <c r="E368" s="11">
        <f t="shared" si="111"/>
        <v>15857.003600000002</v>
      </c>
      <c r="F368" s="11">
        <f t="shared" si="132"/>
        <v>14673.801062499997</v>
      </c>
      <c r="G368" s="12">
        <f t="shared" si="121"/>
        <v>8.7573213579901759E-3</v>
      </c>
      <c r="H368" s="19">
        <f t="shared" si="126"/>
        <v>9.1309505373348115E-2</v>
      </c>
      <c r="I368" s="11">
        <f t="shared" si="127"/>
        <v>17086.650000000001</v>
      </c>
      <c r="J368" s="11">
        <f t="shared" si="128"/>
        <v>16208.87</v>
      </c>
      <c r="K368" s="12">
        <f>(B368-MAX($B$2:B368))/MAX($B$2:B368)</f>
        <v>0</v>
      </c>
      <c r="L368" s="12">
        <f t="shared" si="129"/>
        <v>4.5404153313583606E-2</v>
      </c>
      <c r="M368" s="15">
        <f t="shared" si="123"/>
        <v>83.648728384085572</v>
      </c>
      <c r="N368" s="11">
        <f t="shared" si="116"/>
        <v>16746.257265099819</v>
      </c>
      <c r="O368" s="11">
        <f t="shared" si="117"/>
        <v>16429.343020789845</v>
      </c>
      <c r="P368" s="11">
        <f t="shared" si="113"/>
        <v>316.91424430997358</v>
      </c>
      <c r="Q368" s="11">
        <f t="shared" si="118"/>
        <v>294.0615620045819</v>
      </c>
      <c r="R368" s="11">
        <f t="shared" si="114"/>
        <v>22.852682305391681</v>
      </c>
      <c r="S368" s="9">
        <f t="shared" si="115"/>
        <v>100</v>
      </c>
      <c r="T368" s="14">
        <f t="shared" si="122"/>
        <v>8.795778876315552E-3</v>
      </c>
      <c r="U368" s="14">
        <f t="shared" si="119"/>
        <v>0</v>
      </c>
      <c r="V368" s="14">
        <f t="shared" ref="V368:W383" si="133">AVERAGE(T355:T368)</f>
        <v>4.0644160597352874E-3</v>
      </c>
      <c r="W368" s="14">
        <f t="shared" si="133"/>
        <v>7.9449349962216836E-4</v>
      </c>
      <c r="X368" s="16">
        <f t="shared" si="125"/>
        <v>5.1157323019863261</v>
      </c>
    </row>
    <row r="369" spans="1:24" x14ac:dyDescent="0.25">
      <c r="A369" s="10">
        <v>45715</v>
      </c>
      <c r="B369" s="11">
        <v>16927.28</v>
      </c>
      <c r="C369" s="12">
        <f t="shared" si="120"/>
        <v>-9.3271647748389697E-3</v>
      </c>
      <c r="D369" s="11">
        <f t="shared" si="130"/>
        <v>16565.945</v>
      </c>
      <c r="E369" s="11">
        <f t="shared" si="111"/>
        <v>15900.041200000001</v>
      </c>
      <c r="F369" s="11">
        <f t="shared" si="132"/>
        <v>14696.498937499995</v>
      </c>
      <c r="G369" s="12">
        <f t="shared" si="121"/>
        <v>-9.3709351578631361E-3</v>
      </c>
      <c r="H369" s="19">
        <f t="shared" si="126"/>
        <v>9.0276903815381518E-2</v>
      </c>
      <c r="I369" s="11">
        <f t="shared" si="127"/>
        <v>17086.650000000001</v>
      </c>
      <c r="J369" s="11">
        <f t="shared" si="128"/>
        <v>16208.87</v>
      </c>
      <c r="K369" s="12">
        <f>(B369-MAX($B$2:B369))/MAX($B$2:B369)</f>
        <v>-9.3271647748389887E-3</v>
      </c>
      <c r="L369" s="12">
        <f t="shared" si="129"/>
        <v>4.1794167969374962E-2</v>
      </c>
      <c r="M369" s="15">
        <f t="shared" si="123"/>
        <v>73.582679346945724</v>
      </c>
      <c r="N369" s="11">
        <f t="shared" si="116"/>
        <v>16774.106916622924</v>
      </c>
      <c r="O369" s="11">
        <f t="shared" si="117"/>
        <v>16466.227241472079</v>
      </c>
      <c r="P369" s="11">
        <f t="shared" si="113"/>
        <v>307.87967515084529</v>
      </c>
      <c r="Q369" s="11">
        <f t="shared" si="118"/>
        <v>296.82518463383462</v>
      </c>
      <c r="R369" s="11">
        <f t="shared" si="114"/>
        <v>11.054490517010663</v>
      </c>
      <c r="S369" s="9">
        <f t="shared" si="115"/>
        <v>100</v>
      </c>
      <c r="T369" s="14">
        <f t="shared" si="122"/>
        <v>0</v>
      </c>
      <c r="U369" s="14">
        <f t="shared" si="119"/>
        <v>9.3271647748389697E-3</v>
      </c>
      <c r="V369" s="14">
        <f t="shared" si="133"/>
        <v>4.0644160597352874E-3</v>
      </c>
      <c r="W369" s="14">
        <f t="shared" si="133"/>
        <v>1.459188266455905E-3</v>
      </c>
      <c r="X369" s="16">
        <f t="shared" si="125"/>
        <v>2.7853952455408599</v>
      </c>
    </row>
    <row r="370" spans="1:24" x14ac:dyDescent="0.25">
      <c r="A370" s="10">
        <v>45716</v>
      </c>
      <c r="B370" s="11">
        <v>16723.79</v>
      </c>
      <c r="C370" s="12">
        <f t="shared" si="120"/>
        <v>-1.2021423406477494E-2</v>
      </c>
      <c r="D370" s="11">
        <f t="shared" si="130"/>
        <v>16589.724500000004</v>
      </c>
      <c r="E370" s="11">
        <f t="shared" si="111"/>
        <v>15939.118</v>
      </c>
      <c r="F370" s="11">
        <f t="shared" si="132"/>
        <v>14717.474312499995</v>
      </c>
      <c r="G370" s="12">
        <f t="shared" si="121"/>
        <v>-1.2094265079157137E-2</v>
      </c>
      <c r="H370" s="19">
        <f t="shared" si="126"/>
        <v>9.9440043836560035E-2</v>
      </c>
      <c r="I370" s="11">
        <f t="shared" si="127"/>
        <v>17086.650000000001</v>
      </c>
      <c r="J370" s="11">
        <f t="shared" si="128"/>
        <v>16208.87</v>
      </c>
      <c r="K370" s="12">
        <f>(B370-MAX($B$2:B370))/MAX($B$2:B370)</f>
        <v>-2.123646238437614E-2</v>
      </c>
      <c r="L370" s="12">
        <f t="shared" si="129"/>
        <v>3.176779133893981E-2</v>
      </c>
      <c r="M370" s="15">
        <f t="shared" si="123"/>
        <v>63.102345976690238</v>
      </c>
      <c r="N370" s="11">
        <f t="shared" si="116"/>
        <v>16766.365852527088</v>
      </c>
      <c r="O370" s="11">
        <f t="shared" si="117"/>
        <v>16485.305964325999</v>
      </c>
      <c r="P370" s="11">
        <f t="shared" si="113"/>
        <v>281.05988820108905</v>
      </c>
      <c r="Q370" s="11">
        <f t="shared" si="118"/>
        <v>293.67212534728549</v>
      </c>
      <c r="R370" s="11">
        <f t="shared" si="114"/>
        <v>-12.612237146196435</v>
      </c>
      <c r="S370" s="9">
        <f t="shared" si="115"/>
        <v>60</v>
      </c>
      <c r="T370" s="14">
        <f t="shared" si="122"/>
        <v>0</v>
      </c>
      <c r="U370" s="14">
        <f t="shared" si="119"/>
        <v>1.2021423406477494E-2</v>
      </c>
      <c r="V370" s="14">
        <f t="shared" si="133"/>
        <v>3.9640051318411895E-3</v>
      </c>
      <c r="W370" s="14">
        <f t="shared" si="133"/>
        <v>2.3178613669185832E-3</v>
      </c>
      <c r="X370" s="16">
        <f t="shared" si="125"/>
        <v>1.710199405545564</v>
      </c>
    </row>
    <row r="371" spans="1:24" x14ac:dyDescent="0.25">
      <c r="A371" s="10">
        <v>45719</v>
      </c>
      <c r="B371" s="11">
        <v>16792.11</v>
      </c>
      <c r="C371" s="12">
        <f t="shared" si="120"/>
        <v>4.0851983910346057E-3</v>
      </c>
      <c r="D371" s="11">
        <f t="shared" si="130"/>
        <v>16618.886500000001</v>
      </c>
      <c r="E371" s="11">
        <f t="shared" si="111"/>
        <v>15980.4802</v>
      </c>
      <c r="F371" s="11">
        <f t="shared" si="132"/>
        <v>14738.938812499991</v>
      </c>
      <c r="G371" s="12">
        <f t="shared" si="121"/>
        <v>4.0768766244337418E-3</v>
      </c>
      <c r="H371" s="19">
        <f t="shared" si="126"/>
        <v>9.8762915146322405E-2</v>
      </c>
      <c r="I371" s="11">
        <f t="shared" si="127"/>
        <v>17086.650000000001</v>
      </c>
      <c r="J371" s="11">
        <f t="shared" si="128"/>
        <v>16217.65</v>
      </c>
      <c r="K371" s="12">
        <f>(B371-MAX($B$2:B371))/MAX($B$2:B371)</f>
        <v>-1.7238019155305508E-2</v>
      </c>
      <c r="L371" s="12">
        <f t="shared" si="129"/>
        <v>3.3594048625135597E-2</v>
      </c>
      <c r="M371" s="15">
        <f t="shared" si="123"/>
        <v>68.173828621649747</v>
      </c>
      <c r="N371" s="11">
        <f t="shared" si="116"/>
        <v>16770.326490599844</v>
      </c>
      <c r="O371" s="11">
        <f t="shared" si="117"/>
        <v>16508.032189190741</v>
      </c>
      <c r="P371" s="11">
        <f t="shared" si="113"/>
        <v>262.29430140910335</v>
      </c>
      <c r="Q371" s="11">
        <f t="shared" si="118"/>
        <v>287.39656055964906</v>
      </c>
      <c r="R371" s="11">
        <f t="shared" si="114"/>
        <v>-25.102259150545706</v>
      </c>
      <c r="S371" s="9">
        <f t="shared" si="115"/>
        <v>60</v>
      </c>
      <c r="T371" s="14">
        <f t="shared" si="122"/>
        <v>4.0851983910346057E-3</v>
      </c>
      <c r="U371" s="14">
        <f t="shared" si="119"/>
        <v>0</v>
      </c>
      <c r="V371" s="14">
        <f t="shared" si="133"/>
        <v>4.2558050169150896E-3</v>
      </c>
      <c r="W371" s="14">
        <f t="shared" si="133"/>
        <v>1.9867738479655999E-3</v>
      </c>
      <c r="X371" s="16">
        <f t="shared" si="125"/>
        <v>2.1420681680871296</v>
      </c>
    </row>
    <row r="372" spans="1:24" x14ac:dyDescent="0.25">
      <c r="A372" s="10">
        <v>45720</v>
      </c>
      <c r="B372" s="11">
        <v>16707.3</v>
      </c>
      <c r="C372" s="12">
        <f t="shared" si="120"/>
        <v>-5.0505862574745652E-3</v>
      </c>
      <c r="D372" s="11">
        <f t="shared" si="130"/>
        <v>16641.934999999998</v>
      </c>
      <c r="E372" s="11">
        <f t="shared" ref="E372:E435" si="134">AVERAGE(B323:B372)</f>
        <v>16020.197200000002</v>
      </c>
      <c r="F372" s="11">
        <f t="shared" si="132"/>
        <v>14759.930374999991</v>
      </c>
      <c r="G372" s="12">
        <f t="shared" si="121"/>
        <v>-5.0633835757376948E-3</v>
      </c>
      <c r="H372" s="19">
        <f t="shared" si="126"/>
        <v>0.10165171578261537</v>
      </c>
      <c r="I372" s="11">
        <f t="shared" si="127"/>
        <v>17086.650000000001</v>
      </c>
      <c r="J372" s="11">
        <f t="shared" si="128"/>
        <v>16217.65</v>
      </c>
      <c r="K372" s="12">
        <f>(B372-MAX($B$2:B372))/MAX($B$2:B372)</f>
        <v>-2.2201543310128209E-2</v>
      </c>
      <c r="L372" s="12">
        <f t="shared" si="129"/>
        <v>3.0192413820744557E-2</v>
      </c>
      <c r="M372" s="15">
        <f t="shared" si="123"/>
        <v>61.362441278225909</v>
      </c>
      <c r="N372" s="11">
        <f t="shared" si="116"/>
        <v>16760.630107430636</v>
      </c>
      <c r="O372" s="11">
        <f t="shared" si="117"/>
        <v>16522.792767769202</v>
      </c>
      <c r="P372" s="11">
        <f t="shared" si="113"/>
        <v>237.83733966143336</v>
      </c>
      <c r="Q372" s="11">
        <f t="shared" si="118"/>
        <v>277.48471638000592</v>
      </c>
      <c r="R372" s="11">
        <f t="shared" si="114"/>
        <v>-39.647376718572559</v>
      </c>
      <c r="S372" s="9">
        <f t="shared" si="115"/>
        <v>60</v>
      </c>
      <c r="T372" s="14">
        <f t="shared" si="122"/>
        <v>0</v>
      </c>
      <c r="U372" s="14">
        <f t="shared" si="119"/>
        <v>5.0505862574745652E-3</v>
      </c>
      <c r="V372" s="14">
        <f t="shared" si="133"/>
        <v>3.7282420811456385E-3</v>
      </c>
      <c r="W372" s="14">
        <f t="shared" si="133"/>
        <v>2.347530009213783E-3</v>
      </c>
      <c r="X372" s="16">
        <f t="shared" si="125"/>
        <v>1.5881552382771342</v>
      </c>
    </row>
    <row r="373" spans="1:24" x14ac:dyDescent="0.25">
      <c r="A373" s="10">
        <v>45721</v>
      </c>
      <c r="B373" s="11">
        <v>16623.95</v>
      </c>
      <c r="C373" s="12">
        <f t="shared" si="120"/>
        <v>-4.9888372148700899E-3</v>
      </c>
      <c r="D373" s="11">
        <f t="shared" si="130"/>
        <v>16662.249999999996</v>
      </c>
      <c r="E373" s="11">
        <f t="shared" si="134"/>
        <v>16058.267400000001</v>
      </c>
      <c r="F373" s="11">
        <f t="shared" si="132"/>
        <v>14780.329624999993</v>
      </c>
      <c r="G373" s="12">
        <f t="shared" si="121"/>
        <v>-5.0013230069478921E-3</v>
      </c>
      <c r="H373" s="19">
        <f t="shared" si="126"/>
        <v>0.10361712120240242</v>
      </c>
      <c r="I373" s="11">
        <f t="shared" si="127"/>
        <v>17086.650000000001</v>
      </c>
      <c r="J373" s="11">
        <f t="shared" si="128"/>
        <v>16272.94</v>
      </c>
      <c r="K373" s="12">
        <f>(B373-MAX($B$2:B373))/MAX($B$2:B373)</f>
        <v>-2.7079620639505152E-2</v>
      </c>
      <c r="L373" s="12">
        <f t="shared" si="129"/>
        <v>1.8242546300039519E-2</v>
      </c>
      <c r="M373" s="15">
        <f t="shared" si="123"/>
        <v>57.836944589547748</v>
      </c>
      <c r="N373" s="11">
        <f t="shared" si="116"/>
        <v>16739.602398595154</v>
      </c>
      <c r="O373" s="11">
        <f t="shared" si="117"/>
        <v>16530.285896082594</v>
      </c>
      <c r="P373" s="11">
        <f t="shared" si="113"/>
        <v>209.31650251255996</v>
      </c>
      <c r="Q373" s="11">
        <f t="shared" si="118"/>
        <v>263.85107360651676</v>
      </c>
      <c r="R373" s="11">
        <f t="shared" si="114"/>
        <v>-54.534571093956799</v>
      </c>
      <c r="S373" s="9">
        <f t="shared" si="115"/>
        <v>60</v>
      </c>
      <c r="T373" s="14">
        <f t="shared" si="122"/>
        <v>0</v>
      </c>
      <c r="U373" s="14">
        <f t="shared" si="119"/>
        <v>4.9888372148700899E-3</v>
      </c>
      <c r="V373" s="14">
        <f t="shared" si="133"/>
        <v>3.7090267147085981E-3</v>
      </c>
      <c r="W373" s="14">
        <f t="shared" si="133"/>
        <v>2.7038755245616464E-3</v>
      </c>
      <c r="X373" s="16">
        <f t="shared" si="125"/>
        <v>1.3717446239726243</v>
      </c>
    </row>
    <row r="374" spans="1:24" x14ac:dyDescent="0.25">
      <c r="A374" s="10">
        <v>45722</v>
      </c>
      <c r="B374" s="11">
        <v>16570.88</v>
      </c>
      <c r="C374" s="12">
        <f t="shared" si="120"/>
        <v>-3.1923820752588483E-3</v>
      </c>
      <c r="D374" s="11">
        <f t="shared" si="130"/>
        <v>16674.487999999998</v>
      </c>
      <c r="E374" s="11">
        <f t="shared" si="134"/>
        <v>16096.993400000001</v>
      </c>
      <c r="F374" s="11">
        <f t="shared" si="132"/>
        <v>14799.935312499991</v>
      </c>
      <c r="G374" s="12">
        <f t="shared" si="121"/>
        <v>-3.1974885977928968E-3</v>
      </c>
      <c r="H374" s="19">
        <f t="shared" si="126"/>
        <v>0.10267387039004898</v>
      </c>
      <c r="I374" s="11">
        <f t="shared" si="127"/>
        <v>17086.650000000001</v>
      </c>
      <c r="J374" s="11">
        <f t="shared" si="128"/>
        <v>16272.94</v>
      </c>
      <c r="K374" s="12">
        <f>(B374-MAX($B$2:B374))/MAX($B$2:B374)</f>
        <v>-3.0185554219229655E-2</v>
      </c>
      <c r="L374" s="12">
        <f t="shared" si="129"/>
        <v>1.5013686950140714E-2</v>
      </c>
      <c r="M374" s="15">
        <f t="shared" si="123"/>
        <v>54.208314916612245</v>
      </c>
      <c r="N374" s="11">
        <f t="shared" si="116"/>
        <v>16713.645106503591</v>
      </c>
      <c r="O374" s="11">
        <f t="shared" si="117"/>
        <v>16533.292866743144</v>
      </c>
      <c r="P374" s="11">
        <f t="shared" si="113"/>
        <v>180.35223976044654</v>
      </c>
      <c r="Q374" s="11">
        <f t="shared" si="118"/>
        <v>247.15130683730274</v>
      </c>
      <c r="R374" s="11">
        <f t="shared" si="114"/>
        <v>-66.799067076856204</v>
      </c>
      <c r="S374" s="9">
        <f t="shared" si="115"/>
        <v>60</v>
      </c>
      <c r="T374" s="14">
        <f t="shared" si="122"/>
        <v>0</v>
      </c>
      <c r="U374" s="14">
        <f t="shared" si="119"/>
        <v>3.1923820752588483E-3</v>
      </c>
      <c r="V374" s="14">
        <f t="shared" si="133"/>
        <v>3.4707941157072603E-3</v>
      </c>
      <c r="W374" s="14">
        <f t="shared" si="133"/>
        <v>2.9319028156515642E-3</v>
      </c>
      <c r="X374" s="16">
        <f t="shared" si="125"/>
        <v>1.1838025793961855</v>
      </c>
    </row>
    <row r="375" spans="1:24" x14ac:dyDescent="0.25">
      <c r="A375" s="10">
        <v>45723</v>
      </c>
      <c r="B375" s="11">
        <v>16609.78</v>
      </c>
      <c r="C375" s="12">
        <f t="shared" si="120"/>
        <v>2.3474915031669319E-3</v>
      </c>
      <c r="D375" s="11">
        <f t="shared" si="130"/>
        <v>16688.6885</v>
      </c>
      <c r="E375" s="11">
        <f t="shared" si="134"/>
        <v>16136.964400000003</v>
      </c>
      <c r="F375" s="11">
        <f t="shared" si="132"/>
        <v>14819.265874999986</v>
      </c>
      <c r="G375" s="12">
        <f t="shared" si="121"/>
        <v>2.3447404495303844E-3</v>
      </c>
      <c r="H375" s="19">
        <f t="shared" si="126"/>
        <v>0.10278337897594231</v>
      </c>
      <c r="I375" s="11">
        <f t="shared" si="127"/>
        <v>17086.650000000001</v>
      </c>
      <c r="J375" s="11">
        <f t="shared" si="128"/>
        <v>16272.94</v>
      </c>
      <c r="K375" s="12">
        <f>(B375-MAX($B$2:B375))/MAX($B$2:B375)</f>
        <v>-2.7908923048110809E-2</v>
      </c>
      <c r="L375" s="12">
        <f t="shared" si="129"/>
        <v>1.5968222588679692E-2</v>
      </c>
      <c r="M375" s="15">
        <f t="shared" si="123"/>
        <v>48.877908508726996</v>
      </c>
      <c r="N375" s="11">
        <f t="shared" si="116"/>
        <v>16697.665859349192</v>
      </c>
      <c r="O375" s="11">
        <f t="shared" si="117"/>
        <v>16538.958580317725</v>
      </c>
      <c r="P375" s="11">
        <f t="shared" si="113"/>
        <v>158.7072790314669</v>
      </c>
      <c r="Q375" s="11">
        <f t="shared" si="118"/>
        <v>229.46250127613558</v>
      </c>
      <c r="R375" s="11">
        <f t="shared" si="114"/>
        <v>-70.755222244668687</v>
      </c>
      <c r="S375" s="9">
        <f t="shared" si="115"/>
        <v>60</v>
      </c>
      <c r="T375" s="14">
        <f t="shared" si="122"/>
        <v>2.3474915031669319E-3</v>
      </c>
      <c r="U375" s="14">
        <f t="shared" si="119"/>
        <v>0</v>
      </c>
      <c r="V375" s="14">
        <f t="shared" si="133"/>
        <v>2.8031966885462755E-3</v>
      </c>
      <c r="W375" s="14">
        <f t="shared" si="133"/>
        <v>2.9319028156515642E-3</v>
      </c>
      <c r="X375" s="16">
        <f t="shared" si="125"/>
        <v>0.95610150294948093</v>
      </c>
    </row>
    <row r="376" spans="1:24" x14ac:dyDescent="0.25">
      <c r="A376" s="10">
        <v>45726</v>
      </c>
      <c r="B376" s="11">
        <v>16583.259999999998</v>
      </c>
      <c r="C376" s="12">
        <f t="shared" si="120"/>
        <v>-1.5966496847038547E-3</v>
      </c>
      <c r="D376" s="11">
        <f t="shared" si="130"/>
        <v>16700.415500000003</v>
      </c>
      <c r="E376" s="11">
        <f t="shared" si="134"/>
        <v>16175.532000000001</v>
      </c>
      <c r="F376" s="11">
        <f t="shared" si="132"/>
        <v>14838.949124999988</v>
      </c>
      <c r="G376" s="12">
        <f t="shared" si="121"/>
        <v>-1.5979256882129584E-3</v>
      </c>
      <c r="H376" s="19">
        <f t="shared" si="126"/>
        <v>0.10312527483271522</v>
      </c>
      <c r="I376" s="11">
        <f t="shared" si="127"/>
        <v>17086.650000000001</v>
      </c>
      <c r="J376" s="11">
        <f t="shared" si="128"/>
        <v>16272.94</v>
      </c>
      <c r="K376" s="12">
        <f>(B376-MAX($B$2:B376))/MAX($B$2:B376)</f>
        <v>-2.9461011959629479E-2</v>
      </c>
      <c r="L376" s="12">
        <f t="shared" si="129"/>
        <v>1.9069694843095286E-2</v>
      </c>
      <c r="M376" s="15">
        <f t="shared" si="123"/>
        <v>45.439851986059494</v>
      </c>
      <c r="N376" s="11">
        <f t="shared" si="116"/>
        <v>16680.064957910854</v>
      </c>
      <c r="O376" s="11">
        <f t="shared" si="117"/>
        <v>16542.240166960855</v>
      </c>
      <c r="P376" s="11">
        <f t="shared" si="113"/>
        <v>137.82479094999871</v>
      </c>
      <c r="Q376" s="11">
        <f t="shared" si="118"/>
        <v>211.13495921090822</v>
      </c>
      <c r="R376" s="11">
        <f t="shared" si="114"/>
        <v>-73.310168260909506</v>
      </c>
      <c r="S376" s="9">
        <f t="shared" si="115"/>
        <v>60</v>
      </c>
      <c r="T376" s="14">
        <f t="shared" si="122"/>
        <v>0</v>
      </c>
      <c r="U376" s="14">
        <f t="shared" si="119"/>
        <v>1.5966496847038547E-3</v>
      </c>
      <c r="V376" s="14">
        <f t="shared" si="133"/>
        <v>2.5367871391371705E-3</v>
      </c>
      <c r="W376" s="14">
        <f t="shared" si="133"/>
        <v>3.0459492217018397E-3</v>
      </c>
      <c r="X376" s="16">
        <f t="shared" si="125"/>
        <v>0.83283960253277334</v>
      </c>
    </row>
    <row r="377" spans="1:24" x14ac:dyDescent="0.25">
      <c r="A377" s="10">
        <v>45727</v>
      </c>
      <c r="B377" s="11">
        <v>16476.439999999999</v>
      </c>
      <c r="C377" s="12">
        <f t="shared" si="120"/>
        <v>-6.441435519915828E-3</v>
      </c>
      <c r="D377" s="11">
        <f t="shared" si="130"/>
        <v>16710.590499999998</v>
      </c>
      <c r="E377" s="11">
        <f t="shared" si="134"/>
        <v>16212.090200000001</v>
      </c>
      <c r="F377" s="11">
        <f t="shared" si="132"/>
        <v>14857.824749999985</v>
      </c>
      <c r="G377" s="12">
        <f t="shared" si="121"/>
        <v>-6.4622710878668556E-3</v>
      </c>
      <c r="H377" s="19">
        <f t="shared" si="126"/>
        <v>0.10456835321416567</v>
      </c>
      <c r="I377" s="11">
        <f t="shared" si="127"/>
        <v>17086.650000000001</v>
      </c>
      <c r="J377" s="11">
        <f t="shared" si="128"/>
        <v>16393.13</v>
      </c>
      <c r="K377" s="12">
        <f>(B377-MAX($B$2:B377))/MAX($B$2:B377)</f>
        <v>-3.5712676270655906E-2</v>
      </c>
      <c r="L377" s="12">
        <f t="shared" si="129"/>
        <v>5.0820069138717283E-3</v>
      </c>
      <c r="M377" s="15">
        <f t="shared" si="123"/>
        <v>34.421290004069817</v>
      </c>
      <c r="N377" s="11">
        <f t="shared" si="116"/>
        <v>16648.738041309185</v>
      </c>
      <c r="O377" s="11">
        <f t="shared" si="117"/>
        <v>16537.36608051931</v>
      </c>
      <c r="P377" s="11">
        <f t="shared" si="113"/>
        <v>111.37196078987472</v>
      </c>
      <c r="Q377" s="11">
        <f t="shared" si="118"/>
        <v>191.18235952670153</v>
      </c>
      <c r="R377" s="11">
        <f t="shared" si="114"/>
        <v>-79.810398736826812</v>
      </c>
      <c r="S377" s="9">
        <f t="shared" si="115"/>
        <v>60</v>
      </c>
      <c r="T377" s="14">
        <f t="shared" si="122"/>
        <v>0</v>
      </c>
      <c r="U377" s="14">
        <f t="shared" si="119"/>
        <v>6.441435519915828E-3</v>
      </c>
      <c r="V377" s="14">
        <f t="shared" si="133"/>
        <v>1.8402744483347572E-3</v>
      </c>
      <c r="W377" s="14">
        <f t="shared" si="133"/>
        <v>3.5060517588386846E-3</v>
      </c>
      <c r="X377" s="16">
        <f t="shared" si="125"/>
        <v>0.52488513430968697</v>
      </c>
    </row>
    <row r="378" spans="1:24" x14ac:dyDescent="0.25">
      <c r="A378" s="10">
        <v>45728</v>
      </c>
      <c r="B378" s="11">
        <v>16294.14</v>
      </c>
      <c r="C378" s="12">
        <f t="shared" si="120"/>
        <v>-1.106428330391751E-2</v>
      </c>
      <c r="D378" s="11">
        <f t="shared" si="130"/>
        <v>16705.641</v>
      </c>
      <c r="E378" s="11">
        <f t="shared" si="134"/>
        <v>16243.588600000001</v>
      </c>
      <c r="F378" s="11">
        <f t="shared" si="132"/>
        <v>14874.754437499989</v>
      </c>
      <c r="G378" s="12">
        <f t="shared" si="121"/>
        <v>-1.1125947756958101E-2</v>
      </c>
      <c r="H378" s="19">
        <f t="shared" si="126"/>
        <v>0.10925304406573548</v>
      </c>
      <c r="I378" s="11">
        <f t="shared" si="127"/>
        <v>17086.650000000001</v>
      </c>
      <c r="J378" s="11">
        <f t="shared" si="128"/>
        <v>16294.14</v>
      </c>
      <c r="K378" s="12">
        <f>(B378-MAX($B$2:B378))/MAX($B$2:B378)</f>
        <v>-4.6381824406773825E-2</v>
      </c>
      <c r="L378" s="12">
        <f t="shared" si="129"/>
        <v>-6.3058239223688917E-3</v>
      </c>
      <c r="M378" s="15">
        <f t="shared" si="123"/>
        <v>25.733153480330373</v>
      </c>
      <c r="N378" s="11">
        <f t="shared" si="116"/>
        <v>16594.184496492388</v>
      </c>
      <c r="O378" s="11">
        <f t="shared" si="117"/>
        <v>16519.349333814174</v>
      </c>
      <c r="P378" s="11">
        <f t="shared" si="113"/>
        <v>74.835162678213237</v>
      </c>
      <c r="Q378" s="11">
        <f t="shared" si="118"/>
        <v>167.9129201570039</v>
      </c>
      <c r="R378" s="11">
        <f t="shared" si="114"/>
        <v>-93.077757478790659</v>
      </c>
      <c r="S378" s="9">
        <f t="shared" si="115"/>
        <v>60</v>
      </c>
      <c r="T378" s="14">
        <f t="shared" si="122"/>
        <v>0</v>
      </c>
      <c r="U378" s="14">
        <f t="shared" si="119"/>
        <v>1.106428330391751E-2</v>
      </c>
      <c r="V378" s="14">
        <f t="shared" si="133"/>
        <v>1.4886700798029118E-3</v>
      </c>
      <c r="W378" s="14">
        <f t="shared" si="133"/>
        <v>4.2963577091185067E-3</v>
      </c>
      <c r="X378" s="16">
        <f t="shared" si="125"/>
        <v>0.34649584149927437</v>
      </c>
    </row>
    <row r="379" spans="1:24" x14ac:dyDescent="0.25">
      <c r="A379" s="10">
        <v>45729</v>
      </c>
      <c r="B379" s="11">
        <v>16490</v>
      </c>
      <c r="C379" s="12">
        <f t="shared" si="120"/>
        <v>1.2020272318760128E-2</v>
      </c>
      <c r="D379" s="11">
        <f t="shared" si="130"/>
        <v>16710.264000000003</v>
      </c>
      <c r="E379" s="11">
        <f t="shared" si="134"/>
        <v>16277.924800000001</v>
      </c>
      <c r="F379" s="11">
        <f t="shared" si="132"/>
        <v>14892.842187499986</v>
      </c>
      <c r="G379" s="12">
        <f t="shared" si="121"/>
        <v>1.1948602600170983E-2</v>
      </c>
      <c r="H379" s="19">
        <f t="shared" si="126"/>
        <v>0.11761036826360338</v>
      </c>
      <c r="I379" s="11">
        <f t="shared" si="127"/>
        <v>17086.650000000001</v>
      </c>
      <c r="J379" s="11">
        <f t="shared" si="128"/>
        <v>16294.14</v>
      </c>
      <c r="K379" s="12">
        <f>(B379-MAX($B$2:B379))/MAX($B$2:B379)</f>
        <v>-3.4919074248024123E-2</v>
      </c>
      <c r="L379" s="12">
        <f t="shared" si="129"/>
        <v>2.2957374167513755E-3</v>
      </c>
      <c r="M379" s="15">
        <f t="shared" si="123"/>
        <v>37.970853671242821</v>
      </c>
      <c r="N379" s="11">
        <f t="shared" si="116"/>
        <v>16578.156112416636</v>
      </c>
      <c r="O379" s="11">
        <f t="shared" si="117"/>
        <v>16517.175309087197</v>
      </c>
      <c r="P379" s="11">
        <f t="shared" si="113"/>
        <v>60.980803329439368</v>
      </c>
      <c r="Q379" s="11">
        <f t="shared" si="118"/>
        <v>146.52649679149098</v>
      </c>
      <c r="R379" s="11">
        <f t="shared" si="114"/>
        <v>-85.545693462051617</v>
      </c>
      <c r="S379" s="9">
        <f t="shared" si="115"/>
        <v>60</v>
      </c>
      <c r="T379" s="14">
        <f t="shared" si="122"/>
        <v>1.2020272318760128E-2</v>
      </c>
      <c r="U379" s="14">
        <f t="shared" si="119"/>
        <v>0</v>
      </c>
      <c r="V379" s="14">
        <f t="shared" si="133"/>
        <v>2.3472609597143495E-3</v>
      </c>
      <c r="W379" s="14">
        <f t="shared" si="133"/>
        <v>3.8344830169612259E-3</v>
      </c>
      <c r="X379" s="16">
        <f t="shared" si="125"/>
        <v>0.61214535292805161</v>
      </c>
    </row>
    <row r="380" spans="1:24" x14ac:dyDescent="0.25">
      <c r="A380" s="10">
        <v>45730</v>
      </c>
      <c r="B380" s="11">
        <v>16613.7</v>
      </c>
      <c r="C380" s="12">
        <f t="shared" si="120"/>
        <v>7.5015160703457706E-3</v>
      </c>
      <c r="D380" s="11">
        <f t="shared" si="130"/>
        <v>16718.337500000001</v>
      </c>
      <c r="E380" s="11">
        <f t="shared" si="134"/>
        <v>16308.453600000001</v>
      </c>
      <c r="F380" s="11">
        <f t="shared" si="132"/>
        <v>14911.533999999989</v>
      </c>
      <c r="G380" s="12">
        <f t="shared" si="121"/>
        <v>7.4735196220311112E-3</v>
      </c>
      <c r="H380" s="19">
        <f t="shared" si="126"/>
        <v>0.11993187362731013</v>
      </c>
      <c r="I380" s="11">
        <f t="shared" si="127"/>
        <v>17086.650000000001</v>
      </c>
      <c r="J380" s="11">
        <f t="shared" si="128"/>
        <v>16294.14</v>
      </c>
      <c r="K380" s="12">
        <f>(B380-MAX($B$2:B380))/MAX($B$2:B380)</f>
        <v>-2.7679504174311566E-2</v>
      </c>
      <c r="L380" s="12">
        <f t="shared" si="129"/>
        <v>-1.8576573090883786E-3</v>
      </c>
      <c r="M380" s="15">
        <f t="shared" si="123"/>
        <v>40.273122959128706</v>
      </c>
      <c r="N380" s="11">
        <f t="shared" si="116"/>
        <v>16583.624402814075</v>
      </c>
      <c r="O380" s="11">
        <f t="shared" si="117"/>
        <v>16524.325286191848</v>
      </c>
      <c r="P380" s="11">
        <f t="shared" si="113"/>
        <v>59.299116622227302</v>
      </c>
      <c r="Q380" s="11">
        <f t="shared" si="118"/>
        <v>129.08102075763827</v>
      </c>
      <c r="R380" s="11">
        <f t="shared" si="114"/>
        <v>-69.781904135410969</v>
      </c>
      <c r="S380" s="9">
        <f t="shared" si="115"/>
        <v>60</v>
      </c>
      <c r="T380" s="14">
        <f t="shared" si="122"/>
        <v>7.5015160703457706E-3</v>
      </c>
      <c r="U380" s="14">
        <f t="shared" si="119"/>
        <v>0</v>
      </c>
      <c r="V380" s="14">
        <f t="shared" si="133"/>
        <v>2.5855463013928492E-3</v>
      </c>
      <c r="W380" s="14">
        <f t="shared" si="133"/>
        <v>3.8344830169612259E-3</v>
      </c>
      <c r="X380" s="16">
        <f t="shared" si="125"/>
        <v>0.6742881087114212</v>
      </c>
    </row>
    <row r="381" spans="1:24" x14ac:dyDescent="0.25">
      <c r="A381" s="10">
        <v>45733</v>
      </c>
      <c r="B381" s="11">
        <v>16676.3</v>
      </c>
      <c r="C381" s="12">
        <f t="shared" si="120"/>
        <v>3.7679746233529876E-3</v>
      </c>
      <c r="D381" s="11">
        <f t="shared" si="130"/>
        <v>16719.9215</v>
      </c>
      <c r="E381" s="11">
        <f t="shared" si="134"/>
        <v>16331.653600000001</v>
      </c>
      <c r="F381" s="11">
        <f t="shared" si="132"/>
        <v>14930.702499999989</v>
      </c>
      <c r="G381" s="12">
        <f t="shared" si="121"/>
        <v>3.7608935888367597E-3</v>
      </c>
      <c r="H381" s="19">
        <f t="shared" si="126"/>
        <v>0.11331111308831744</v>
      </c>
      <c r="I381" s="11">
        <f t="shared" si="127"/>
        <v>17086.650000000001</v>
      </c>
      <c r="J381" s="11">
        <f t="shared" si="128"/>
        <v>16294.14</v>
      </c>
      <c r="K381" s="12">
        <f>(B381-MAX($B$2:B381))/MAX($B$2:B381)</f>
        <v>-2.4015825220274432E-2</v>
      </c>
      <c r="L381" s="12">
        <f t="shared" si="129"/>
        <v>-1.8196292505402445E-3</v>
      </c>
      <c r="M381" s="15">
        <f t="shared" si="123"/>
        <v>41.776373662999497</v>
      </c>
      <c r="N381" s="11">
        <f t="shared" si="116"/>
        <v>16597.882186996525</v>
      </c>
      <c r="O381" s="11">
        <f t="shared" si="117"/>
        <v>16535.582672399862</v>
      </c>
      <c r="P381" s="11">
        <f t="shared" si="113"/>
        <v>62.299514596663357</v>
      </c>
      <c r="Q381" s="11">
        <f t="shared" si="118"/>
        <v>115.72471952544331</v>
      </c>
      <c r="R381" s="11">
        <f t="shared" si="114"/>
        <v>-53.425204928779948</v>
      </c>
      <c r="S381" s="9">
        <f t="shared" si="115"/>
        <v>60</v>
      </c>
      <c r="T381" s="14">
        <f t="shared" si="122"/>
        <v>3.7679746233529876E-3</v>
      </c>
      <c r="U381" s="14">
        <f t="shared" si="119"/>
        <v>0</v>
      </c>
      <c r="V381" s="14">
        <f t="shared" si="133"/>
        <v>2.7513022702125695E-3</v>
      </c>
      <c r="W381" s="14">
        <f t="shared" si="133"/>
        <v>3.8344830169612259E-3</v>
      </c>
      <c r="X381" s="16">
        <f t="shared" si="125"/>
        <v>0.7175158314804424</v>
      </c>
    </row>
    <row r="382" spans="1:24" x14ac:dyDescent="0.25">
      <c r="A382" s="10">
        <v>45734</v>
      </c>
      <c r="B382" s="11">
        <v>16839.13</v>
      </c>
      <c r="C382" s="12">
        <f t="shared" si="120"/>
        <v>9.7641563176484869E-3</v>
      </c>
      <c r="D382" s="11">
        <f t="shared" si="130"/>
        <v>16726.542999999998</v>
      </c>
      <c r="E382" s="11">
        <f t="shared" si="134"/>
        <v>16357.254800000002</v>
      </c>
      <c r="F382" s="11">
        <f t="shared" si="132"/>
        <v>14950.928812499988</v>
      </c>
      <c r="G382" s="12">
        <f t="shared" si="121"/>
        <v>9.7167949894032928E-3</v>
      </c>
      <c r="H382" s="19">
        <f t="shared" si="126"/>
        <v>0.11776631261224829</v>
      </c>
      <c r="I382" s="11">
        <f t="shared" si="127"/>
        <v>17086.650000000001</v>
      </c>
      <c r="J382" s="11">
        <f t="shared" si="128"/>
        <v>16294.14</v>
      </c>
      <c r="K382" s="12">
        <f>(B382-MAX($B$2:B382))/MAX($B$2:B382)</f>
        <v>-1.4486163174174014E-2</v>
      </c>
      <c r="L382" s="12">
        <f t="shared" si="129"/>
        <v>-1.8067993273110927E-3</v>
      </c>
      <c r="M382" s="15">
        <f t="shared" si="123"/>
        <v>42.381534408561549</v>
      </c>
      <c r="N382" s="11">
        <f t="shared" si="116"/>
        <v>16634.997235150906</v>
      </c>
      <c r="O382" s="11">
        <f t="shared" si="117"/>
        <v>16558.067659629502</v>
      </c>
      <c r="P382" s="11">
        <f t="shared" si="113"/>
        <v>76.929575521404331</v>
      </c>
      <c r="Q382" s="11">
        <f t="shared" si="118"/>
        <v>107.96569072463552</v>
      </c>
      <c r="R382" s="11">
        <f t="shared" si="114"/>
        <v>-31.036115203231191</v>
      </c>
      <c r="S382" s="9">
        <f t="shared" si="115"/>
        <v>60</v>
      </c>
      <c r="T382" s="14">
        <f t="shared" si="122"/>
        <v>9.7641563176484869E-3</v>
      </c>
      <c r="U382" s="14">
        <f t="shared" si="119"/>
        <v>0</v>
      </c>
      <c r="V382" s="14">
        <f t="shared" si="133"/>
        <v>2.8204720874506367E-3</v>
      </c>
      <c r="W382" s="14">
        <f t="shared" si="133"/>
        <v>3.8344830169612259E-3</v>
      </c>
      <c r="X382" s="16">
        <f t="shared" si="125"/>
        <v>0.73555472145129519</v>
      </c>
    </row>
    <row r="383" spans="1:24" x14ac:dyDescent="0.25">
      <c r="A383" s="10">
        <v>45735</v>
      </c>
      <c r="B383" s="11">
        <v>17193.009999999998</v>
      </c>
      <c r="C383" s="12">
        <f t="shared" si="120"/>
        <v>2.1015337490713382E-2</v>
      </c>
      <c r="D383" s="11">
        <f t="shared" si="130"/>
        <v>16742.713</v>
      </c>
      <c r="E383" s="11">
        <f t="shared" si="134"/>
        <v>16390.531800000001</v>
      </c>
      <c r="F383" s="11">
        <f t="shared" si="132"/>
        <v>14973.127749999989</v>
      </c>
      <c r="G383" s="12">
        <f t="shared" si="121"/>
        <v>2.0797561097821771E-2</v>
      </c>
      <c r="H383" s="19">
        <f t="shared" si="126"/>
        <v>0.13475533759890035</v>
      </c>
      <c r="I383" s="11">
        <f t="shared" si="127"/>
        <v>17193.009999999998</v>
      </c>
      <c r="J383" s="11">
        <f t="shared" si="128"/>
        <v>16294.14</v>
      </c>
      <c r="K383" s="12">
        <f>(B383-MAX($B$2:B383))/MAX($B$2:B383)</f>
        <v>0</v>
      </c>
      <c r="L383" s="12">
        <f t="shared" si="129"/>
        <v>1.4178314304843065E-2</v>
      </c>
      <c r="M383" s="15">
        <f t="shared" si="123"/>
        <v>57.699183391635778</v>
      </c>
      <c r="N383" s="11">
        <f t="shared" si="116"/>
        <v>16720.845352819997</v>
      </c>
      <c r="O383" s="11">
        <f t="shared" si="117"/>
        <v>16605.100425582874</v>
      </c>
      <c r="P383" s="11">
        <f t="shared" si="113"/>
        <v>115.74492723712319</v>
      </c>
      <c r="Q383" s="11">
        <f t="shared" si="118"/>
        <v>109.52153802713306</v>
      </c>
      <c r="R383" s="11">
        <f t="shared" si="114"/>
        <v>6.2233892099901311</v>
      </c>
      <c r="S383" s="9">
        <f t="shared" si="115"/>
        <v>100</v>
      </c>
      <c r="T383" s="14">
        <f t="shared" si="122"/>
        <v>2.1015337490713382E-2</v>
      </c>
      <c r="U383" s="14">
        <f t="shared" si="119"/>
        <v>0</v>
      </c>
      <c r="V383" s="14">
        <f t="shared" si="133"/>
        <v>4.3215676225015921E-3</v>
      </c>
      <c r="W383" s="14">
        <f t="shared" si="133"/>
        <v>3.1682569616155848E-3</v>
      </c>
      <c r="X383" s="16">
        <f t="shared" si="125"/>
        <v>1.3640205560529728</v>
      </c>
    </row>
    <row r="384" spans="1:24" x14ac:dyDescent="0.25">
      <c r="A384" s="10">
        <v>45736</v>
      </c>
      <c r="B384" s="11">
        <v>17366.13</v>
      </c>
      <c r="C384" s="12">
        <f t="shared" si="120"/>
        <v>1.0069208358513215E-2</v>
      </c>
      <c r="D384" s="11">
        <f t="shared" si="130"/>
        <v>16763.387000000002</v>
      </c>
      <c r="E384" s="11">
        <f t="shared" si="134"/>
        <v>16423.380600000004</v>
      </c>
      <c r="F384" s="11">
        <f t="shared" si="132"/>
        <v>14996.286999999986</v>
      </c>
      <c r="G384" s="12">
        <f t="shared" si="121"/>
        <v>1.001885163280665E-2</v>
      </c>
      <c r="H384" s="19">
        <f t="shared" si="126"/>
        <v>0.13792953520596571</v>
      </c>
      <c r="I384" s="11">
        <f t="shared" si="127"/>
        <v>17366.13</v>
      </c>
      <c r="J384" s="11">
        <f t="shared" si="128"/>
        <v>16294.14</v>
      </c>
      <c r="K384" s="12">
        <f>(B384-MAX($B$2:B384))/MAX($B$2:B384)</f>
        <v>0</v>
      </c>
      <c r="L384" s="12">
        <f t="shared" si="129"/>
        <v>3.1057357256978335E-2</v>
      </c>
      <c r="M384" s="15">
        <f t="shared" si="123"/>
        <v>68.578717613939347</v>
      </c>
      <c r="N384" s="11">
        <f t="shared" si="116"/>
        <v>16820.119913924613</v>
      </c>
      <c r="O384" s="11">
        <f t="shared" si="117"/>
        <v>16661.47298665081</v>
      </c>
      <c r="P384" s="11">
        <f t="shared" si="113"/>
        <v>158.64692727380316</v>
      </c>
      <c r="Q384" s="11">
        <f t="shared" si="118"/>
        <v>119.34661587646708</v>
      </c>
      <c r="R384" s="11">
        <f t="shared" si="114"/>
        <v>39.300311397336074</v>
      </c>
      <c r="S384" s="9">
        <f t="shared" si="115"/>
        <v>100</v>
      </c>
      <c r="T384" s="14">
        <f t="shared" si="122"/>
        <v>1.0069208358513215E-2</v>
      </c>
      <c r="U384" s="14">
        <f t="shared" si="119"/>
        <v>0</v>
      </c>
      <c r="V384" s="14">
        <f t="shared" ref="V384:W399" si="135">AVERAGE(T371:T384)</f>
        <v>5.0407967909668217E-3</v>
      </c>
      <c r="W384" s="14">
        <f t="shared" si="135"/>
        <v>2.3095838611529068E-3</v>
      </c>
      <c r="X384" s="16">
        <f t="shared" si="125"/>
        <v>2.1825562932581879</v>
      </c>
    </row>
    <row r="385" spans="1:24" x14ac:dyDescent="0.25">
      <c r="A385" s="10">
        <v>45737</v>
      </c>
      <c r="B385" s="11">
        <v>17621.400000000001</v>
      </c>
      <c r="C385" s="12">
        <f t="shared" si="120"/>
        <v>1.469930260800778E-2</v>
      </c>
      <c r="D385" s="11">
        <f t="shared" si="130"/>
        <v>16802.305500000006</v>
      </c>
      <c r="E385" s="11">
        <f t="shared" si="134"/>
        <v>16458.896000000004</v>
      </c>
      <c r="F385" s="11">
        <f t="shared" si="132"/>
        <v>15020.338499999987</v>
      </c>
      <c r="G385" s="12">
        <f t="shared" si="121"/>
        <v>1.4592315013817787E-2</v>
      </c>
      <c r="H385" s="19">
        <f t="shared" si="126"/>
        <v>0.14255591245260907</v>
      </c>
      <c r="I385" s="11">
        <f t="shared" si="127"/>
        <v>17621.400000000001</v>
      </c>
      <c r="J385" s="11">
        <f t="shared" si="128"/>
        <v>16294.14</v>
      </c>
      <c r="K385" s="12">
        <f>(B385-MAX($B$2:B385))/MAX($B$2:B385)</f>
        <v>0</v>
      </c>
      <c r="L385" s="12">
        <f t="shared" si="129"/>
        <v>4.1873236213866294E-2</v>
      </c>
      <c r="M385" s="15">
        <f t="shared" si="123"/>
        <v>71.516617813442366</v>
      </c>
      <c r="N385" s="11">
        <f t="shared" si="116"/>
        <v>16943.393773320826</v>
      </c>
      <c r="O385" s="11">
        <f t="shared" si="117"/>
        <v>16732.578691343344</v>
      </c>
      <c r="P385" s="11">
        <f t="shared" si="113"/>
        <v>210.8150819774819</v>
      </c>
      <c r="Q385" s="11">
        <f t="shared" si="118"/>
        <v>137.64030909667005</v>
      </c>
      <c r="R385" s="11">
        <f t="shared" si="114"/>
        <v>73.174772880811844</v>
      </c>
      <c r="S385" s="9">
        <f t="shared" si="115"/>
        <v>100</v>
      </c>
      <c r="T385" s="14">
        <f t="shared" si="122"/>
        <v>1.469930260800778E-2</v>
      </c>
      <c r="U385" s="14">
        <f t="shared" si="119"/>
        <v>0</v>
      </c>
      <c r="V385" s="14">
        <f t="shared" si="135"/>
        <v>5.7989470921791918E-3</v>
      </c>
      <c r="W385" s="14">
        <f t="shared" si="135"/>
        <v>2.3095838611529068E-3</v>
      </c>
      <c r="X385" s="16">
        <f t="shared" si="125"/>
        <v>2.5108190222997364</v>
      </c>
    </row>
    <row r="386" spans="1:24" x14ac:dyDescent="0.25">
      <c r="A386" s="10">
        <v>45740</v>
      </c>
      <c r="B386" s="11">
        <v>17858.900000000001</v>
      </c>
      <c r="C386" s="12">
        <f t="shared" si="120"/>
        <v>1.3477930243907865E-2</v>
      </c>
      <c r="D386" s="11">
        <f t="shared" si="130"/>
        <v>16849.591000000004</v>
      </c>
      <c r="E386" s="11">
        <f t="shared" si="134"/>
        <v>16498.558800000003</v>
      </c>
      <c r="F386" s="11">
        <f t="shared" si="132"/>
        <v>15045.049937499984</v>
      </c>
      <c r="G386" s="12">
        <f t="shared" si="121"/>
        <v>1.3387910889800523E-2</v>
      </c>
      <c r="H386" s="19">
        <f t="shared" si="126"/>
        <v>0.14785336868171428</v>
      </c>
      <c r="I386" s="11">
        <f t="shared" si="127"/>
        <v>17858.900000000001</v>
      </c>
      <c r="J386" s="11">
        <f t="shared" si="128"/>
        <v>16294.14</v>
      </c>
      <c r="K386" s="12">
        <f>(B386-MAX($B$2:B386))/MAX($B$2:B386)</f>
        <v>0</v>
      </c>
      <c r="L386" s="12">
        <f t="shared" si="129"/>
        <v>5.438941719846957E-2</v>
      </c>
      <c r="M386" s="15">
        <f t="shared" si="123"/>
        <v>77.626643036130133</v>
      </c>
      <c r="N386" s="11">
        <f t="shared" si="116"/>
        <v>17084.240885117622</v>
      </c>
      <c r="O386" s="11">
        <f t="shared" si="117"/>
        <v>16816.009899391986</v>
      </c>
      <c r="P386" s="11">
        <f t="shared" ref="P386:P449" si="136">N386-O386</f>
        <v>268.23098572563686</v>
      </c>
      <c r="Q386" s="11">
        <f t="shared" si="118"/>
        <v>163.75844442246341</v>
      </c>
      <c r="R386" s="11">
        <f t="shared" ref="R386:R449" si="137">P386-Q386</f>
        <v>104.47254130317344</v>
      </c>
      <c r="S386" s="9">
        <f t="shared" ref="S386:S449" si="138">IF(AND(D386&gt;E386,P386&gt;Q386),100,IF(OR(D386&gt;E386,P386&gt;Q386),60,20))</f>
        <v>100</v>
      </c>
      <c r="T386" s="14">
        <f t="shared" si="122"/>
        <v>1.3477930243907865E-2</v>
      </c>
      <c r="U386" s="14">
        <f t="shared" si="119"/>
        <v>0</v>
      </c>
      <c r="V386" s="14">
        <f t="shared" si="135"/>
        <v>6.7616563953154674E-3</v>
      </c>
      <c r="W386" s="14">
        <f t="shared" si="135"/>
        <v>1.9488276999047236E-3</v>
      </c>
      <c r="X386" s="16">
        <f t="shared" si="125"/>
        <v>3.469601953854637</v>
      </c>
    </row>
    <row r="387" spans="1:24" x14ac:dyDescent="0.25">
      <c r="A387" s="10">
        <v>45741</v>
      </c>
      <c r="B387" s="11">
        <v>17677.830000000002</v>
      </c>
      <c r="C387" s="12">
        <f t="shared" si="120"/>
        <v>-1.0138922330042655E-2</v>
      </c>
      <c r="D387" s="11">
        <f t="shared" si="130"/>
        <v>16886.599000000006</v>
      </c>
      <c r="E387" s="11">
        <f t="shared" si="134"/>
        <v>16533.862400000002</v>
      </c>
      <c r="F387" s="11">
        <f t="shared" si="132"/>
        <v>15068.134312499988</v>
      </c>
      <c r="G387" s="12">
        <f t="shared" si="121"/>
        <v>-1.0190671285959301E-2</v>
      </c>
      <c r="H387" s="19">
        <f t="shared" si="126"/>
        <v>0.15479082624860191</v>
      </c>
      <c r="I387" s="11">
        <f t="shared" si="127"/>
        <v>17858.900000000001</v>
      </c>
      <c r="J387" s="11">
        <f t="shared" si="128"/>
        <v>16294.14</v>
      </c>
      <c r="K387" s="12">
        <f>(B387-MAX($B$2:B387))/MAX($B$2:B387)</f>
        <v>-1.0138922330042707E-2</v>
      </c>
      <c r="L387" s="12">
        <f t="shared" si="129"/>
        <v>3.4598941278717543E-2</v>
      </c>
      <c r="M387" s="15">
        <f t="shared" si="123"/>
        <v>74.481138016256409</v>
      </c>
      <c r="N387" s="11">
        <f t="shared" ref="N387:N450" si="139">(B387*(2/13))+N386*(1-2/13)</f>
        <v>17175.562287407221</v>
      </c>
      <c r="O387" s="11">
        <f t="shared" ref="O387:O450" si="140">(B387*(2/27))+O386*(1-2/27)</f>
        <v>16879.84842536295</v>
      </c>
      <c r="P387" s="11">
        <f t="shared" si="136"/>
        <v>295.71386204427108</v>
      </c>
      <c r="Q387" s="11">
        <f t="shared" ref="Q387:Q450" si="141">(P387*(2/10))+Q386*(1-2/10)</f>
        <v>190.14952794682497</v>
      </c>
      <c r="R387" s="11">
        <f t="shared" si="137"/>
        <v>105.56433409744611</v>
      </c>
      <c r="S387" s="9">
        <f t="shared" si="138"/>
        <v>100</v>
      </c>
      <c r="T387" s="14">
        <f t="shared" si="122"/>
        <v>0</v>
      </c>
      <c r="U387" s="14">
        <f t="shared" ref="U387:U450" si="142">ABS(MIN(C387,0))</f>
        <v>1.0138922330042655E-2</v>
      </c>
      <c r="V387" s="14">
        <f t="shared" si="135"/>
        <v>6.7616563953154674E-3</v>
      </c>
      <c r="W387" s="14">
        <f t="shared" si="135"/>
        <v>2.3166909224170496E-3</v>
      </c>
      <c r="X387" s="16">
        <f t="shared" si="125"/>
        <v>2.9186700435036439</v>
      </c>
    </row>
    <row r="388" spans="1:24" x14ac:dyDescent="0.25">
      <c r="A388" s="10">
        <v>45742</v>
      </c>
      <c r="B388" s="11">
        <v>17567.95</v>
      </c>
      <c r="C388" s="12">
        <f t="shared" ref="C388:C451" si="143">(B388/B387)-1</f>
        <v>-6.2156950259166788E-3</v>
      </c>
      <c r="D388" s="11">
        <f t="shared" si="130"/>
        <v>16910.664000000004</v>
      </c>
      <c r="E388" s="11">
        <f t="shared" si="134"/>
        <v>16563.6276</v>
      </c>
      <c r="F388" s="11">
        <f t="shared" si="132"/>
        <v>15090.571687499989</v>
      </c>
      <c r="G388" s="12">
        <f t="shared" ref="G388:G451" si="144">LN(B388/B387)</f>
        <v>-6.2350928807847327E-3</v>
      </c>
      <c r="H388" s="19">
        <f t="shared" si="126"/>
        <v>0.15543517705764667</v>
      </c>
      <c r="I388" s="11">
        <f t="shared" si="127"/>
        <v>17858.900000000001</v>
      </c>
      <c r="J388" s="11">
        <f t="shared" si="128"/>
        <v>16294.14</v>
      </c>
      <c r="K388" s="12">
        <f>(B388-MAX($B$2:B388))/MAX($B$2:B388)</f>
        <v>-1.6291596906864405E-2</v>
      </c>
      <c r="L388" s="12">
        <f t="shared" si="129"/>
        <v>3.7848372567831357E-2</v>
      </c>
      <c r="M388" s="15">
        <f t="shared" si="123"/>
        <v>72.750585560006314</v>
      </c>
      <c r="N388" s="11">
        <f t="shared" si="139"/>
        <v>17235.929627806112</v>
      </c>
      <c r="O388" s="11">
        <f t="shared" si="140"/>
        <v>16930.818912373103</v>
      </c>
      <c r="P388" s="11">
        <f t="shared" si="136"/>
        <v>305.11071543300932</v>
      </c>
      <c r="Q388" s="11">
        <f t="shared" si="141"/>
        <v>213.14176544406183</v>
      </c>
      <c r="R388" s="11">
        <f t="shared" si="137"/>
        <v>91.968949988947486</v>
      </c>
      <c r="S388" s="9">
        <f t="shared" si="138"/>
        <v>100</v>
      </c>
      <c r="T388" s="14">
        <f t="shared" ref="T388:T451" si="145">MAX(C388,0)</f>
        <v>0</v>
      </c>
      <c r="U388" s="14">
        <f t="shared" si="142"/>
        <v>6.2156950259166788E-3</v>
      </c>
      <c r="V388" s="14">
        <f t="shared" si="135"/>
        <v>6.7616563953154674E-3</v>
      </c>
      <c r="W388" s="14">
        <f t="shared" si="135"/>
        <v>2.5326418474640377E-3</v>
      </c>
      <c r="X388" s="16">
        <f t="shared" si="125"/>
        <v>2.6698036289994929</v>
      </c>
    </row>
    <row r="389" spans="1:24" x14ac:dyDescent="0.25">
      <c r="A389" s="10">
        <v>45743</v>
      </c>
      <c r="B389" s="11">
        <v>17591.12</v>
      </c>
      <c r="C389" s="12">
        <f t="shared" si="143"/>
        <v>1.3188789813267654E-3</v>
      </c>
      <c r="D389" s="11">
        <f t="shared" si="130"/>
        <v>16943.856000000003</v>
      </c>
      <c r="E389" s="11">
        <f t="shared" si="134"/>
        <v>16593.831399999999</v>
      </c>
      <c r="F389" s="11">
        <f t="shared" si="132"/>
        <v>15113.009374999991</v>
      </c>
      <c r="G389" s="12">
        <f t="shared" si="144"/>
        <v>1.3180100243918508E-3</v>
      </c>
      <c r="H389" s="19">
        <f t="shared" si="126"/>
        <v>0.15016275313119976</v>
      </c>
      <c r="I389" s="11">
        <f t="shared" si="127"/>
        <v>17858.900000000001</v>
      </c>
      <c r="J389" s="11">
        <f t="shared" si="128"/>
        <v>16294.14</v>
      </c>
      <c r="K389" s="12">
        <f>(B389-MAX($B$2:B389))/MAX($B$2:B389)</f>
        <v>-1.4994204570270423E-2</v>
      </c>
      <c r="L389" s="12">
        <f t="shared" si="129"/>
        <v>5.1862048016627638E-2</v>
      </c>
      <c r="M389" s="15">
        <f t="shared" si="123"/>
        <v>72.533459914603128</v>
      </c>
      <c r="N389" s="11">
        <f t="shared" si="139"/>
        <v>17290.574300451328</v>
      </c>
      <c r="O389" s="11">
        <f t="shared" si="140"/>
        <v>16979.730104049169</v>
      </c>
      <c r="P389" s="11">
        <f t="shared" si="136"/>
        <v>310.84419640215856</v>
      </c>
      <c r="Q389" s="11">
        <f t="shared" si="141"/>
        <v>232.68225163568118</v>
      </c>
      <c r="R389" s="11">
        <f t="shared" si="137"/>
        <v>78.161944766477376</v>
      </c>
      <c r="S389" s="9">
        <f t="shared" si="138"/>
        <v>100</v>
      </c>
      <c r="T389" s="14">
        <f t="shared" si="145"/>
        <v>1.3188789813267654E-3</v>
      </c>
      <c r="U389" s="14">
        <f t="shared" si="142"/>
        <v>0</v>
      </c>
      <c r="V389" s="14">
        <f t="shared" si="135"/>
        <v>6.6881840723268847E-3</v>
      </c>
      <c r="W389" s="14">
        <f t="shared" si="135"/>
        <v>2.5326418474640377E-3</v>
      </c>
      <c r="X389" s="16">
        <f t="shared" si="125"/>
        <v>2.6407934777765112</v>
      </c>
    </row>
    <row r="390" spans="1:24" x14ac:dyDescent="0.25">
      <c r="A390" s="10">
        <v>45744</v>
      </c>
      <c r="B390" s="11">
        <v>17756.02</v>
      </c>
      <c r="C390" s="12">
        <f t="shared" si="143"/>
        <v>9.3740478150339257E-3</v>
      </c>
      <c r="D390" s="11">
        <f t="shared" si="130"/>
        <v>16995.467500000002</v>
      </c>
      <c r="E390" s="11">
        <f t="shared" si="134"/>
        <v>16628.516599999995</v>
      </c>
      <c r="F390" s="11">
        <f t="shared" si="132"/>
        <v>15138.969374999991</v>
      </c>
      <c r="G390" s="12">
        <f t="shared" si="144"/>
        <v>9.3303840872965022E-3</v>
      </c>
      <c r="H390" s="19">
        <f t="shared" si="126"/>
        <v>0.1427094239985065</v>
      </c>
      <c r="I390" s="11">
        <f t="shared" si="127"/>
        <v>17858.900000000001</v>
      </c>
      <c r="J390" s="11">
        <f t="shared" si="128"/>
        <v>16294.14</v>
      </c>
      <c r="K390" s="12">
        <f>(B390-MAX($B$2:B390))/MAX($B$2:B390)</f>
        <v>-5.7607131458265069E-3</v>
      </c>
      <c r="L390" s="12">
        <f t="shared" si="129"/>
        <v>5.7402553937533796E-2</v>
      </c>
      <c r="M390" s="15">
        <f t="shared" si="123"/>
        <v>75.260763338474362</v>
      </c>
      <c r="N390" s="11">
        <f t="shared" si="139"/>
        <v>17362.181331151121</v>
      </c>
      <c r="O390" s="11">
        <f t="shared" si="140"/>
        <v>17037.233059304785</v>
      </c>
      <c r="P390" s="11">
        <f t="shared" si="136"/>
        <v>324.94827184633687</v>
      </c>
      <c r="Q390" s="11">
        <f t="shared" si="141"/>
        <v>251.13545567781233</v>
      </c>
      <c r="R390" s="11">
        <f t="shared" si="137"/>
        <v>73.812816168524535</v>
      </c>
      <c r="S390" s="9">
        <f t="shared" si="138"/>
        <v>100</v>
      </c>
      <c r="T390" s="14">
        <f t="shared" si="145"/>
        <v>9.3740478150339257E-3</v>
      </c>
      <c r="U390" s="14">
        <f t="shared" si="142"/>
        <v>0</v>
      </c>
      <c r="V390" s="14">
        <f t="shared" si="135"/>
        <v>7.3577589162578793E-3</v>
      </c>
      <c r="W390" s="14">
        <f t="shared" si="135"/>
        <v>2.4185954414137623E-3</v>
      </c>
      <c r="X390" s="16">
        <f t="shared" si="125"/>
        <v>3.0421619053234408</v>
      </c>
    </row>
    <row r="391" spans="1:24" x14ac:dyDescent="0.25">
      <c r="A391" s="10">
        <v>45749</v>
      </c>
      <c r="B391" s="11">
        <v>17675.36</v>
      </c>
      <c r="C391" s="12">
        <f t="shared" si="143"/>
        <v>-4.5426846782105068E-3</v>
      </c>
      <c r="D391" s="11">
        <f t="shared" si="130"/>
        <v>17039.63</v>
      </c>
      <c r="E391" s="11">
        <f t="shared" si="134"/>
        <v>16662.643399999997</v>
      </c>
      <c r="F391" s="11">
        <f t="shared" si="132"/>
        <v>15163.15749999999</v>
      </c>
      <c r="G391" s="12">
        <f t="shared" si="144"/>
        <v>-4.553034024692231E-3</v>
      </c>
      <c r="H391" s="19">
        <f t="shared" si="126"/>
        <v>0.14510898942337305</v>
      </c>
      <c r="I391" s="11">
        <f t="shared" si="127"/>
        <v>17858.900000000001</v>
      </c>
      <c r="J391" s="11">
        <f t="shared" si="128"/>
        <v>16294.14</v>
      </c>
      <c r="K391" s="12">
        <f>(B391-MAX($B$2:B391))/MAX($B$2:B391)</f>
        <v>-1.0277228720693931E-2</v>
      </c>
      <c r="L391" s="12">
        <f t="shared" si="129"/>
        <v>5.7942336583409748E-2</v>
      </c>
      <c r="M391" s="15">
        <f t="shared" si="123"/>
        <v>76.319526139250016</v>
      </c>
      <c r="N391" s="11">
        <f t="shared" si="139"/>
        <v>17410.362664820179</v>
      </c>
      <c r="O391" s="11">
        <f t="shared" si="140"/>
        <v>17084.501721578505</v>
      </c>
      <c r="P391" s="11">
        <f t="shared" si="136"/>
        <v>325.86094324167425</v>
      </c>
      <c r="Q391" s="11">
        <f t="shared" si="141"/>
        <v>266.08055319058474</v>
      </c>
      <c r="R391" s="11">
        <f t="shared" si="137"/>
        <v>59.780390051089512</v>
      </c>
      <c r="S391" s="9">
        <f t="shared" si="138"/>
        <v>100</v>
      </c>
      <c r="T391" s="14">
        <f t="shared" si="145"/>
        <v>0</v>
      </c>
      <c r="U391" s="14">
        <f t="shared" si="142"/>
        <v>4.5426846782105068E-3</v>
      </c>
      <c r="V391" s="14">
        <f t="shared" si="135"/>
        <v>7.3577589162578793E-3</v>
      </c>
      <c r="W391" s="14">
        <f t="shared" si="135"/>
        <v>2.2829703812919538E-3</v>
      </c>
      <c r="X391" s="16">
        <f t="shared" si="125"/>
        <v>3.2228884687036792</v>
      </c>
    </row>
    <row r="392" spans="1:24" x14ac:dyDescent="0.25">
      <c r="A392" s="10">
        <v>45750</v>
      </c>
      <c r="B392" s="11">
        <v>17258.37</v>
      </c>
      <c r="C392" s="12">
        <f t="shared" si="143"/>
        <v>-2.3591598700111405E-2</v>
      </c>
      <c r="D392" s="11">
        <f t="shared" si="130"/>
        <v>17067.183499999999</v>
      </c>
      <c r="E392" s="11">
        <f t="shared" si="134"/>
        <v>16692.432399999998</v>
      </c>
      <c r="F392" s="11">
        <f t="shared" si="132"/>
        <v>15184.890812499991</v>
      </c>
      <c r="G392" s="12">
        <f t="shared" si="144"/>
        <v>-2.3874336137497464E-2</v>
      </c>
      <c r="H392" s="19">
        <f t="shared" si="126"/>
        <v>0.17123278683954699</v>
      </c>
      <c r="I392" s="11">
        <f t="shared" si="127"/>
        <v>17858.900000000001</v>
      </c>
      <c r="J392" s="11">
        <f t="shared" si="128"/>
        <v>16294.14</v>
      </c>
      <c r="K392" s="12">
        <f>(B392-MAX($B$2:B392))/MAX($B$2:B392)</f>
        <v>-3.3626371165077495E-2</v>
      </c>
      <c r="L392" s="12">
        <f t="shared" si="129"/>
        <v>3.8163011799241309E-2</v>
      </c>
      <c r="M392" s="15">
        <f t="shared" si="123"/>
        <v>69.837527399323577</v>
      </c>
      <c r="N392" s="11">
        <f t="shared" si="139"/>
        <v>17386.979177924768</v>
      </c>
      <c r="O392" s="11">
        <f t="shared" si="140"/>
        <v>17097.380853313429</v>
      </c>
      <c r="P392" s="11">
        <f t="shared" si="136"/>
        <v>289.59832461133919</v>
      </c>
      <c r="Q392" s="11">
        <f t="shared" si="141"/>
        <v>270.78410747473566</v>
      </c>
      <c r="R392" s="11">
        <f t="shared" si="137"/>
        <v>18.814217136603531</v>
      </c>
      <c r="S392" s="9">
        <f t="shared" si="138"/>
        <v>100</v>
      </c>
      <c r="T392" s="14">
        <f t="shared" si="145"/>
        <v>0</v>
      </c>
      <c r="U392" s="14">
        <f t="shared" si="142"/>
        <v>2.3591598700111405E-2</v>
      </c>
      <c r="V392" s="14">
        <f t="shared" si="135"/>
        <v>7.3577589162578793E-3</v>
      </c>
      <c r="W392" s="14">
        <f t="shared" si="135"/>
        <v>3.1777786238772316E-3</v>
      </c>
      <c r="X392" s="16">
        <f t="shared" si="125"/>
        <v>2.3153780634601357</v>
      </c>
    </row>
    <row r="393" spans="1:24" x14ac:dyDescent="0.25">
      <c r="A393" s="10">
        <v>45751</v>
      </c>
      <c r="B393" s="11">
        <v>17232.490000000002</v>
      </c>
      <c r="C393" s="12">
        <f t="shared" si="143"/>
        <v>-1.4995622413934706E-3</v>
      </c>
      <c r="D393" s="11">
        <f t="shared" si="130"/>
        <v>17097.610500000003</v>
      </c>
      <c r="E393" s="11">
        <f t="shared" si="134"/>
        <v>16721.569599999999</v>
      </c>
      <c r="F393" s="11">
        <f t="shared" si="132"/>
        <v>15206.355749999993</v>
      </c>
      <c r="G393" s="12">
        <f t="shared" si="144"/>
        <v>-1.5006877101323742E-3</v>
      </c>
      <c r="H393" s="19">
        <f t="shared" si="126"/>
        <v>0.16988226833500636</v>
      </c>
      <c r="I393" s="11">
        <f t="shared" si="127"/>
        <v>17858.900000000001</v>
      </c>
      <c r="J393" s="11">
        <f t="shared" si="128"/>
        <v>16294.14</v>
      </c>
      <c r="K393" s="12">
        <f>(B393-MAX($B$2:B393))/MAX($B$2:B393)</f>
        <v>-3.5075508569956705E-2</v>
      </c>
      <c r="L393" s="12">
        <f t="shared" si="129"/>
        <v>3.9926063069674056E-2</v>
      </c>
      <c r="M393" s="15">
        <f t="shared" si="123"/>
        <v>66.42609713694921</v>
      </c>
      <c r="N393" s="11">
        <f t="shared" si="139"/>
        <v>17363.211612090188</v>
      </c>
      <c r="O393" s="11">
        <f t="shared" si="140"/>
        <v>17107.388938253174</v>
      </c>
      <c r="P393" s="11">
        <f t="shared" si="136"/>
        <v>255.82267383701401</v>
      </c>
      <c r="Q393" s="11">
        <f t="shared" si="141"/>
        <v>267.79182074719137</v>
      </c>
      <c r="R393" s="11">
        <f t="shared" si="137"/>
        <v>-11.969146910177358</v>
      </c>
      <c r="S393" s="9">
        <f t="shared" si="138"/>
        <v>60</v>
      </c>
      <c r="T393" s="14">
        <f t="shared" si="145"/>
        <v>0</v>
      </c>
      <c r="U393" s="14">
        <f t="shared" si="142"/>
        <v>1.4995622413934706E-3</v>
      </c>
      <c r="V393" s="14">
        <f t="shared" si="135"/>
        <v>6.4991680363464411E-3</v>
      </c>
      <c r="W393" s="14">
        <f t="shared" si="135"/>
        <v>3.2848902125481938E-3</v>
      </c>
      <c r="X393" s="16">
        <f t="shared" si="125"/>
        <v>1.9785038816578377</v>
      </c>
    </row>
    <row r="394" spans="1:24" x14ac:dyDescent="0.25">
      <c r="A394" s="10">
        <v>45754</v>
      </c>
      <c r="B394" s="11">
        <v>16260.3</v>
      </c>
      <c r="C394" s="12">
        <f t="shared" si="143"/>
        <v>-5.6416107016455719E-2</v>
      </c>
      <c r="D394" s="11">
        <f t="shared" si="130"/>
        <v>17082.0815</v>
      </c>
      <c r="E394" s="11">
        <f t="shared" si="134"/>
        <v>16730.215</v>
      </c>
      <c r="F394" s="11">
        <f t="shared" si="132"/>
        <v>15221.776624999993</v>
      </c>
      <c r="G394" s="12">
        <f t="shared" si="144"/>
        <v>-5.8070001344683916E-2</v>
      </c>
      <c r="H394" s="19">
        <f t="shared" si="126"/>
        <v>0.27215653779340454</v>
      </c>
      <c r="I394" s="11">
        <f t="shared" si="127"/>
        <v>17858.900000000001</v>
      </c>
      <c r="J394" s="11">
        <f t="shared" si="128"/>
        <v>16260.3</v>
      </c>
      <c r="K394" s="12">
        <f>(B394-MAX($B$2:B394))/MAX($B$2:B394)</f>
        <v>-8.9512791941273095E-2</v>
      </c>
      <c r="L394" s="12">
        <f t="shared" si="129"/>
        <v>-2.104061582995076E-2</v>
      </c>
      <c r="M394" s="15">
        <f t="shared" si="123"/>
        <v>44.911616971200566</v>
      </c>
      <c r="N394" s="11">
        <f t="shared" si="139"/>
        <v>17193.532902537852</v>
      </c>
      <c r="O394" s="11">
        <f t="shared" si="140"/>
        <v>17044.641609493679</v>
      </c>
      <c r="P394" s="11">
        <f t="shared" si="136"/>
        <v>148.89129304417293</v>
      </c>
      <c r="Q394" s="11">
        <f t="shared" si="141"/>
        <v>244.0117152065877</v>
      </c>
      <c r="R394" s="11">
        <f t="shared" si="137"/>
        <v>-95.120422162414769</v>
      </c>
      <c r="S394" s="9">
        <f t="shared" si="138"/>
        <v>60</v>
      </c>
      <c r="T394" s="14">
        <f t="shared" si="145"/>
        <v>0</v>
      </c>
      <c r="U394" s="14">
        <f t="shared" si="142"/>
        <v>5.6416107016455719E-2</v>
      </c>
      <c r="V394" s="14">
        <f t="shared" si="135"/>
        <v>5.9633454598931723E-3</v>
      </c>
      <c r="W394" s="14">
        <f t="shared" si="135"/>
        <v>7.3146121422950306E-3</v>
      </c>
      <c r="X394" s="16">
        <f t="shared" si="125"/>
        <v>0.81526475278320287</v>
      </c>
    </row>
    <row r="395" spans="1:24" x14ac:dyDescent="0.25">
      <c r="A395" s="10">
        <v>45755</v>
      </c>
      <c r="B395" s="11">
        <v>16479.060000000001</v>
      </c>
      <c r="C395" s="12">
        <f t="shared" si="143"/>
        <v>1.3453626316857648E-2</v>
      </c>
      <c r="D395" s="11">
        <f t="shared" si="130"/>
        <v>17075.5455</v>
      </c>
      <c r="E395" s="11">
        <f t="shared" si="134"/>
        <v>16742.1554</v>
      </c>
      <c r="F395" s="11">
        <f t="shared" si="132"/>
        <v>15238.630124999992</v>
      </c>
      <c r="G395" s="12">
        <f t="shared" si="144"/>
        <v>1.3363929885634186E-2</v>
      </c>
      <c r="H395" s="19">
        <f t="shared" si="126"/>
        <v>0.27669656506578627</v>
      </c>
      <c r="I395" s="11">
        <f t="shared" si="127"/>
        <v>17858.900000000001</v>
      </c>
      <c r="J395" s="11">
        <f t="shared" si="128"/>
        <v>16260.3</v>
      </c>
      <c r="K395" s="12">
        <f>(B395-MAX($B$2:B395))/MAX($B$2:B395)</f>
        <v>-7.7263437277771865E-2</v>
      </c>
      <c r="L395" s="12">
        <f t="shared" si="129"/>
        <v>-6.2834448715148872E-3</v>
      </c>
      <c r="M395" s="15">
        <f t="shared" si="123"/>
        <v>47.639784045053631</v>
      </c>
      <c r="N395" s="11">
        <f t="shared" si="139"/>
        <v>17083.613994455107</v>
      </c>
      <c r="O395" s="11">
        <f t="shared" si="140"/>
        <v>17002.746675457111</v>
      </c>
      <c r="P395" s="11">
        <f t="shared" si="136"/>
        <v>80.867318997996335</v>
      </c>
      <c r="Q395" s="11">
        <f t="shared" si="141"/>
        <v>211.38283596486943</v>
      </c>
      <c r="R395" s="11">
        <f t="shared" si="137"/>
        <v>-130.51551696687309</v>
      </c>
      <c r="S395" s="9">
        <f t="shared" si="138"/>
        <v>60</v>
      </c>
      <c r="T395" s="14">
        <f t="shared" si="145"/>
        <v>1.3453626316857648E-2</v>
      </c>
      <c r="U395" s="14">
        <f t="shared" si="142"/>
        <v>0</v>
      </c>
      <c r="V395" s="14">
        <f t="shared" si="135"/>
        <v>6.6551777237149334E-3</v>
      </c>
      <c r="W395" s="14">
        <f t="shared" si="135"/>
        <v>7.3146121422950306E-3</v>
      </c>
      <c r="X395" s="16">
        <f t="shared" si="125"/>
        <v>0.90984697400876913</v>
      </c>
    </row>
    <row r="396" spans="1:24" x14ac:dyDescent="0.25">
      <c r="A396" s="10">
        <v>45756</v>
      </c>
      <c r="B396" s="11">
        <v>16027.71</v>
      </c>
      <c r="C396" s="12">
        <f t="shared" si="143"/>
        <v>-2.7389304972492479E-2</v>
      </c>
      <c r="D396" s="11">
        <f t="shared" si="130"/>
        <v>17047.768</v>
      </c>
      <c r="E396" s="11">
        <f t="shared" si="134"/>
        <v>16744.984199999999</v>
      </c>
      <c r="F396" s="11">
        <f t="shared" si="132"/>
        <v>15252.427874999994</v>
      </c>
      <c r="G396" s="12">
        <f t="shared" si="144"/>
        <v>-2.777138474604721E-2</v>
      </c>
      <c r="H396" s="19">
        <f t="shared" si="126"/>
        <v>0.29330487709659109</v>
      </c>
      <c r="I396" s="11">
        <f t="shared" si="127"/>
        <v>17858.900000000001</v>
      </c>
      <c r="J396" s="11">
        <f t="shared" si="128"/>
        <v>16027.71</v>
      </c>
      <c r="K396" s="12">
        <f>(B396-MAX($B$2:B396))/MAX($B$2:B396)</f>
        <v>-0.10253655040344042</v>
      </c>
      <c r="L396" s="12">
        <f t="shared" si="129"/>
        <v>-2.723464534814557E-2</v>
      </c>
      <c r="M396" s="15">
        <f t="shared" si="123"/>
        <v>39.121701915977816</v>
      </c>
      <c r="N396" s="11">
        <f t="shared" si="139"/>
        <v>16921.167226077399</v>
      </c>
      <c r="O396" s="11">
        <f t="shared" si="140"/>
        <v>16930.52173653436</v>
      </c>
      <c r="P396" s="11">
        <f t="shared" si="136"/>
        <v>-9.3545104569602699</v>
      </c>
      <c r="Q396" s="11">
        <f t="shared" si="141"/>
        <v>167.23536668050349</v>
      </c>
      <c r="R396" s="11">
        <f t="shared" si="137"/>
        <v>-176.58987713746376</v>
      </c>
      <c r="S396" s="9">
        <f t="shared" si="138"/>
        <v>60</v>
      </c>
      <c r="T396" s="14">
        <f t="shared" si="145"/>
        <v>0</v>
      </c>
      <c r="U396" s="14">
        <f t="shared" si="142"/>
        <v>2.7389304972492479E-2</v>
      </c>
      <c r="V396" s="14">
        <f t="shared" si="135"/>
        <v>5.9577379867400415E-3</v>
      </c>
      <c r="W396" s="14">
        <f t="shared" si="135"/>
        <v>9.2709910689016371E-3</v>
      </c>
      <c r="X396" s="16">
        <f t="shared" si="125"/>
        <v>0.64262147837942774</v>
      </c>
    </row>
    <row r="397" spans="1:24" x14ac:dyDescent="0.25">
      <c r="A397" s="10">
        <v>45757</v>
      </c>
      <c r="B397" s="11">
        <v>16377.53</v>
      </c>
      <c r="C397" s="12">
        <f t="shared" si="143"/>
        <v>2.1825950182527754E-2</v>
      </c>
      <c r="D397" s="11">
        <f t="shared" si="130"/>
        <v>17042.822500000002</v>
      </c>
      <c r="E397" s="11">
        <f t="shared" si="134"/>
        <v>16754.280200000001</v>
      </c>
      <c r="F397" s="11">
        <f t="shared" si="132"/>
        <v>15268.080187499992</v>
      </c>
      <c r="G397" s="12">
        <f t="shared" si="144"/>
        <v>2.1591174130073301E-2</v>
      </c>
      <c r="H397" s="19">
        <f t="shared" si="126"/>
        <v>0.30397830493363015</v>
      </c>
      <c r="I397" s="11">
        <f t="shared" si="127"/>
        <v>17858.900000000001</v>
      </c>
      <c r="J397" s="11">
        <f t="shared" si="128"/>
        <v>16027.71</v>
      </c>
      <c r="K397" s="12">
        <f>(B397-MAX($B$2:B397))/MAX($B$2:B397)</f>
        <v>-8.2948557861906427E-2</v>
      </c>
      <c r="L397" s="12">
        <f t="shared" si="129"/>
        <v>5.1177908131390115E-3</v>
      </c>
      <c r="M397" s="15">
        <f t="shared" si="123"/>
        <v>39.352289603224754</v>
      </c>
      <c r="N397" s="11">
        <f t="shared" si="139"/>
        <v>16837.5307297578</v>
      </c>
      <c r="O397" s="11">
        <f t="shared" si="140"/>
        <v>16889.559385679964</v>
      </c>
      <c r="P397" s="11">
        <f t="shared" si="136"/>
        <v>-52.028655922164035</v>
      </c>
      <c r="Q397" s="11">
        <f t="shared" si="141"/>
        <v>123.38256215996999</v>
      </c>
      <c r="R397" s="11">
        <f t="shared" si="137"/>
        <v>-175.41121808213404</v>
      </c>
      <c r="S397" s="9">
        <f t="shared" si="138"/>
        <v>60</v>
      </c>
      <c r="T397" s="14">
        <f t="shared" si="145"/>
        <v>2.1825950182527754E-2</v>
      </c>
      <c r="U397" s="14">
        <f t="shared" si="142"/>
        <v>0</v>
      </c>
      <c r="V397" s="14">
        <f t="shared" si="135"/>
        <v>6.0156388932982108E-3</v>
      </c>
      <c r="W397" s="14">
        <f t="shared" si="135"/>
        <v>9.2709910689016371E-3</v>
      </c>
      <c r="X397" s="16">
        <f t="shared" si="125"/>
        <v>0.64886686316384323</v>
      </c>
    </row>
    <row r="398" spans="1:24" x14ac:dyDescent="0.25">
      <c r="A398" s="10">
        <v>45758</v>
      </c>
      <c r="B398" s="11">
        <v>16070.49</v>
      </c>
      <c r="C398" s="12">
        <f t="shared" si="143"/>
        <v>-1.8747637769553793E-2</v>
      </c>
      <c r="D398" s="11">
        <f t="shared" si="130"/>
        <v>17031.640000000003</v>
      </c>
      <c r="E398" s="11">
        <f t="shared" si="134"/>
        <v>16753.557800000002</v>
      </c>
      <c r="F398" s="11">
        <f t="shared" si="132"/>
        <v>15281.674374999993</v>
      </c>
      <c r="G398" s="12">
        <f t="shared" si="144"/>
        <v>-1.8925602519808973E-2</v>
      </c>
      <c r="H398" s="19">
        <f t="shared" si="126"/>
        <v>0.30888339716305702</v>
      </c>
      <c r="I398" s="11">
        <f t="shared" si="127"/>
        <v>17858.900000000001</v>
      </c>
      <c r="J398" s="11">
        <f t="shared" si="128"/>
        <v>16027.71</v>
      </c>
      <c r="K398" s="12">
        <f>(B398-MAX($B$2:B398))/MAX($B$2:B398)</f>
        <v>-0.10014110611515835</v>
      </c>
      <c r="L398" s="12">
        <f t="shared" si="129"/>
        <v>-2.5440266828380853E-2</v>
      </c>
      <c r="M398" s="15">
        <f t="shared" si="123"/>
        <v>33.297103734420261</v>
      </c>
      <c r="N398" s="11">
        <f t="shared" si="139"/>
        <v>16719.524463641217</v>
      </c>
      <c r="O398" s="11">
        <f t="shared" si="140"/>
        <v>16828.887579333299</v>
      </c>
      <c r="P398" s="11">
        <f t="shared" si="136"/>
        <v>-109.36311569208192</v>
      </c>
      <c r="Q398" s="11">
        <f t="shared" si="141"/>
        <v>76.833426589559608</v>
      </c>
      <c r="R398" s="11">
        <f t="shared" si="137"/>
        <v>-186.19654228164154</v>
      </c>
      <c r="S398" s="9">
        <f t="shared" si="138"/>
        <v>60</v>
      </c>
      <c r="T398" s="14">
        <f t="shared" si="145"/>
        <v>0</v>
      </c>
      <c r="U398" s="14">
        <f t="shared" si="142"/>
        <v>1.8747637769553793E-2</v>
      </c>
      <c r="V398" s="14">
        <f t="shared" si="135"/>
        <v>5.2964097248329811E-3</v>
      </c>
      <c r="W398" s="14">
        <f t="shared" si="135"/>
        <v>1.0610108052441194E-2</v>
      </c>
      <c r="X398" s="16">
        <f t="shared" si="125"/>
        <v>0.49918527678088753</v>
      </c>
    </row>
    <row r="399" spans="1:24" x14ac:dyDescent="0.25">
      <c r="A399" s="10">
        <v>45761</v>
      </c>
      <c r="B399" s="11">
        <v>16579.84</v>
      </c>
      <c r="C399" s="12">
        <f t="shared" si="143"/>
        <v>3.1694739861696908E-2</v>
      </c>
      <c r="D399" s="11">
        <f t="shared" si="130"/>
        <v>17036.132000000005</v>
      </c>
      <c r="E399" s="11">
        <f t="shared" si="134"/>
        <v>16758.263800000001</v>
      </c>
      <c r="F399" s="11">
        <f t="shared" si="132"/>
        <v>15298.333812499992</v>
      </c>
      <c r="G399" s="12">
        <f t="shared" si="144"/>
        <v>3.1202828595829697E-2</v>
      </c>
      <c r="H399" s="19">
        <f t="shared" si="126"/>
        <v>0.32639808512456536</v>
      </c>
      <c r="I399" s="11">
        <f t="shared" si="127"/>
        <v>17858.900000000001</v>
      </c>
      <c r="J399" s="11">
        <f t="shared" si="128"/>
        <v>16027.71</v>
      </c>
      <c r="K399" s="12">
        <f>(B399-MAX($B$2:B399))/MAX($B$2:B399)</f>
        <v>-7.1620312561244043E-2</v>
      </c>
      <c r="L399" s="12">
        <f t="shared" si="129"/>
        <v>-2.0380770087338185E-3</v>
      </c>
      <c r="M399" s="15">
        <f t="shared" si="123"/>
        <v>38.026798597321367</v>
      </c>
      <c r="N399" s="11">
        <f t="shared" si="139"/>
        <v>16698.034546157953</v>
      </c>
      <c r="O399" s="11">
        <f t="shared" si="140"/>
        <v>16810.439610493795</v>
      </c>
      <c r="P399" s="11">
        <f t="shared" si="136"/>
        <v>-112.40506433584233</v>
      </c>
      <c r="Q399" s="11">
        <f t="shared" si="141"/>
        <v>38.985728404479225</v>
      </c>
      <c r="R399" s="11">
        <f t="shared" si="137"/>
        <v>-151.39079274032156</v>
      </c>
      <c r="S399" s="9">
        <f t="shared" si="138"/>
        <v>60</v>
      </c>
      <c r="T399" s="14">
        <f t="shared" si="145"/>
        <v>3.1694739861696908E-2</v>
      </c>
      <c r="U399" s="14">
        <f t="shared" si="142"/>
        <v>0</v>
      </c>
      <c r="V399" s="14">
        <f t="shared" si="135"/>
        <v>6.5103695286679187E-3</v>
      </c>
      <c r="W399" s="14">
        <f t="shared" si="135"/>
        <v>1.0610108052441194E-2</v>
      </c>
      <c r="X399" s="16">
        <f t="shared" si="125"/>
        <v>0.61360068120795441</v>
      </c>
    </row>
    <row r="400" spans="1:24" x14ac:dyDescent="0.25">
      <c r="A400" s="10">
        <v>45762</v>
      </c>
      <c r="B400" s="11">
        <v>17056.95</v>
      </c>
      <c r="C400" s="12">
        <f t="shared" si="143"/>
        <v>2.8776514128001196E-2</v>
      </c>
      <c r="D400" s="11">
        <f t="shared" si="130"/>
        <v>17058.2945</v>
      </c>
      <c r="E400" s="11">
        <f t="shared" si="134"/>
        <v>16774.4388</v>
      </c>
      <c r="F400" s="11">
        <f t="shared" si="132"/>
        <v>15317.888999999992</v>
      </c>
      <c r="G400" s="12">
        <f t="shared" si="144"/>
        <v>2.8370245826961002E-2</v>
      </c>
      <c r="H400" s="19">
        <f t="shared" si="126"/>
        <v>0.34063157942724076</v>
      </c>
      <c r="I400" s="11">
        <f t="shared" si="127"/>
        <v>17858.900000000001</v>
      </c>
      <c r="J400" s="11">
        <f t="shared" si="128"/>
        <v>16027.71</v>
      </c>
      <c r="K400" s="12">
        <f>(B400-MAX($B$2:B400))/MAX($B$2:B400)</f>
        <v>-4.4904781369513279E-2</v>
      </c>
      <c r="L400" s="12">
        <f t="shared" si="129"/>
        <v>2.2825806683736793E-2</v>
      </c>
      <c r="M400" s="15">
        <f t="shared" ref="M400:M463" si="146">IF(X400=0,100,100-(100/(1+X400)))</f>
        <v>41.745061303836664</v>
      </c>
      <c r="N400" s="11">
        <f t="shared" si="139"/>
        <v>16753.252308287498</v>
      </c>
      <c r="O400" s="11">
        <f t="shared" si="140"/>
        <v>16828.699639346105</v>
      </c>
      <c r="P400" s="11">
        <f t="shared" si="136"/>
        <v>-75.447331058607233</v>
      </c>
      <c r="Q400" s="11">
        <f t="shared" si="141"/>
        <v>16.099116511861933</v>
      </c>
      <c r="R400" s="11">
        <f t="shared" si="137"/>
        <v>-91.546447570469169</v>
      </c>
      <c r="S400" s="9">
        <f t="shared" si="138"/>
        <v>60</v>
      </c>
      <c r="T400" s="14">
        <f t="shared" si="145"/>
        <v>2.8776514128001196E-2</v>
      </c>
      <c r="U400" s="14">
        <f t="shared" si="142"/>
        <v>0</v>
      </c>
      <c r="V400" s="14">
        <f t="shared" ref="V400:W415" si="147">AVERAGE(T387:T400)</f>
        <v>7.6031255203888714E-3</v>
      </c>
      <c r="W400" s="14">
        <f t="shared" si="147"/>
        <v>1.0610108052441194E-2</v>
      </c>
      <c r="X400" s="16">
        <f t="shared" ref="X400:X463" si="148">IF(W400=0,0,V400/W400)</f>
        <v>0.7165926570031047</v>
      </c>
    </row>
    <row r="401" spans="1:24" x14ac:dyDescent="0.25">
      <c r="A401" s="10">
        <v>45763</v>
      </c>
      <c r="B401" s="11">
        <v>17124.13</v>
      </c>
      <c r="C401" s="12">
        <f t="shared" si="143"/>
        <v>3.9385704947250133E-3</v>
      </c>
      <c r="D401" s="11">
        <f t="shared" si="130"/>
        <v>17080.685999999998</v>
      </c>
      <c r="E401" s="11">
        <f t="shared" si="134"/>
        <v>16792.743999999999</v>
      </c>
      <c r="F401" s="11">
        <f t="shared" si="132"/>
        <v>15337.701874999993</v>
      </c>
      <c r="G401" s="12">
        <f t="shared" si="144"/>
        <v>3.930834631463145E-3</v>
      </c>
      <c r="H401" s="19">
        <f t="shared" si="126"/>
        <v>0.34064828764607541</v>
      </c>
      <c r="I401" s="11">
        <f t="shared" si="127"/>
        <v>17858.900000000001</v>
      </c>
      <c r="J401" s="11">
        <f t="shared" si="128"/>
        <v>16027.71</v>
      </c>
      <c r="K401" s="12">
        <f>(B401-MAX($B$2:B401))/MAX($B$2:B401)</f>
        <v>-4.1143071521762282E-2</v>
      </c>
      <c r="L401" s="12">
        <f t="shared" si="129"/>
        <v>1.6924864883161916E-2</v>
      </c>
      <c r="M401" s="15">
        <f t="shared" si="146"/>
        <v>44.368576916063887</v>
      </c>
      <c r="N401" s="11">
        <f t="shared" si="139"/>
        <v>16810.310414704807</v>
      </c>
      <c r="O401" s="11">
        <f t="shared" si="140"/>
        <v>16850.583369764914</v>
      </c>
      <c r="P401" s="11">
        <f t="shared" si="136"/>
        <v>-40.272955060107051</v>
      </c>
      <c r="Q401" s="11">
        <f t="shared" si="141"/>
        <v>4.8247021974681363</v>
      </c>
      <c r="R401" s="11">
        <f t="shared" si="137"/>
        <v>-45.097657257575186</v>
      </c>
      <c r="S401" s="9">
        <f t="shared" si="138"/>
        <v>60</v>
      </c>
      <c r="T401" s="14">
        <f t="shared" si="145"/>
        <v>3.9385704947250133E-3</v>
      </c>
      <c r="U401" s="14">
        <f t="shared" si="142"/>
        <v>0</v>
      </c>
      <c r="V401" s="14">
        <f t="shared" si="147"/>
        <v>7.8844519842978002E-3</v>
      </c>
      <c r="W401" s="14">
        <f t="shared" si="147"/>
        <v>9.8858993145810037E-3</v>
      </c>
      <c r="X401" s="16">
        <f t="shared" si="148"/>
        <v>0.79754524433288432</v>
      </c>
    </row>
    <row r="402" spans="1:24" x14ac:dyDescent="0.25">
      <c r="A402" s="10">
        <v>45764</v>
      </c>
      <c r="B402" s="11">
        <v>17175.48</v>
      </c>
      <c r="C402" s="12">
        <f t="shared" si="143"/>
        <v>2.9986924883189658E-3</v>
      </c>
      <c r="D402" s="11">
        <f t="shared" si="130"/>
        <v>17097.503499999999</v>
      </c>
      <c r="E402" s="11">
        <f t="shared" si="134"/>
        <v>16811.326999999997</v>
      </c>
      <c r="F402" s="11">
        <f t="shared" si="132"/>
        <v>15357.981187499992</v>
      </c>
      <c r="G402" s="12">
        <f t="shared" si="144"/>
        <v>2.9942053780703916E-3</v>
      </c>
      <c r="H402" s="19">
        <f t="shared" si="126"/>
        <v>0.33928486449297257</v>
      </c>
      <c r="I402" s="11">
        <f t="shared" si="127"/>
        <v>17858.900000000001</v>
      </c>
      <c r="J402" s="11">
        <f t="shared" si="128"/>
        <v>16027.71</v>
      </c>
      <c r="K402" s="12">
        <f>(B402-MAX($B$2:B402))/MAX($B$2:B402)</f>
        <v>-3.8267754452961933E-2</v>
      </c>
      <c r="L402" s="12">
        <f t="shared" si="129"/>
        <v>-1.0196004073748099E-3</v>
      </c>
      <c r="M402" s="15">
        <f t="shared" si="146"/>
        <v>46.170942148487981</v>
      </c>
      <c r="N402" s="11">
        <f t="shared" si="139"/>
        <v>16866.490350904067</v>
      </c>
      <c r="O402" s="11">
        <f t="shared" si="140"/>
        <v>16874.649786819366</v>
      </c>
      <c r="P402" s="11">
        <f t="shared" si="136"/>
        <v>-8.1594359152986726</v>
      </c>
      <c r="Q402" s="11">
        <f t="shared" si="141"/>
        <v>2.2278745749147744</v>
      </c>
      <c r="R402" s="11">
        <f t="shared" si="137"/>
        <v>-10.387310490213448</v>
      </c>
      <c r="S402" s="9">
        <f t="shared" si="138"/>
        <v>60</v>
      </c>
      <c r="T402" s="14">
        <f t="shared" si="145"/>
        <v>2.9986924883189658E-3</v>
      </c>
      <c r="U402" s="14">
        <f t="shared" si="142"/>
        <v>0</v>
      </c>
      <c r="V402" s="14">
        <f t="shared" si="147"/>
        <v>8.098644304892013E-3</v>
      </c>
      <c r="W402" s="14">
        <f t="shared" si="147"/>
        <v>9.4419210984440973E-3</v>
      </c>
      <c r="X402" s="16">
        <f t="shared" si="148"/>
        <v>0.85773268177665263</v>
      </c>
    </row>
    <row r="403" spans="1:24" x14ac:dyDescent="0.25">
      <c r="A403" s="10">
        <v>45765</v>
      </c>
      <c r="B403" s="11">
        <v>17243.689999999999</v>
      </c>
      <c r="C403" s="12">
        <f t="shared" si="143"/>
        <v>3.971359170165778E-3</v>
      </c>
      <c r="D403" s="11">
        <f t="shared" si="130"/>
        <v>17100.037499999999</v>
      </c>
      <c r="E403" s="11">
        <f t="shared" si="134"/>
        <v>16831.847799999996</v>
      </c>
      <c r="F403" s="11">
        <f t="shared" si="132"/>
        <v>15379.014249999997</v>
      </c>
      <c r="G403" s="12">
        <f t="shared" si="144"/>
        <v>3.9634941397003014E-3</v>
      </c>
      <c r="H403" s="19">
        <f t="shared" si="126"/>
        <v>0.33142026801153762</v>
      </c>
      <c r="I403" s="11">
        <f t="shared" si="127"/>
        <v>17858.900000000001</v>
      </c>
      <c r="J403" s="11">
        <f t="shared" si="128"/>
        <v>16027.71</v>
      </c>
      <c r="K403" s="12">
        <f>(B403-MAX($B$2:B403))/MAX($B$2:B403)</f>
        <v>-3.4448370280364564E-2</v>
      </c>
      <c r="L403" s="12">
        <f t="shared" si="129"/>
        <v>-7.0505057833841756E-3</v>
      </c>
      <c r="M403" s="15">
        <f t="shared" si="146"/>
        <v>46.746158818554058</v>
      </c>
      <c r="N403" s="11">
        <f t="shared" si="139"/>
        <v>16924.521066149595</v>
      </c>
      <c r="O403" s="11">
        <f t="shared" si="140"/>
        <v>16901.986098906818</v>
      </c>
      <c r="P403" s="11">
        <f t="shared" si="136"/>
        <v>22.534967242776474</v>
      </c>
      <c r="Q403" s="11">
        <f t="shared" si="141"/>
        <v>6.2892931084871142</v>
      </c>
      <c r="R403" s="11">
        <f t="shared" si="137"/>
        <v>16.245674134289359</v>
      </c>
      <c r="S403" s="9">
        <f t="shared" si="138"/>
        <v>100</v>
      </c>
      <c r="T403" s="14">
        <f t="shared" si="145"/>
        <v>3.971359170165778E-3</v>
      </c>
      <c r="U403" s="14">
        <f t="shared" si="142"/>
        <v>0</v>
      </c>
      <c r="V403" s="14">
        <f t="shared" si="147"/>
        <v>8.2881071755233713E-3</v>
      </c>
      <c r="W403" s="14">
        <f t="shared" si="147"/>
        <v>9.4419210984440973E-3</v>
      </c>
      <c r="X403" s="16">
        <f t="shared" si="148"/>
        <v>0.87779881754033517</v>
      </c>
    </row>
    <row r="404" spans="1:24" x14ac:dyDescent="0.25">
      <c r="A404" s="10">
        <v>45768</v>
      </c>
      <c r="B404" s="11">
        <v>17268.91</v>
      </c>
      <c r="C404" s="12">
        <f t="shared" si="143"/>
        <v>1.4625639871745921E-3</v>
      </c>
      <c r="D404" s="11">
        <f t="shared" si="130"/>
        <v>17095.176499999994</v>
      </c>
      <c r="E404" s="11">
        <f t="shared" si="134"/>
        <v>16850.703599999997</v>
      </c>
      <c r="F404" s="11">
        <f t="shared" si="132"/>
        <v>15400.016562499997</v>
      </c>
      <c r="G404" s="12">
        <f t="shared" si="144"/>
        <v>1.4614954821773741E-3</v>
      </c>
      <c r="H404" s="19">
        <f t="shared" si="126"/>
        <v>0.32942563229959215</v>
      </c>
      <c r="I404" s="11">
        <f t="shared" si="127"/>
        <v>17858.900000000001</v>
      </c>
      <c r="J404" s="11">
        <f t="shared" si="128"/>
        <v>16027.71</v>
      </c>
      <c r="K404" s="12">
        <f>(B404-MAX($B$2:B404))/MAX($B$2:B404)</f>
        <v>-3.3036189238978969E-2</v>
      </c>
      <c r="L404" s="12">
        <f t="shared" si="129"/>
        <v>-2.0003518449158486E-2</v>
      </c>
      <c r="M404" s="15">
        <f t="shared" si="146"/>
        <v>44.992928362977253</v>
      </c>
      <c r="N404" s="11">
        <f t="shared" si="139"/>
        <v>16977.503979049656</v>
      </c>
      <c r="O404" s="11">
        <f t="shared" si="140"/>
        <v>16929.165647135942</v>
      </c>
      <c r="P404" s="11">
        <f t="shared" si="136"/>
        <v>48.338331913713773</v>
      </c>
      <c r="Q404" s="11">
        <f t="shared" si="141"/>
        <v>14.699100869532447</v>
      </c>
      <c r="R404" s="11">
        <f t="shared" si="137"/>
        <v>33.639231044181329</v>
      </c>
      <c r="S404" s="9">
        <f t="shared" si="138"/>
        <v>100</v>
      </c>
      <c r="T404" s="14">
        <f t="shared" si="145"/>
        <v>1.4625639871745921E-3</v>
      </c>
      <c r="U404" s="14">
        <f t="shared" si="142"/>
        <v>0</v>
      </c>
      <c r="V404" s="14">
        <f t="shared" si="147"/>
        <v>7.7230011878191328E-3</v>
      </c>
      <c r="W404" s="14">
        <f t="shared" si="147"/>
        <v>9.4419210984440973E-3</v>
      </c>
      <c r="X404" s="16">
        <f t="shared" si="148"/>
        <v>0.81794807511066581</v>
      </c>
    </row>
    <row r="405" spans="1:24" x14ac:dyDescent="0.25">
      <c r="A405" s="10">
        <v>45769</v>
      </c>
      <c r="B405" s="11">
        <v>17205.43</v>
      </c>
      <c r="C405" s="12">
        <f t="shared" si="143"/>
        <v>-3.6759702841696607E-3</v>
      </c>
      <c r="D405" s="11">
        <f t="shared" si="130"/>
        <v>17074.377999999997</v>
      </c>
      <c r="E405" s="11">
        <f t="shared" si="134"/>
        <v>16868.2968</v>
      </c>
      <c r="F405" s="11">
        <f t="shared" si="132"/>
        <v>15420.456249999999</v>
      </c>
      <c r="G405" s="12">
        <f t="shared" si="144"/>
        <v>-3.6827432662163979E-3</v>
      </c>
      <c r="H405" s="19">
        <f t="shared" ref="H405:H468" si="149">STDEV(G386:G405)*SQRT(252)</f>
        <v>0.32483746144156411</v>
      </c>
      <c r="I405" s="11">
        <f t="shared" ref="I405:I468" si="150">MAX(B386:B405)</f>
        <v>17858.900000000001</v>
      </c>
      <c r="J405" s="11">
        <f t="shared" ref="J405:J468" si="151">MIN(B386:B405)</f>
        <v>16027.71</v>
      </c>
      <c r="K405" s="12">
        <f>(B405-MAX($B$2:B405))/MAX($B$2:B405)</f>
        <v>-3.65907194732039E-2</v>
      </c>
      <c r="L405" s="12">
        <f t="shared" ref="L405:L468" si="152">(B405/B386)-1</f>
        <v>-3.6590719473203914E-2</v>
      </c>
      <c r="M405" s="15">
        <f t="shared" si="146"/>
        <v>45.155790293877018</v>
      </c>
      <c r="N405" s="11">
        <f t="shared" si="139"/>
        <v>17012.569520734323</v>
      </c>
      <c r="O405" s="11">
        <f t="shared" si="140"/>
        <v>16949.629673274019</v>
      </c>
      <c r="P405" s="11">
        <f t="shared" si="136"/>
        <v>62.939847460304009</v>
      </c>
      <c r="Q405" s="11">
        <f t="shared" si="141"/>
        <v>24.347250187686761</v>
      </c>
      <c r="R405" s="11">
        <f t="shared" si="137"/>
        <v>38.592597272617247</v>
      </c>
      <c r="S405" s="9">
        <f t="shared" si="138"/>
        <v>100</v>
      </c>
      <c r="T405" s="14">
        <f t="shared" si="145"/>
        <v>0</v>
      </c>
      <c r="U405" s="14">
        <f t="shared" si="142"/>
        <v>3.6759702841696607E-3</v>
      </c>
      <c r="V405" s="14">
        <f t="shared" si="147"/>
        <v>7.7230011878191328E-3</v>
      </c>
      <c r="W405" s="14">
        <f t="shared" si="147"/>
        <v>9.3800129274411812E-3</v>
      </c>
      <c r="X405" s="16">
        <f t="shared" si="148"/>
        <v>0.82334653987794959</v>
      </c>
    </row>
    <row r="406" spans="1:24" x14ac:dyDescent="0.25">
      <c r="A406" s="10">
        <v>45770</v>
      </c>
      <c r="B406" s="11">
        <v>17223.88</v>
      </c>
      <c r="C406" s="12">
        <f t="shared" si="143"/>
        <v>1.0723358846596032E-3</v>
      </c>
      <c r="D406" s="11">
        <f t="shared" ref="D406:D469" si="153">AVERAGE(B387:B406)</f>
        <v>17042.627</v>
      </c>
      <c r="E406" s="11">
        <f t="shared" si="134"/>
        <v>16885.800000000003</v>
      </c>
      <c r="F406" s="11">
        <f t="shared" si="132"/>
        <v>15441.021374999997</v>
      </c>
      <c r="G406" s="12">
        <f t="shared" si="144"/>
        <v>1.0717613432324159E-3</v>
      </c>
      <c r="H406" s="19">
        <f t="shared" si="149"/>
        <v>0.32041621552009802</v>
      </c>
      <c r="I406" s="11">
        <f t="shared" si="150"/>
        <v>17756.02</v>
      </c>
      <c r="J406" s="11">
        <f t="shared" si="151"/>
        <v>16027.71</v>
      </c>
      <c r="K406" s="12">
        <f>(B406-MAX($B$2:B406))/MAX($B$2:B406)</f>
        <v>-3.5557621130080819E-2</v>
      </c>
      <c r="L406" s="12">
        <f t="shared" si="152"/>
        <v>-2.5679056762057395E-2</v>
      </c>
      <c r="M406" s="15">
        <f t="shared" si="146"/>
        <v>50.337855061620367</v>
      </c>
      <c r="N406" s="11">
        <f t="shared" si="139"/>
        <v>17045.078825236735</v>
      </c>
      <c r="O406" s="11">
        <f t="shared" si="140"/>
        <v>16969.94451229076</v>
      </c>
      <c r="P406" s="11">
        <f t="shared" si="136"/>
        <v>75.134312945974671</v>
      </c>
      <c r="Q406" s="11">
        <f t="shared" si="141"/>
        <v>34.50466273934434</v>
      </c>
      <c r="R406" s="11">
        <f t="shared" si="137"/>
        <v>40.62965020663033</v>
      </c>
      <c r="S406" s="9">
        <f t="shared" si="138"/>
        <v>100</v>
      </c>
      <c r="T406" s="14">
        <f t="shared" si="145"/>
        <v>1.0723358846596032E-3</v>
      </c>
      <c r="U406" s="14">
        <f t="shared" si="142"/>
        <v>0</v>
      </c>
      <c r="V406" s="14">
        <f t="shared" si="147"/>
        <v>7.7995966081519609E-3</v>
      </c>
      <c r="W406" s="14">
        <f t="shared" si="147"/>
        <v>7.69489873457608E-3</v>
      </c>
      <c r="X406" s="16">
        <f t="shared" si="148"/>
        <v>1.0136061405337842</v>
      </c>
    </row>
    <row r="407" spans="1:24" x14ac:dyDescent="0.25">
      <c r="A407" s="10">
        <v>45771</v>
      </c>
      <c r="B407" s="11">
        <v>17299.38</v>
      </c>
      <c r="C407" s="12">
        <f t="shared" si="143"/>
        <v>4.3834490254228697E-3</v>
      </c>
      <c r="D407" s="11">
        <f t="shared" si="153"/>
        <v>17023.7045</v>
      </c>
      <c r="E407" s="11">
        <f t="shared" si="134"/>
        <v>16906.328800000003</v>
      </c>
      <c r="F407" s="11">
        <f t="shared" si="132"/>
        <v>15461.841187499998</v>
      </c>
      <c r="G407" s="12">
        <f t="shared" si="144"/>
        <v>4.3738696962092706E-3</v>
      </c>
      <c r="H407" s="19">
        <f t="shared" si="149"/>
        <v>0.31953343857113481</v>
      </c>
      <c r="I407" s="11">
        <f t="shared" si="150"/>
        <v>17756.02</v>
      </c>
      <c r="J407" s="11">
        <f t="shared" si="151"/>
        <v>16027.71</v>
      </c>
      <c r="K407" s="12">
        <f>(B407-MAX($B$2:B407))/MAX($B$2:B407)</f>
        <v>-3.1330037124346989E-2</v>
      </c>
      <c r="L407" s="12">
        <f t="shared" si="152"/>
        <v>-1.5287497972159558E-2</v>
      </c>
      <c r="M407" s="15">
        <f t="shared" si="146"/>
        <v>51.671645457584162</v>
      </c>
      <c r="N407" s="11">
        <f t="shared" si="139"/>
        <v>17084.202082892622</v>
      </c>
      <c r="O407" s="11">
        <f t="shared" si="140"/>
        <v>16994.347141009963</v>
      </c>
      <c r="P407" s="11">
        <f t="shared" si="136"/>
        <v>89.85494188265875</v>
      </c>
      <c r="Q407" s="11">
        <f t="shared" si="141"/>
        <v>45.574718568007228</v>
      </c>
      <c r="R407" s="11">
        <f t="shared" si="137"/>
        <v>44.280223314651522</v>
      </c>
      <c r="S407" s="9">
        <f t="shared" si="138"/>
        <v>100</v>
      </c>
      <c r="T407" s="14">
        <f t="shared" si="145"/>
        <v>4.3834490254228697E-3</v>
      </c>
      <c r="U407" s="14">
        <f t="shared" si="142"/>
        <v>0</v>
      </c>
      <c r="V407" s="14">
        <f t="shared" si="147"/>
        <v>8.1127001099678808E-3</v>
      </c>
      <c r="W407" s="14">
        <f t="shared" si="147"/>
        <v>7.5877871459051182E-3</v>
      </c>
      <c r="X407" s="16">
        <f t="shared" si="148"/>
        <v>1.0691786622330386</v>
      </c>
    </row>
    <row r="408" spans="1:24" x14ac:dyDescent="0.25">
      <c r="A408" s="10">
        <v>45772</v>
      </c>
      <c r="B408" s="11">
        <v>17319.689999999999</v>
      </c>
      <c r="C408" s="12">
        <f t="shared" si="143"/>
        <v>1.1740305143881358E-3</v>
      </c>
      <c r="D408" s="11">
        <f t="shared" si="153"/>
        <v>17011.291499999999</v>
      </c>
      <c r="E408" s="11">
        <f t="shared" si="134"/>
        <v>16924.86</v>
      </c>
      <c r="F408" s="11">
        <f t="shared" si="132"/>
        <v>15483.241249999997</v>
      </c>
      <c r="G408" s="12">
        <f t="shared" si="144"/>
        <v>1.1733418794966633E-3</v>
      </c>
      <c r="H408" s="19">
        <f t="shared" si="149"/>
        <v>0.31903055743400621</v>
      </c>
      <c r="I408" s="11">
        <f t="shared" si="150"/>
        <v>17756.02</v>
      </c>
      <c r="J408" s="11">
        <f t="shared" si="151"/>
        <v>16027.71</v>
      </c>
      <c r="K408" s="12">
        <f>(B408-MAX($B$2:B408))/MAX($B$2:B408)</f>
        <v>-3.0192789029559644E-2</v>
      </c>
      <c r="L408" s="12">
        <f t="shared" si="152"/>
        <v>-1.5429944199118695E-2</v>
      </c>
      <c r="M408" s="15">
        <f t="shared" si="146"/>
        <v>69.730507587178778</v>
      </c>
      <c r="N408" s="11">
        <f t="shared" si="139"/>
        <v>17120.430993216833</v>
      </c>
      <c r="O408" s="11">
        <f t="shared" si="140"/>
        <v>17018.44661204626</v>
      </c>
      <c r="P408" s="11">
        <f t="shared" si="136"/>
        <v>101.98438117057231</v>
      </c>
      <c r="Q408" s="11">
        <f t="shared" si="141"/>
        <v>56.856651088520252</v>
      </c>
      <c r="R408" s="11">
        <f t="shared" si="137"/>
        <v>45.127730082052054</v>
      </c>
      <c r="S408" s="9">
        <f t="shared" si="138"/>
        <v>100</v>
      </c>
      <c r="T408" s="14">
        <f t="shared" si="145"/>
        <v>1.1740305143881358E-3</v>
      </c>
      <c r="U408" s="14">
        <f t="shared" si="142"/>
        <v>0</v>
      </c>
      <c r="V408" s="14">
        <f t="shared" si="147"/>
        <v>8.1965594324241754E-3</v>
      </c>
      <c r="W408" s="14">
        <f t="shared" si="147"/>
        <v>3.558065216158281E-3</v>
      </c>
      <c r="X408" s="16">
        <f t="shared" si="148"/>
        <v>2.303656322880494</v>
      </c>
    </row>
    <row r="409" spans="1:24" x14ac:dyDescent="0.25">
      <c r="A409" s="10">
        <v>45775</v>
      </c>
      <c r="B409" s="11">
        <v>17443.27</v>
      </c>
      <c r="C409" s="12">
        <f t="shared" si="143"/>
        <v>7.135231635208461E-3</v>
      </c>
      <c r="D409" s="11">
        <f t="shared" si="153"/>
        <v>17003.899000000001</v>
      </c>
      <c r="E409" s="11">
        <f t="shared" si="134"/>
        <v>16945.774600000001</v>
      </c>
      <c r="F409" s="11">
        <f t="shared" si="132"/>
        <v>15505.713062499995</v>
      </c>
      <c r="G409" s="12">
        <f t="shared" si="144"/>
        <v>7.1098963141664369E-3</v>
      </c>
      <c r="H409" s="19">
        <f t="shared" si="149"/>
        <v>0.32017963890905948</v>
      </c>
      <c r="I409" s="11">
        <f t="shared" si="150"/>
        <v>17756.02</v>
      </c>
      <c r="J409" s="11">
        <f t="shared" si="151"/>
        <v>16027.71</v>
      </c>
      <c r="K409" s="12">
        <f>(B409-MAX($B$2:B409))/MAX($B$2:B409)</f>
        <v>-2.3272989937790176E-2</v>
      </c>
      <c r="L409" s="12">
        <f t="shared" si="152"/>
        <v>-1.761374452157638E-2</v>
      </c>
      <c r="M409" s="15">
        <f t="shared" si="146"/>
        <v>68.52191984157983</v>
      </c>
      <c r="N409" s="11">
        <f t="shared" si="139"/>
        <v>17170.098532721935</v>
      </c>
      <c r="O409" s="11">
        <f t="shared" si="140"/>
        <v>17049.915011153946</v>
      </c>
      <c r="P409" s="11">
        <f t="shared" si="136"/>
        <v>120.18352156798937</v>
      </c>
      <c r="Q409" s="11">
        <f t="shared" si="141"/>
        <v>69.522025184414076</v>
      </c>
      <c r="R409" s="11">
        <f t="shared" si="137"/>
        <v>50.661496383575297</v>
      </c>
      <c r="S409" s="9">
        <f t="shared" si="138"/>
        <v>100</v>
      </c>
      <c r="T409" s="14">
        <f t="shared" si="145"/>
        <v>7.135231635208461E-3</v>
      </c>
      <c r="U409" s="14">
        <f t="shared" si="142"/>
        <v>0</v>
      </c>
      <c r="V409" s="14">
        <f t="shared" si="147"/>
        <v>7.7452455265920915E-3</v>
      </c>
      <c r="W409" s="14">
        <f t="shared" si="147"/>
        <v>3.558065216158281E-3</v>
      </c>
      <c r="X409" s="16">
        <f t="shared" si="148"/>
        <v>2.1768138176384522</v>
      </c>
    </row>
    <row r="410" spans="1:24" x14ac:dyDescent="0.25">
      <c r="A410" s="10">
        <v>45776</v>
      </c>
      <c r="B410" s="11">
        <v>17371.810000000001</v>
      </c>
      <c r="C410" s="12">
        <f t="shared" si="143"/>
        <v>-4.0967089312955451E-3</v>
      </c>
      <c r="D410" s="11">
        <f t="shared" si="153"/>
        <v>16984.6885</v>
      </c>
      <c r="E410" s="11">
        <f t="shared" si="134"/>
        <v>16964.166200000003</v>
      </c>
      <c r="F410" s="11">
        <f t="shared" si="132"/>
        <v>15527.371749999997</v>
      </c>
      <c r="G410" s="12">
        <f t="shared" si="144"/>
        <v>-4.1051234323666698E-3</v>
      </c>
      <c r="H410" s="19">
        <f t="shared" si="149"/>
        <v>0.31829822680370695</v>
      </c>
      <c r="I410" s="11">
        <f t="shared" si="150"/>
        <v>17675.36</v>
      </c>
      <c r="J410" s="11">
        <f t="shared" si="151"/>
        <v>16027.71</v>
      </c>
      <c r="K410" s="12">
        <f>(B410-MAX($B$2:B410))/MAX($B$2:B410)</f>
        <v>-2.7274356203349597E-2</v>
      </c>
      <c r="L410" s="12">
        <f t="shared" si="152"/>
        <v>-1.7173624752197414E-2</v>
      </c>
      <c r="M410" s="15">
        <f t="shared" si="146"/>
        <v>80.348588958256855</v>
      </c>
      <c r="N410" s="11">
        <f t="shared" si="139"/>
        <v>17201.13106614933</v>
      </c>
      <c r="O410" s="11">
        <f t="shared" si="140"/>
        <v>17073.759084401801</v>
      </c>
      <c r="P410" s="11">
        <f t="shared" si="136"/>
        <v>127.37198174752848</v>
      </c>
      <c r="Q410" s="11">
        <f t="shared" si="141"/>
        <v>81.092016497036951</v>
      </c>
      <c r="R410" s="11">
        <f t="shared" si="137"/>
        <v>46.279965250491529</v>
      </c>
      <c r="S410" s="9">
        <f t="shared" si="138"/>
        <v>100</v>
      </c>
      <c r="T410" s="14">
        <f t="shared" si="145"/>
        <v>0</v>
      </c>
      <c r="U410" s="14">
        <f t="shared" si="142"/>
        <v>4.0967089312955451E-3</v>
      </c>
      <c r="V410" s="14">
        <f t="shared" si="147"/>
        <v>7.7452455265920915E-3</v>
      </c>
      <c r="W410" s="14">
        <f t="shared" si="147"/>
        <v>1.8943083560727856E-3</v>
      </c>
      <c r="X410" s="16">
        <f t="shared" si="148"/>
        <v>4.088693111531887</v>
      </c>
    </row>
    <row r="411" spans="1:24" x14ac:dyDescent="0.25">
      <c r="A411" s="10">
        <v>45777</v>
      </c>
      <c r="B411" s="11">
        <v>17390.38</v>
      </c>
      <c r="C411" s="12">
        <f t="shared" si="143"/>
        <v>1.0689732388278195E-3</v>
      </c>
      <c r="D411" s="11">
        <f t="shared" si="153"/>
        <v>16970.4395</v>
      </c>
      <c r="E411" s="11">
        <f t="shared" si="134"/>
        <v>16979.081400000003</v>
      </c>
      <c r="F411" s="11">
        <f t="shared" si="132"/>
        <v>15549.115687499992</v>
      </c>
      <c r="G411" s="12">
        <f t="shared" si="144"/>
        <v>1.0684022937822459E-3</v>
      </c>
      <c r="H411" s="19">
        <f t="shared" si="149"/>
        <v>0.31811334414395015</v>
      </c>
      <c r="I411" s="11">
        <f t="shared" si="150"/>
        <v>17443.27</v>
      </c>
      <c r="J411" s="11">
        <f t="shared" si="151"/>
        <v>16027.71</v>
      </c>
      <c r="K411" s="12">
        <f>(B411-MAX($B$2:B411))/MAX($B$2:B411)</f>
        <v>-2.6234538521409514E-2</v>
      </c>
      <c r="L411" s="12">
        <f t="shared" si="152"/>
        <v>7.6490421748984794E-3</v>
      </c>
      <c r="M411" s="15">
        <f t="shared" si="146"/>
        <v>76.776650282375925</v>
      </c>
      <c r="N411" s="11">
        <f t="shared" si="139"/>
        <v>17230.246286741742</v>
      </c>
      <c r="O411" s="11">
        <f t="shared" si="140"/>
        <v>17097.212485557222</v>
      </c>
      <c r="P411" s="11">
        <f t="shared" si="136"/>
        <v>133.03380118451969</v>
      </c>
      <c r="Q411" s="11">
        <f t="shared" si="141"/>
        <v>91.480373434533504</v>
      </c>
      <c r="R411" s="11">
        <f t="shared" si="137"/>
        <v>41.553427749986184</v>
      </c>
      <c r="S411" s="9">
        <f t="shared" si="138"/>
        <v>60</v>
      </c>
      <c r="T411" s="14">
        <f t="shared" si="145"/>
        <v>1.0689732388278195E-3</v>
      </c>
      <c r="U411" s="14">
        <f t="shared" si="142"/>
        <v>0</v>
      </c>
      <c r="V411" s="14">
        <f t="shared" si="147"/>
        <v>6.26260431632781E-3</v>
      </c>
      <c r="W411" s="14">
        <f t="shared" si="147"/>
        <v>1.8943083560727856E-3</v>
      </c>
      <c r="X411" s="16">
        <f t="shared" si="148"/>
        <v>3.3060110283793627</v>
      </c>
    </row>
    <row r="412" spans="1:24" x14ac:dyDescent="0.25">
      <c r="A412" s="10">
        <v>45779</v>
      </c>
      <c r="B412" s="11">
        <v>17508.82</v>
      </c>
      <c r="C412" s="12">
        <f t="shared" si="143"/>
        <v>6.810661986684563E-3</v>
      </c>
      <c r="D412" s="11">
        <f t="shared" si="153"/>
        <v>16982.962000000003</v>
      </c>
      <c r="E412" s="11">
        <f t="shared" si="134"/>
        <v>16995.123800000001</v>
      </c>
      <c r="F412" s="11">
        <f t="shared" si="132"/>
        <v>15571.160312499993</v>
      </c>
      <c r="G412" s="12">
        <f t="shared" si="144"/>
        <v>6.787574197805909E-3</v>
      </c>
      <c r="H412" s="19">
        <f t="shared" si="149"/>
        <v>0.30705848968931126</v>
      </c>
      <c r="I412" s="11">
        <f t="shared" si="150"/>
        <v>17508.82</v>
      </c>
      <c r="J412" s="11">
        <f t="shared" si="151"/>
        <v>16027.71</v>
      </c>
      <c r="K412" s="12">
        <f>(B412-MAX($B$2:B412))/MAX($B$2:B412)</f>
        <v>-1.9602551108970974E-2</v>
      </c>
      <c r="L412" s="12">
        <f t="shared" si="152"/>
        <v>1.603540753541699E-2</v>
      </c>
      <c r="M412" s="15">
        <f t="shared" si="146"/>
        <v>92.399086355034797</v>
      </c>
      <c r="N412" s="11">
        <f t="shared" si="139"/>
        <v>17273.103781089165</v>
      </c>
      <c r="O412" s="11">
        <f t="shared" si="140"/>
        <v>17127.701931071504</v>
      </c>
      <c r="P412" s="11">
        <f t="shared" si="136"/>
        <v>145.40185001766076</v>
      </c>
      <c r="Q412" s="11">
        <f t="shared" si="141"/>
        <v>102.26466875115896</v>
      </c>
      <c r="R412" s="11">
        <f t="shared" si="137"/>
        <v>43.137181266501798</v>
      </c>
      <c r="S412" s="9">
        <f t="shared" si="138"/>
        <v>60</v>
      </c>
      <c r="T412" s="14">
        <f t="shared" si="145"/>
        <v>6.810661986684563E-3</v>
      </c>
      <c r="U412" s="14">
        <f t="shared" si="142"/>
        <v>0</v>
      </c>
      <c r="V412" s="14">
        <f t="shared" si="147"/>
        <v>6.7490801725195648E-3</v>
      </c>
      <c r="W412" s="14">
        <f t="shared" si="147"/>
        <v>5.55191372533229E-4</v>
      </c>
      <c r="X412" s="16">
        <f t="shared" si="148"/>
        <v>12.156313131677173</v>
      </c>
    </row>
    <row r="413" spans="1:24" x14ac:dyDescent="0.25">
      <c r="A413" s="10">
        <v>45782</v>
      </c>
      <c r="B413" s="11">
        <v>17437.22</v>
      </c>
      <c r="C413" s="12">
        <f t="shared" si="143"/>
        <v>-4.0893675301932886E-3</v>
      </c>
      <c r="D413" s="11">
        <f t="shared" si="153"/>
        <v>16993.198499999999</v>
      </c>
      <c r="E413" s="11">
        <f t="shared" si="134"/>
        <v>17006.476000000002</v>
      </c>
      <c r="F413" s="11">
        <f t="shared" si="132"/>
        <v>15592.955062499994</v>
      </c>
      <c r="G413" s="12">
        <f t="shared" si="144"/>
        <v>-4.097751859133315E-3</v>
      </c>
      <c r="H413" s="19">
        <f t="shared" si="149"/>
        <v>0.30744578399585754</v>
      </c>
      <c r="I413" s="11">
        <f t="shared" si="150"/>
        <v>17508.82</v>
      </c>
      <c r="J413" s="11">
        <f t="shared" si="151"/>
        <v>16027.71</v>
      </c>
      <c r="K413" s="12">
        <f>(B413-MAX($B$2:B413))/MAX($B$2:B413)</f>
        <v>-2.3611756603150263E-2</v>
      </c>
      <c r="L413" s="12">
        <f t="shared" si="152"/>
        <v>7.2379968389267191E-2</v>
      </c>
      <c r="M413" s="15">
        <f t="shared" si="146"/>
        <v>84.110726105597635</v>
      </c>
      <c r="N413" s="11">
        <f t="shared" si="139"/>
        <v>17298.352430152368</v>
      </c>
      <c r="O413" s="11">
        <f t="shared" si="140"/>
        <v>17150.629195436577</v>
      </c>
      <c r="P413" s="11">
        <f t="shared" si="136"/>
        <v>147.72323471579148</v>
      </c>
      <c r="Q413" s="11">
        <f t="shared" si="141"/>
        <v>111.35638194408547</v>
      </c>
      <c r="R413" s="11">
        <f t="shared" si="137"/>
        <v>36.366852771706007</v>
      </c>
      <c r="S413" s="9">
        <f t="shared" si="138"/>
        <v>60</v>
      </c>
      <c r="T413" s="14">
        <f t="shared" si="145"/>
        <v>0</v>
      </c>
      <c r="U413" s="14">
        <f t="shared" si="142"/>
        <v>4.0893675301932886E-3</v>
      </c>
      <c r="V413" s="14">
        <f t="shared" si="147"/>
        <v>4.485170182398357E-3</v>
      </c>
      <c r="W413" s="14">
        <f t="shared" si="147"/>
        <v>8.4728905326132101E-4</v>
      </c>
      <c r="X413" s="16">
        <f t="shared" si="148"/>
        <v>5.2935537938727979</v>
      </c>
    </row>
    <row r="414" spans="1:24" x14ac:dyDescent="0.25">
      <c r="A414" s="10">
        <v>45783</v>
      </c>
      <c r="B414" s="11">
        <v>17566.599999999999</v>
      </c>
      <c r="C414" s="12">
        <f t="shared" si="143"/>
        <v>7.4197607187382886E-3</v>
      </c>
      <c r="D414" s="11">
        <f t="shared" si="153"/>
        <v>17058.513500000001</v>
      </c>
      <c r="E414" s="11">
        <f t="shared" si="134"/>
        <v>17018.755000000001</v>
      </c>
      <c r="F414" s="11">
        <f t="shared" si="132"/>
        <v>15615.707624999995</v>
      </c>
      <c r="G414" s="12">
        <f t="shared" si="144"/>
        <v>7.39236970059832E-3</v>
      </c>
      <c r="H414" s="19">
        <f t="shared" si="149"/>
        <v>0.21599861999486261</v>
      </c>
      <c r="I414" s="11">
        <f t="shared" si="150"/>
        <v>17566.599999999999</v>
      </c>
      <c r="J414" s="11">
        <f t="shared" si="151"/>
        <v>16027.71</v>
      </c>
      <c r="K414" s="12">
        <f>(B414-MAX($B$2:B414))/MAX($B$2:B414)</f>
        <v>-1.6367189468556455E-2</v>
      </c>
      <c r="L414" s="12">
        <f t="shared" si="152"/>
        <v>6.5995269147633318E-2</v>
      </c>
      <c r="M414" s="15">
        <f t="shared" si="146"/>
        <v>77.743782355263605</v>
      </c>
      <c r="N414" s="11">
        <f t="shared" si="139"/>
        <v>17339.621287052003</v>
      </c>
      <c r="O414" s="11">
        <f t="shared" si="140"/>
        <v>17181.441847626458</v>
      </c>
      <c r="P414" s="11">
        <f t="shared" si="136"/>
        <v>158.17943942554484</v>
      </c>
      <c r="Q414" s="11">
        <f t="shared" si="141"/>
        <v>120.72099344037736</v>
      </c>
      <c r="R414" s="11">
        <f t="shared" si="137"/>
        <v>37.458445985167486</v>
      </c>
      <c r="S414" s="9">
        <f t="shared" si="138"/>
        <v>100</v>
      </c>
      <c r="T414" s="14">
        <f t="shared" si="145"/>
        <v>7.4197607187382886E-3</v>
      </c>
      <c r="U414" s="14">
        <f t="shared" si="142"/>
        <v>0</v>
      </c>
      <c r="V414" s="14">
        <f t="shared" si="147"/>
        <v>2.9596877960224349E-3</v>
      </c>
      <c r="W414" s="14">
        <f t="shared" si="147"/>
        <v>8.4728905326132101E-4</v>
      </c>
      <c r="X414" s="16">
        <f t="shared" si="148"/>
        <v>3.4931264420686521</v>
      </c>
    </row>
    <row r="415" spans="1:24" x14ac:dyDescent="0.25">
      <c r="A415" s="10">
        <v>45784</v>
      </c>
      <c r="B415" s="11">
        <v>17611.849999999999</v>
      </c>
      <c r="C415" s="12">
        <f t="shared" si="143"/>
        <v>2.5759111040268845E-3</v>
      </c>
      <c r="D415" s="11">
        <f t="shared" si="153"/>
        <v>17115.152999999998</v>
      </c>
      <c r="E415" s="11">
        <f t="shared" si="134"/>
        <v>17034.131399999998</v>
      </c>
      <c r="F415" s="11">
        <f t="shared" si="132"/>
        <v>15639.002749999996</v>
      </c>
      <c r="G415" s="12">
        <f t="shared" si="144"/>
        <v>2.5725991313645174E-3</v>
      </c>
      <c r="H415" s="19">
        <f t="shared" si="149"/>
        <v>0.21308029305074036</v>
      </c>
      <c r="I415" s="11">
        <f t="shared" si="150"/>
        <v>17611.849999999999</v>
      </c>
      <c r="J415" s="11">
        <f t="shared" si="151"/>
        <v>16027.71</v>
      </c>
      <c r="K415" s="12">
        <f>(B415-MAX($B$2:B415))/MAX($B$2:B415)</f>
        <v>-1.3833438789623263E-2</v>
      </c>
      <c r="L415" s="12">
        <f t="shared" si="152"/>
        <v>9.8837575673630162E-2</v>
      </c>
      <c r="M415" s="15">
        <f t="shared" si="146"/>
        <v>77.159828675852623</v>
      </c>
      <c r="N415" s="11">
        <f t="shared" si="139"/>
        <v>17381.502627505542</v>
      </c>
      <c r="O415" s="11">
        <f t="shared" si="140"/>
        <v>17213.32393298746</v>
      </c>
      <c r="P415" s="11">
        <f t="shared" si="136"/>
        <v>168.17869451808292</v>
      </c>
      <c r="Q415" s="11">
        <f t="shared" si="141"/>
        <v>130.21253365591849</v>
      </c>
      <c r="R415" s="11">
        <f t="shared" si="137"/>
        <v>37.966160862164429</v>
      </c>
      <c r="S415" s="9">
        <f t="shared" si="138"/>
        <v>100</v>
      </c>
      <c r="T415" s="14">
        <f t="shared" si="145"/>
        <v>2.5759111040268845E-3</v>
      </c>
      <c r="U415" s="14">
        <f t="shared" si="142"/>
        <v>0</v>
      </c>
      <c r="V415" s="14">
        <f t="shared" si="147"/>
        <v>2.8623549824011402E-3</v>
      </c>
      <c r="W415" s="14">
        <f t="shared" si="147"/>
        <v>8.4728905326132101E-4</v>
      </c>
      <c r="X415" s="16">
        <f t="shared" si="148"/>
        <v>3.3782508712741888</v>
      </c>
    </row>
    <row r="416" spans="1:24" x14ac:dyDescent="0.25">
      <c r="A416" s="10">
        <v>45785</v>
      </c>
      <c r="B416" s="11">
        <v>17595.84</v>
      </c>
      <c r="C416" s="12">
        <f t="shared" si="143"/>
        <v>-9.0904703367322703E-4</v>
      </c>
      <c r="D416" s="11">
        <f t="shared" si="153"/>
        <v>17193.559499999999</v>
      </c>
      <c r="E416" s="11">
        <f t="shared" si="134"/>
        <v>17047.784399999997</v>
      </c>
      <c r="F416" s="11">
        <f t="shared" si="132"/>
        <v>15661.483499999997</v>
      </c>
      <c r="G416" s="12">
        <f t="shared" si="144"/>
        <v>-9.0946046750079476E-4</v>
      </c>
      <c r="H416" s="19">
        <f t="shared" si="149"/>
        <v>0.17982742043265459</v>
      </c>
      <c r="I416" s="11">
        <f t="shared" si="150"/>
        <v>17611.849999999999</v>
      </c>
      <c r="J416" s="11">
        <f t="shared" si="151"/>
        <v>16070.49</v>
      </c>
      <c r="K416" s="12">
        <f>(B416-MAX($B$2:B416))/MAX($B$2:B416)</f>
        <v>-1.4729910576799315E-2</v>
      </c>
      <c r="L416" s="12">
        <f t="shared" si="152"/>
        <v>7.4389117284474393E-2</v>
      </c>
      <c r="M416" s="15">
        <f t="shared" si="146"/>
        <v>74.378576161270402</v>
      </c>
      <c r="N416" s="11">
        <f t="shared" si="139"/>
        <v>17414.477607889305</v>
      </c>
      <c r="O416" s="11">
        <f t="shared" si="140"/>
        <v>17241.658456469871</v>
      </c>
      <c r="P416" s="11">
        <f t="shared" si="136"/>
        <v>172.81915141943318</v>
      </c>
      <c r="Q416" s="11">
        <f t="shared" si="141"/>
        <v>138.73385720862143</v>
      </c>
      <c r="R416" s="11">
        <f t="shared" si="137"/>
        <v>34.085294210811753</v>
      </c>
      <c r="S416" s="9">
        <f t="shared" si="138"/>
        <v>100</v>
      </c>
      <c r="T416" s="14">
        <f t="shared" si="145"/>
        <v>0</v>
      </c>
      <c r="U416" s="14">
        <f t="shared" si="142"/>
        <v>9.0904703367322703E-4</v>
      </c>
      <c r="V416" s="14">
        <f t="shared" ref="V416:W431" si="154">AVERAGE(T403:T416)</f>
        <v>2.6481626618069282E-3</v>
      </c>
      <c r="W416" s="14">
        <f t="shared" si="154"/>
        <v>9.1222098423798012E-4</v>
      </c>
      <c r="X416" s="16">
        <f t="shared" si="148"/>
        <v>2.9029837150907678</v>
      </c>
    </row>
    <row r="417" spans="1:24" x14ac:dyDescent="0.25">
      <c r="A417" s="10">
        <v>45786</v>
      </c>
      <c r="B417" s="11">
        <v>17765.3</v>
      </c>
      <c r="C417" s="12">
        <f t="shared" si="143"/>
        <v>9.6306854347389947E-3</v>
      </c>
      <c r="D417" s="11">
        <f t="shared" si="153"/>
        <v>17262.947999999997</v>
      </c>
      <c r="E417" s="11">
        <f t="shared" si="134"/>
        <v>17064.337</v>
      </c>
      <c r="F417" s="11">
        <f t="shared" ref="F417:F480" si="155">AVERAGE(B258:B417)</f>
        <v>15684.466374999995</v>
      </c>
      <c r="G417" s="12">
        <f t="shared" si="144"/>
        <v>9.5846059985786707E-3</v>
      </c>
      <c r="H417" s="19">
        <f t="shared" si="149"/>
        <v>0.1696000049751907</v>
      </c>
      <c r="I417" s="11">
        <f t="shared" si="150"/>
        <v>17765.3</v>
      </c>
      <c r="J417" s="11">
        <f t="shared" si="151"/>
        <v>16070.49</v>
      </c>
      <c r="K417" s="12">
        <f>(B417-MAX($B$2:B417))/MAX($B$2:B417)</f>
        <v>-5.2410842773072345E-3</v>
      </c>
      <c r="L417" s="12">
        <f t="shared" si="152"/>
        <v>0.10546100336704112</v>
      </c>
      <c r="M417" s="15">
        <f t="shared" si="146"/>
        <v>76.990967614529353</v>
      </c>
      <c r="N417" s="11">
        <f t="shared" si="139"/>
        <v>17468.450283598642</v>
      </c>
      <c r="O417" s="11">
        <f t="shared" si="140"/>
        <v>17280.446718953586</v>
      </c>
      <c r="P417" s="11">
        <f t="shared" si="136"/>
        <v>188.00356464505603</v>
      </c>
      <c r="Q417" s="11">
        <f t="shared" si="141"/>
        <v>148.58779869590836</v>
      </c>
      <c r="R417" s="11">
        <f t="shared" si="137"/>
        <v>39.415765949147669</v>
      </c>
      <c r="S417" s="9">
        <f t="shared" si="138"/>
        <v>100</v>
      </c>
      <c r="T417" s="14">
        <f t="shared" si="145"/>
        <v>9.6306854347389947E-3</v>
      </c>
      <c r="U417" s="14">
        <f t="shared" si="142"/>
        <v>0</v>
      </c>
      <c r="V417" s="14">
        <f t="shared" si="154"/>
        <v>3.0524002521335864E-3</v>
      </c>
      <c r="W417" s="14">
        <f t="shared" si="154"/>
        <v>9.1222098423798012E-4</v>
      </c>
      <c r="X417" s="16">
        <f t="shared" si="148"/>
        <v>3.3461193119596957</v>
      </c>
    </row>
    <row r="418" spans="1:24" x14ac:dyDescent="0.25">
      <c r="A418" s="10">
        <v>45789</v>
      </c>
      <c r="B418" s="11">
        <v>18033.080000000002</v>
      </c>
      <c r="C418" s="12">
        <f t="shared" si="143"/>
        <v>1.5073204505412274E-2</v>
      </c>
      <c r="D418" s="11">
        <f t="shared" si="153"/>
        <v>17361.077499999999</v>
      </c>
      <c r="E418" s="11">
        <f t="shared" si="134"/>
        <v>17083.265599999999</v>
      </c>
      <c r="F418" s="11">
        <f t="shared" si="155"/>
        <v>15708.521062499995</v>
      </c>
      <c r="G418" s="12">
        <f t="shared" si="144"/>
        <v>1.4960732558467079E-2</v>
      </c>
      <c r="H418" s="19">
        <f t="shared" si="149"/>
        <v>0.1502168310148401</v>
      </c>
      <c r="I418" s="11">
        <f t="shared" si="150"/>
        <v>18033.080000000002</v>
      </c>
      <c r="J418" s="11">
        <f t="shared" si="151"/>
        <v>16579.84</v>
      </c>
      <c r="K418" s="12">
        <f>(B418-MAX($B$2:B418))/MAX($B$2:B418)</f>
        <v>0</v>
      </c>
      <c r="L418" s="12">
        <f t="shared" si="152"/>
        <v>8.7651026789160813E-2</v>
      </c>
      <c r="M418" s="15">
        <f t="shared" si="146"/>
        <v>81.522055478890479</v>
      </c>
      <c r="N418" s="11">
        <f t="shared" si="139"/>
        <v>17555.316393814235</v>
      </c>
      <c r="O418" s="11">
        <f t="shared" si="140"/>
        <v>17336.197332364431</v>
      </c>
      <c r="P418" s="11">
        <f t="shared" si="136"/>
        <v>219.11906144980458</v>
      </c>
      <c r="Q418" s="11">
        <f t="shared" si="141"/>
        <v>162.69405124668762</v>
      </c>
      <c r="R418" s="11">
        <f t="shared" si="137"/>
        <v>56.425010203116955</v>
      </c>
      <c r="S418" s="9">
        <f t="shared" si="138"/>
        <v>100</v>
      </c>
      <c r="T418" s="14">
        <f t="shared" si="145"/>
        <v>1.5073204505412274E-2</v>
      </c>
      <c r="U418" s="14">
        <f t="shared" si="142"/>
        <v>0</v>
      </c>
      <c r="V418" s="14">
        <f t="shared" si="154"/>
        <v>4.0245888605791357E-3</v>
      </c>
      <c r="W418" s="14">
        <f t="shared" si="154"/>
        <v>9.1222098423798012E-4</v>
      </c>
      <c r="X418" s="16">
        <f t="shared" si="148"/>
        <v>4.4118573570647017</v>
      </c>
    </row>
    <row r="419" spans="1:24" x14ac:dyDescent="0.25">
      <c r="A419" s="10">
        <v>45790</v>
      </c>
      <c r="B419" s="11">
        <v>18066.759999999998</v>
      </c>
      <c r="C419" s="12">
        <f t="shared" si="143"/>
        <v>1.8676787326401545E-3</v>
      </c>
      <c r="D419" s="11">
        <f t="shared" si="153"/>
        <v>17435.423500000001</v>
      </c>
      <c r="E419" s="11">
        <f t="shared" si="134"/>
        <v>17106.055199999999</v>
      </c>
      <c r="F419" s="11">
        <f t="shared" si="155"/>
        <v>15732.395437499994</v>
      </c>
      <c r="G419" s="12">
        <f t="shared" si="144"/>
        <v>1.8659367893057532E-3</v>
      </c>
      <c r="H419" s="19">
        <f t="shared" si="149"/>
        <v>0.11666459743460239</v>
      </c>
      <c r="I419" s="11">
        <f t="shared" si="150"/>
        <v>18066.759999999998</v>
      </c>
      <c r="J419" s="11">
        <f t="shared" si="151"/>
        <v>17056.95</v>
      </c>
      <c r="K419" s="12">
        <f>(B419-MAX($B$2:B419))/MAX($B$2:B419)</f>
        <v>0</v>
      </c>
      <c r="L419" s="12">
        <f t="shared" si="152"/>
        <v>5.9202260662076123E-2</v>
      </c>
      <c r="M419" s="15">
        <f t="shared" si="146"/>
        <v>86.487115393715769</v>
      </c>
      <c r="N419" s="11">
        <f t="shared" si="139"/>
        <v>17634.000025535122</v>
      </c>
      <c r="O419" s="11">
        <f t="shared" si="140"/>
        <v>17390.313085522619</v>
      </c>
      <c r="P419" s="11">
        <f t="shared" si="136"/>
        <v>243.68694001250333</v>
      </c>
      <c r="Q419" s="11">
        <f t="shared" si="141"/>
        <v>178.89262899985076</v>
      </c>
      <c r="R419" s="11">
        <f t="shared" si="137"/>
        <v>64.794311012652571</v>
      </c>
      <c r="S419" s="9">
        <f t="shared" si="138"/>
        <v>100</v>
      </c>
      <c r="T419" s="14">
        <f t="shared" si="145"/>
        <v>1.8676787326401545E-3</v>
      </c>
      <c r="U419" s="14">
        <f t="shared" si="142"/>
        <v>0</v>
      </c>
      <c r="V419" s="14">
        <f t="shared" si="154"/>
        <v>4.157994484339146E-3</v>
      </c>
      <c r="W419" s="14">
        <f t="shared" si="154"/>
        <v>6.4965167822586144E-4</v>
      </c>
      <c r="X419" s="16">
        <f t="shared" si="148"/>
        <v>6.4003444056270951</v>
      </c>
    </row>
    <row r="420" spans="1:24" x14ac:dyDescent="0.25">
      <c r="A420" s="10">
        <v>45791</v>
      </c>
      <c r="B420" s="11">
        <v>18010.21</v>
      </c>
      <c r="C420" s="12">
        <f t="shared" si="143"/>
        <v>-3.1300576306985128E-3</v>
      </c>
      <c r="D420" s="11">
        <f t="shared" si="153"/>
        <v>17483.086500000005</v>
      </c>
      <c r="E420" s="11">
        <f t="shared" si="134"/>
        <v>17131.783599999999</v>
      </c>
      <c r="F420" s="11">
        <f t="shared" si="155"/>
        <v>15755.774562499995</v>
      </c>
      <c r="G420" s="12">
        <f t="shared" si="144"/>
        <v>-3.1349665071380311E-3</v>
      </c>
      <c r="H420" s="19">
        <f t="shared" si="149"/>
        <v>7.7436721550287371E-2</v>
      </c>
      <c r="I420" s="11">
        <f t="shared" si="150"/>
        <v>18066.759999999998</v>
      </c>
      <c r="J420" s="11">
        <f t="shared" si="151"/>
        <v>17124.13</v>
      </c>
      <c r="K420" s="12">
        <f>(B420-MAX($B$2:B420))/MAX($B$2:B420)</f>
        <v>-3.1300576306985467E-3</v>
      </c>
      <c r="L420" s="12">
        <f t="shared" si="152"/>
        <v>5.1744526583248129E-2</v>
      </c>
      <c r="M420" s="15">
        <f t="shared" si="146"/>
        <v>82.375517896935548</v>
      </c>
      <c r="N420" s="11">
        <f t="shared" si="139"/>
        <v>17691.878483145105</v>
      </c>
      <c r="O420" s="11">
        <f t="shared" si="140"/>
        <v>17436.231375483905</v>
      </c>
      <c r="P420" s="11">
        <f t="shared" si="136"/>
        <v>255.6471076611997</v>
      </c>
      <c r="Q420" s="11">
        <f t="shared" si="141"/>
        <v>194.24352473212056</v>
      </c>
      <c r="R420" s="11">
        <f t="shared" si="137"/>
        <v>61.403582929079136</v>
      </c>
      <c r="S420" s="9">
        <f t="shared" si="138"/>
        <v>100</v>
      </c>
      <c r="T420" s="14">
        <f t="shared" si="145"/>
        <v>0</v>
      </c>
      <c r="U420" s="14">
        <f t="shared" si="142"/>
        <v>3.1300576306985128E-3</v>
      </c>
      <c r="V420" s="14">
        <f t="shared" si="154"/>
        <v>4.0813990640063179E-3</v>
      </c>
      <c r="W420" s="14">
        <f t="shared" si="154"/>
        <v>8.7322722327575527E-4</v>
      </c>
      <c r="X420" s="16">
        <f t="shared" si="148"/>
        <v>4.6739255891446918</v>
      </c>
    </row>
    <row r="421" spans="1:24" x14ac:dyDescent="0.25">
      <c r="A421" s="10">
        <v>45792</v>
      </c>
      <c r="B421" s="11">
        <v>17996.73</v>
      </c>
      <c r="C421" s="12">
        <f t="shared" si="143"/>
        <v>-7.4846434328079692E-4</v>
      </c>
      <c r="D421" s="11">
        <f t="shared" si="153"/>
        <v>17526.716500000002</v>
      </c>
      <c r="E421" s="11">
        <f t="shared" si="134"/>
        <v>17155.876</v>
      </c>
      <c r="F421" s="11">
        <f t="shared" si="155"/>
        <v>15779.545999999997</v>
      </c>
      <c r="G421" s="12">
        <f t="shared" si="144"/>
        <v>-7.4874458255884152E-4</v>
      </c>
      <c r="H421" s="19">
        <f t="shared" si="149"/>
        <v>7.824286341358315E-2</v>
      </c>
      <c r="I421" s="11">
        <f t="shared" si="150"/>
        <v>18066.759999999998</v>
      </c>
      <c r="J421" s="11">
        <f t="shared" si="151"/>
        <v>17175.48</v>
      </c>
      <c r="K421" s="12">
        <f>(B421-MAX($B$2:B421))/MAX($B$2:B421)</f>
        <v>-3.8761792374503697E-3</v>
      </c>
      <c r="L421" s="12">
        <f t="shared" si="152"/>
        <v>4.7815257564854052E-2</v>
      </c>
      <c r="M421" s="15">
        <f t="shared" si="146"/>
        <v>80.262150869917235</v>
      </c>
      <c r="N421" s="11">
        <f t="shared" si="139"/>
        <v>17738.778716507397</v>
      </c>
      <c r="O421" s="11">
        <f t="shared" si="140"/>
        <v>17477.749792114726</v>
      </c>
      <c r="P421" s="11">
        <f t="shared" si="136"/>
        <v>261.02892439267089</v>
      </c>
      <c r="Q421" s="11">
        <f t="shared" si="141"/>
        <v>207.60060466423064</v>
      </c>
      <c r="R421" s="11">
        <f t="shared" si="137"/>
        <v>53.428319728440243</v>
      </c>
      <c r="S421" s="9">
        <f t="shared" si="138"/>
        <v>100</v>
      </c>
      <c r="T421" s="14">
        <f t="shared" si="145"/>
        <v>0</v>
      </c>
      <c r="U421" s="14">
        <f t="shared" si="142"/>
        <v>7.4846434328079692E-4</v>
      </c>
      <c r="V421" s="14">
        <f t="shared" si="154"/>
        <v>3.7682955621903985E-3</v>
      </c>
      <c r="W421" s="14">
        <f t="shared" si="154"/>
        <v>9.2668896208152648E-4</v>
      </c>
      <c r="X421" s="16">
        <f t="shared" si="148"/>
        <v>4.066408165395714</v>
      </c>
    </row>
    <row r="422" spans="1:24" x14ac:dyDescent="0.25">
      <c r="A422" s="10">
        <v>45793</v>
      </c>
      <c r="B422" s="11">
        <v>17772.150000000001</v>
      </c>
      <c r="C422" s="12">
        <f t="shared" si="143"/>
        <v>-1.2478933672950498E-2</v>
      </c>
      <c r="D422" s="11">
        <f t="shared" si="153"/>
        <v>17556.550000000003</v>
      </c>
      <c r="E422" s="11">
        <f t="shared" si="134"/>
        <v>17177.172999999999</v>
      </c>
      <c r="F422" s="11">
        <f t="shared" si="155"/>
        <v>15801.354999999996</v>
      </c>
      <c r="G422" s="12">
        <f t="shared" si="144"/>
        <v>-1.2557449444987883E-2</v>
      </c>
      <c r="H422" s="19">
        <f t="shared" si="149"/>
        <v>9.4653446688947429E-2</v>
      </c>
      <c r="I422" s="11">
        <f t="shared" si="150"/>
        <v>18066.759999999998</v>
      </c>
      <c r="J422" s="11">
        <f t="shared" si="151"/>
        <v>17205.43</v>
      </c>
      <c r="K422" s="12">
        <f>(B422-MAX($B$2:B422))/MAX($B$2:B422)</f>
        <v>-1.6306742326792242E-2</v>
      </c>
      <c r="L422" s="12">
        <f t="shared" si="152"/>
        <v>3.0646572746320766E-2</v>
      </c>
      <c r="M422" s="15">
        <f t="shared" si="146"/>
        <v>66.959586260365114</v>
      </c>
      <c r="N422" s="11">
        <f t="shared" si="139"/>
        <v>17743.912760121642</v>
      </c>
      <c r="O422" s="11">
        <f t="shared" si="140"/>
        <v>17499.557214921042</v>
      </c>
      <c r="P422" s="11">
        <f t="shared" si="136"/>
        <v>244.35554520060032</v>
      </c>
      <c r="Q422" s="11">
        <f t="shared" si="141"/>
        <v>214.95159277150461</v>
      </c>
      <c r="R422" s="11">
        <f t="shared" si="137"/>
        <v>29.40395242909571</v>
      </c>
      <c r="S422" s="9">
        <f t="shared" si="138"/>
        <v>100</v>
      </c>
      <c r="T422" s="14">
        <f t="shared" si="145"/>
        <v>0</v>
      </c>
      <c r="U422" s="14">
        <f t="shared" si="142"/>
        <v>1.2478933672950498E-2</v>
      </c>
      <c r="V422" s="14">
        <f t="shared" si="154"/>
        <v>3.6844362397341029E-3</v>
      </c>
      <c r="W422" s="14">
        <f t="shared" si="154"/>
        <v>1.8180413672922763E-3</v>
      </c>
      <c r="X422" s="16">
        <f t="shared" si="148"/>
        <v>2.0265964823570357</v>
      </c>
    </row>
    <row r="423" spans="1:24" x14ac:dyDescent="0.25">
      <c r="A423" s="10">
        <v>45796</v>
      </c>
      <c r="B423" s="11">
        <v>17871.759999999998</v>
      </c>
      <c r="C423" s="12">
        <f t="shared" si="143"/>
        <v>5.6048367811434296E-3</v>
      </c>
      <c r="D423" s="11">
        <f t="shared" si="153"/>
        <v>17587.953500000003</v>
      </c>
      <c r="E423" s="11">
        <f t="shared" si="134"/>
        <v>17202.129199999999</v>
      </c>
      <c r="F423" s="11">
        <f t="shared" si="155"/>
        <v>15823.236999999994</v>
      </c>
      <c r="G423" s="12">
        <f t="shared" si="144"/>
        <v>5.5891881283391398E-3</v>
      </c>
      <c r="H423" s="19">
        <f t="shared" si="149"/>
        <v>9.534076969822422E-2</v>
      </c>
      <c r="I423" s="11">
        <f t="shared" si="150"/>
        <v>18066.759999999998</v>
      </c>
      <c r="J423" s="11">
        <f t="shared" si="151"/>
        <v>17205.43</v>
      </c>
      <c r="K423" s="12">
        <f>(B423-MAX($B$2:B423))/MAX($B$2:B423)</f>
        <v>-1.0793302174822715E-2</v>
      </c>
      <c r="L423" s="12">
        <f t="shared" si="152"/>
        <v>3.4909557117386081E-2</v>
      </c>
      <c r="M423" s="15">
        <f t="shared" si="146"/>
        <v>66.289890828991162</v>
      </c>
      <c r="N423" s="11">
        <f t="shared" si="139"/>
        <v>17763.581566256773</v>
      </c>
      <c r="O423" s="11">
        <f t="shared" si="140"/>
        <v>17527.127791593557</v>
      </c>
      <c r="P423" s="11">
        <f t="shared" si="136"/>
        <v>236.45377466321588</v>
      </c>
      <c r="Q423" s="11">
        <f t="shared" si="141"/>
        <v>219.25202914984689</v>
      </c>
      <c r="R423" s="11">
        <f t="shared" si="137"/>
        <v>17.201745513368991</v>
      </c>
      <c r="S423" s="9">
        <f t="shared" si="138"/>
        <v>100</v>
      </c>
      <c r="T423" s="14">
        <f t="shared" si="145"/>
        <v>5.6048367811434296E-3</v>
      </c>
      <c r="U423" s="14">
        <f t="shared" si="142"/>
        <v>0</v>
      </c>
      <c r="V423" s="14">
        <f t="shared" si="154"/>
        <v>3.5751223215866007E-3</v>
      </c>
      <c r="W423" s="14">
        <f t="shared" si="154"/>
        <v>1.8180413672922763E-3</v>
      </c>
      <c r="X423" s="16">
        <f t="shared" si="148"/>
        <v>1.9664691826629093</v>
      </c>
    </row>
    <row r="424" spans="1:24" x14ac:dyDescent="0.25">
      <c r="A424" s="10">
        <v>45797</v>
      </c>
      <c r="B424" s="11">
        <v>18058.21</v>
      </c>
      <c r="C424" s="12">
        <f t="shared" si="143"/>
        <v>1.0432660241632696E-2</v>
      </c>
      <c r="D424" s="11">
        <f t="shared" si="153"/>
        <v>17627.418500000003</v>
      </c>
      <c r="E424" s="11">
        <f t="shared" si="134"/>
        <v>17231.875799999998</v>
      </c>
      <c r="F424" s="11">
        <f t="shared" si="155"/>
        <v>15845.794249999992</v>
      </c>
      <c r="G424" s="12">
        <f t="shared" si="144"/>
        <v>1.0378615603024034E-2</v>
      </c>
      <c r="H424" s="19">
        <f t="shared" si="149"/>
        <v>0.10007166034184113</v>
      </c>
      <c r="I424" s="11">
        <f t="shared" si="150"/>
        <v>18066.759999999998</v>
      </c>
      <c r="J424" s="11">
        <f t="shared" si="151"/>
        <v>17205.43</v>
      </c>
      <c r="K424" s="12">
        <f>(B424-MAX($B$2:B424))/MAX($B$2:B424)</f>
        <v>-4.7324478766526336E-4</v>
      </c>
      <c r="L424" s="12">
        <f t="shared" si="152"/>
        <v>4.9564585133879069E-2</v>
      </c>
      <c r="M424" s="15">
        <f t="shared" si="146"/>
        <v>73.90541689541115</v>
      </c>
      <c r="N424" s="11">
        <f t="shared" si="139"/>
        <v>17808.909017601884</v>
      </c>
      <c r="O424" s="11">
        <f t="shared" si="140"/>
        <v>17566.467214438479</v>
      </c>
      <c r="P424" s="11">
        <f t="shared" si="136"/>
        <v>242.44180316340498</v>
      </c>
      <c r="Q424" s="11">
        <f t="shared" si="141"/>
        <v>223.88998395255854</v>
      </c>
      <c r="R424" s="11">
        <f t="shared" si="137"/>
        <v>18.551819210846446</v>
      </c>
      <c r="S424" s="9">
        <f t="shared" si="138"/>
        <v>100</v>
      </c>
      <c r="T424" s="14">
        <f t="shared" si="145"/>
        <v>1.0432660241632696E-2</v>
      </c>
      <c r="U424" s="14">
        <f t="shared" si="142"/>
        <v>0</v>
      </c>
      <c r="V424" s="14">
        <f t="shared" si="154"/>
        <v>4.3203123388460786E-3</v>
      </c>
      <c r="W424" s="14">
        <f t="shared" si="154"/>
        <v>1.5254193007711661E-3</v>
      </c>
      <c r="X424" s="16">
        <f t="shared" si="148"/>
        <v>2.8322129768923023</v>
      </c>
    </row>
    <row r="425" spans="1:24" x14ac:dyDescent="0.25">
      <c r="A425" s="10">
        <v>45798</v>
      </c>
      <c r="B425" s="11">
        <v>18025.57</v>
      </c>
      <c r="C425" s="12">
        <f t="shared" si="143"/>
        <v>-1.8074881175930146E-3</v>
      </c>
      <c r="D425" s="11">
        <f t="shared" si="153"/>
        <v>17668.425500000005</v>
      </c>
      <c r="E425" s="11">
        <f t="shared" si="134"/>
        <v>17260.191599999995</v>
      </c>
      <c r="F425" s="11">
        <f t="shared" si="155"/>
        <v>15868.623812499991</v>
      </c>
      <c r="G425" s="12">
        <f t="shared" si="144"/>
        <v>-1.8091235952754131E-3</v>
      </c>
      <c r="H425" s="19">
        <f t="shared" si="149"/>
        <v>9.8815352818890589E-2</v>
      </c>
      <c r="I425" s="11">
        <f t="shared" si="150"/>
        <v>18066.759999999998</v>
      </c>
      <c r="J425" s="11">
        <f t="shared" si="151"/>
        <v>17223.88</v>
      </c>
      <c r="K425" s="12">
        <f>(B425-MAX($B$2:B425))/MAX($B$2:B425)</f>
        <v>-2.2798775209278638E-3</v>
      </c>
      <c r="L425" s="12">
        <f t="shared" si="152"/>
        <v>4.6545261578691877E-2</v>
      </c>
      <c r="M425" s="15">
        <f t="shared" si="146"/>
        <v>71.949979708923678</v>
      </c>
      <c r="N425" s="11">
        <f t="shared" si="139"/>
        <v>17842.241476432362</v>
      </c>
      <c r="O425" s="11">
        <f t="shared" si="140"/>
        <v>17600.474828183778</v>
      </c>
      <c r="P425" s="11">
        <f t="shared" si="136"/>
        <v>241.76664824858381</v>
      </c>
      <c r="Q425" s="11">
        <f t="shared" si="141"/>
        <v>227.46531681176359</v>
      </c>
      <c r="R425" s="11">
        <f t="shared" si="137"/>
        <v>14.30133143682022</v>
      </c>
      <c r="S425" s="9">
        <f t="shared" si="138"/>
        <v>100</v>
      </c>
      <c r="T425" s="14">
        <f t="shared" si="145"/>
        <v>0</v>
      </c>
      <c r="U425" s="14">
        <f t="shared" si="142"/>
        <v>1.8074881175930146E-3</v>
      </c>
      <c r="V425" s="14">
        <f t="shared" si="154"/>
        <v>4.2439571075012349E-3</v>
      </c>
      <c r="W425" s="14">
        <f t="shared" si="154"/>
        <v>1.6545255948849527E-3</v>
      </c>
      <c r="X425" s="16">
        <f t="shared" si="148"/>
        <v>2.5650598096648594</v>
      </c>
    </row>
    <row r="426" spans="1:24" x14ac:dyDescent="0.25">
      <c r="A426" s="10">
        <v>45799</v>
      </c>
      <c r="B426" s="11">
        <v>18131.599999999999</v>
      </c>
      <c r="C426" s="12">
        <f t="shared" si="143"/>
        <v>5.8821995642854841E-3</v>
      </c>
      <c r="D426" s="11">
        <f t="shared" si="153"/>
        <v>17713.811500000003</v>
      </c>
      <c r="E426" s="11">
        <f t="shared" si="134"/>
        <v>17291.158399999993</v>
      </c>
      <c r="F426" s="11">
        <f t="shared" si="155"/>
        <v>15893.187749999994</v>
      </c>
      <c r="G426" s="12">
        <f t="shared" si="144"/>
        <v>5.8649669724363503E-3</v>
      </c>
      <c r="H426" s="19">
        <f t="shared" si="149"/>
        <v>9.9469547976681255E-2</v>
      </c>
      <c r="I426" s="11">
        <f t="shared" si="150"/>
        <v>18131.599999999999</v>
      </c>
      <c r="J426" s="11">
        <f t="shared" si="151"/>
        <v>17299.38</v>
      </c>
      <c r="K426" s="12">
        <f>(B426-MAX($B$2:B426))/MAX($B$2:B426)</f>
        <v>0</v>
      </c>
      <c r="L426" s="12">
        <f t="shared" si="152"/>
        <v>4.8106926375395931E-2</v>
      </c>
      <c r="M426" s="15">
        <f t="shared" si="146"/>
        <v>71.631017117830766</v>
      </c>
      <c r="N426" s="11">
        <f t="shared" si="139"/>
        <v>17886.758172365844</v>
      </c>
      <c r="O426" s="11">
        <f t="shared" si="140"/>
        <v>17639.817433503496</v>
      </c>
      <c r="P426" s="11">
        <f t="shared" si="136"/>
        <v>246.94073886234764</v>
      </c>
      <c r="Q426" s="11">
        <f t="shared" si="141"/>
        <v>231.36040122188041</v>
      </c>
      <c r="R426" s="11">
        <f t="shared" si="137"/>
        <v>15.580337640467235</v>
      </c>
      <c r="S426" s="9">
        <f t="shared" si="138"/>
        <v>100</v>
      </c>
      <c r="T426" s="14">
        <f t="shared" si="145"/>
        <v>5.8821995642854841E-3</v>
      </c>
      <c r="U426" s="14">
        <f t="shared" si="142"/>
        <v>0</v>
      </c>
      <c r="V426" s="14">
        <f t="shared" si="154"/>
        <v>4.1776383630441572E-3</v>
      </c>
      <c r="W426" s="14">
        <f t="shared" si="154"/>
        <v>1.6545255948849527E-3</v>
      </c>
      <c r="X426" s="16">
        <f t="shared" si="148"/>
        <v>2.5249765709031831</v>
      </c>
    </row>
    <row r="427" spans="1:24" x14ac:dyDescent="0.25">
      <c r="A427" s="10">
        <v>45800</v>
      </c>
      <c r="B427" s="11">
        <v>18112.39</v>
      </c>
      <c r="C427" s="12">
        <f t="shared" si="143"/>
        <v>-1.0594762734672525E-3</v>
      </c>
      <c r="D427" s="11">
        <f t="shared" si="153"/>
        <v>17754.462000000003</v>
      </c>
      <c r="E427" s="11">
        <f t="shared" si="134"/>
        <v>17323.877399999994</v>
      </c>
      <c r="F427" s="11">
        <f t="shared" si="155"/>
        <v>15918.736562499995</v>
      </c>
      <c r="G427" s="12">
        <f t="shared" si="144"/>
        <v>-1.0600379151867005E-3</v>
      </c>
      <c r="H427" s="19">
        <f t="shared" si="149"/>
        <v>0.10002965060927145</v>
      </c>
      <c r="I427" s="11">
        <f t="shared" si="150"/>
        <v>18131.599999999999</v>
      </c>
      <c r="J427" s="11">
        <f t="shared" si="151"/>
        <v>17319.689999999999</v>
      </c>
      <c r="K427" s="12">
        <f>(B427-MAX($B$2:B427))/MAX($B$2:B427)</f>
        <v>-1.0594762734672687E-3</v>
      </c>
      <c r="L427" s="12">
        <f t="shared" si="152"/>
        <v>4.5768717569425466E-2</v>
      </c>
      <c r="M427" s="15">
        <f t="shared" si="146"/>
        <v>74.391549765943452</v>
      </c>
      <c r="N427" s="11">
        <f t="shared" si="139"/>
        <v>17921.470761232638</v>
      </c>
      <c r="O427" s="11">
        <f t="shared" si="140"/>
        <v>17674.822808799534</v>
      </c>
      <c r="P427" s="11">
        <f t="shared" si="136"/>
        <v>246.64795243310436</v>
      </c>
      <c r="Q427" s="11">
        <f t="shared" si="141"/>
        <v>234.41791146412521</v>
      </c>
      <c r="R427" s="11">
        <f t="shared" si="137"/>
        <v>12.230040968979154</v>
      </c>
      <c r="S427" s="9">
        <f t="shared" si="138"/>
        <v>100</v>
      </c>
      <c r="T427" s="14">
        <f t="shared" si="145"/>
        <v>0</v>
      </c>
      <c r="U427" s="14">
        <f t="shared" si="142"/>
        <v>1.0594762734672525E-3</v>
      </c>
      <c r="V427" s="14">
        <f t="shared" si="154"/>
        <v>4.1776383630441572E-3</v>
      </c>
      <c r="W427" s="14">
        <f t="shared" si="154"/>
        <v>1.438104790833093E-3</v>
      </c>
      <c r="X427" s="16">
        <f t="shared" si="148"/>
        <v>2.9049610220852227</v>
      </c>
    </row>
    <row r="428" spans="1:24" x14ac:dyDescent="0.25">
      <c r="A428" s="10">
        <v>45803</v>
      </c>
      <c r="B428" s="11">
        <v>18066.7</v>
      </c>
      <c r="C428" s="12">
        <f t="shared" si="143"/>
        <v>-2.5225826078170144E-3</v>
      </c>
      <c r="D428" s="11">
        <f t="shared" si="153"/>
        <v>17791.8125</v>
      </c>
      <c r="E428" s="11">
        <f t="shared" si="134"/>
        <v>17359.328599999997</v>
      </c>
      <c r="F428" s="11">
        <f t="shared" si="155"/>
        <v>15943.184874999995</v>
      </c>
      <c r="G428" s="12">
        <f t="shared" si="144"/>
        <v>-2.5257696802208117E-3</v>
      </c>
      <c r="H428" s="19">
        <f t="shared" si="149"/>
        <v>0.1014323863040919</v>
      </c>
      <c r="I428" s="11">
        <f t="shared" si="150"/>
        <v>18131.599999999999</v>
      </c>
      <c r="J428" s="11">
        <f t="shared" si="151"/>
        <v>17371.810000000001</v>
      </c>
      <c r="K428" s="12">
        <f>(B428-MAX($B$2:B428))/MAX($B$2:B428)</f>
        <v>-3.5793862648634332E-3</v>
      </c>
      <c r="L428" s="12">
        <f t="shared" si="152"/>
        <v>3.5740431696579922E-2</v>
      </c>
      <c r="M428" s="15">
        <f t="shared" si="146"/>
        <v>69.268776075866256</v>
      </c>
      <c r="N428" s="11">
        <f t="shared" si="139"/>
        <v>17943.813721043</v>
      </c>
      <c r="O428" s="11">
        <f t="shared" si="140"/>
        <v>17703.850748888457</v>
      </c>
      <c r="P428" s="11">
        <f t="shared" si="136"/>
        <v>239.96297215454251</v>
      </c>
      <c r="Q428" s="11">
        <f t="shared" si="141"/>
        <v>235.52692360220868</v>
      </c>
      <c r="R428" s="11">
        <f t="shared" si="137"/>
        <v>4.4360485523338298</v>
      </c>
      <c r="S428" s="9">
        <f t="shared" si="138"/>
        <v>100</v>
      </c>
      <c r="T428" s="14">
        <f t="shared" si="145"/>
        <v>0</v>
      </c>
      <c r="U428" s="14">
        <f t="shared" si="142"/>
        <v>2.5225826078170144E-3</v>
      </c>
      <c r="V428" s="14">
        <f t="shared" si="154"/>
        <v>3.6476554545628514E-3</v>
      </c>
      <c r="W428" s="14">
        <f t="shared" si="154"/>
        <v>1.6182892628200227E-3</v>
      </c>
      <c r="X428" s="16">
        <f t="shared" si="148"/>
        <v>2.2540194379133838</v>
      </c>
    </row>
    <row r="429" spans="1:24" x14ac:dyDescent="0.25">
      <c r="A429" s="10">
        <v>45804</v>
      </c>
      <c r="B429" s="11">
        <v>18050.2</v>
      </c>
      <c r="C429" s="12">
        <f t="shared" si="143"/>
        <v>-9.1328244781840873E-4</v>
      </c>
      <c r="D429" s="11">
        <f t="shared" si="153"/>
        <v>17822.159000000003</v>
      </c>
      <c r="E429" s="11">
        <f t="shared" si="134"/>
        <v>17390.532599999995</v>
      </c>
      <c r="F429" s="11">
        <f t="shared" si="155"/>
        <v>15967.454687499994</v>
      </c>
      <c r="G429" s="12">
        <f t="shared" si="144"/>
        <v>-9.1369974432555174E-4</v>
      </c>
      <c r="H429" s="19">
        <f t="shared" si="149"/>
        <v>0.10017891200705058</v>
      </c>
      <c r="I429" s="11">
        <f t="shared" si="150"/>
        <v>18131.599999999999</v>
      </c>
      <c r="J429" s="11">
        <f t="shared" si="151"/>
        <v>17371.810000000001</v>
      </c>
      <c r="K429" s="12">
        <f>(B429-MAX($B$2:B429))/MAX($B$2:B429)</f>
        <v>-4.4893997220321327E-3</v>
      </c>
      <c r="L429" s="12">
        <f t="shared" si="152"/>
        <v>3.9051198464638892E-2</v>
      </c>
      <c r="M429" s="15">
        <f t="shared" si="146"/>
        <v>67.292344246509003</v>
      </c>
      <c r="N429" s="11">
        <f t="shared" si="139"/>
        <v>17960.180840882538</v>
      </c>
      <c r="O429" s="11">
        <f t="shared" si="140"/>
        <v>17729.506248970793</v>
      </c>
      <c r="P429" s="11">
        <f t="shared" si="136"/>
        <v>230.67459191174567</v>
      </c>
      <c r="Q429" s="11">
        <f t="shared" si="141"/>
        <v>234.55645726411609</v>
      </c>
      <c r="R429" s="11">
        <f t="shared" si="137"/>
        <v>-3.8818653523704256</v>
      </c>
      <c r="S429" s="9">
        <f t="shared" si="138"/>
        <v>60</v>
      </c>
      <c r="T429" s="14">
        <f t="shared" si="145"/>
        <v>0</v>
      </c>
      <c r="U429" s="14">
        <f t="shared" si="142"/>
        <v>9.1328244781840873E-4</v>
      </c>
      <c r="V429" s="14">
        <f t="shared" si="154"/>
        <v>3.4636618042752166E-3</v>
      </c>
      <c r="W429" s="14">
        <f t="shared" si="154"/>
        <v>1.6835237233784803E-3</v>
      </c>
      <c r="X429" s="16">
        <f t="shared" si="148"/>
        <v>2.0573881770578031</v>
      </c>
    </row>
    <row r="430" spans="1:24" x14ac:dyDescent="0.25">
      <c r="A430" s="10">
        <v>45805</v>
      </c>
      <c r="B430" s="11">
        <v>17996.580000000002</v>
      </c>
      <c r="C430" s="12">
        <f t="shared" si="143"/>
        <v>-2.9706042038314395E-3</v>
      </c>
      <c r="D430" s="11">
        <f t="shared" si="153"/>
        <v>17853.397499999999</v>
      </c>
      <c r="E430" s="11">
        <f t="shared" si="134"/>
        <v>17418.19019999999</v>
      </c>
      <c r="F430" s="11">
        <f t="shared" si="155"/>
        <v>15991.452874999997</v>
      </c>
      <c r="G430" s="12">
        <f t="shared" si="144"/>
        <v>-2.975025206035339E-3</v>
      </c>
      <c r="H430" s="19">
        <f t="shared" si="149"/>
        <v>9.9386014653892393E-2</v>
      </c>
      <c r="I430" s="11">
        <f t="shared" si="150"/>
        <v>18131.599999999999</v>
      </c>
      <c r="J430" s="11">
        <f t="shared" si="151"/>
        <v>17390.38</v>
      </c>
      <c r="K430" s="12">
        <f>(B430-MAX($B$2:B430))/MAX($B$2:B430)</f>
        <v>-7.4466676961766646E-3</v>
      </c>
      <c r="L430" s="12">
        <f t="shared" si="152"/>
        <v>3.4858352721447217E-2</v>
      </c>
      <c r="M430" s="15">
        <f t="shared" si="146"/>
        <v>65.420744377256909</v>
      </c>
      <c r="N430" s="11">
        <f t="shared" si="139"/>
        <v>17965.780711515996</v>
      </c>
      <c r="O430" s="11">
        <f t="shared" si="140"/>
        <v>17749.289489787774</v>
      </c>
      <c r="P430" s="11">
        <f t="shared" si="136"/>
        <v>216.49122172822172</v>
      </c>
      <c r="Q430" s="11">
        <f t="shared" si="141"/>
        <v>230.94341015693723</v>
      </c>
      <c r="R430" s="11">
        <f t="shared" si="137"/>
        <v>-14.452188428715516</v>
      </c>
      <c r="S430" s="9">
        <f t="shared" si="138"/>
        <v>60</v>
      </c>
      <c r="T430" s="14">
        <f t="shared" si="145"/>
        <v>0</v>
      </c>
      <c r="U430" s="14">
        <f t="shared" si="142"/>
        <v>2.9706042038314395E-3</v>
      </c>
      <c r="V430" s="14">
        <f t="shared" si="154"/>
        <v>3.4636618042752166E-3</v>
      </c>
      <c r="W430" s="14">
        <f t="shared" si="154"/>
        <v>1.8307778069612099E-3</v>
      </c>
      <c r="X430" s="16">
        <f t="shared" si="148"/>
        <v>1.8919072489874267</v>
      </c>
    </row>
    <row r="431" spans="1:24" x14ac:dyDescent="0.25">
      <c r="A431" s="10">
        <v>45806</v>
      </c>
      <c r="B431" s="11">
        <v>17920.91</v>
      </c>
      <c r="C431" s="12">
        <f t="shared" si="143"/>
        <v>-4.2046877795670623E-3</v>
      </c>
      <c r="D431" s="11">
        <f t="shared" si="153"/>
        <v>17879.924000000003</v>
      </c>
      <c r="E431" s="11">
        <f t="shared" si="134"/>
        <v>17443.082399999992</v>
      </c>
      <c r="F431" s="11">
        <f t="shared" si="155"/>
        <v>16015.835874999995</v>
      </c>
      <c r="G431" s="12">
        <f t="shared" si="144"/>
        <v>-4.2135523364177033E-3</v>
      </c>
      <c r="H431" s="19">
        <f t="shared" si="149"/>
        <v>0.10162155111425293</v>
      </c>
      <c r="I431" s="11">
        <f t="shared" si="150"/>
        <v>18131.599999999999</v>
      </c>
      <c r="J431" s="11">
        <f t="shared" si="151"/>
        <v>17437.22</v>
      </c>
      <c r="K431" s="12">
        <f>(B431-MAX($B$2:B431))/MAX($B$2:B431)</f>
        <v>-1.1620044563083165E-2</v>
      </c>
      <c r="L431" s="12">
        <f t="shared" si="152"/>
        <v>2.35361377865555E-2</v>
      </c>
      <c r="M431" s="15">
        <f t="shared" si="146"/>
        <v>56.568782851234836</v>
      </c>
      <c r="N431" s="11">
        <f t="shared" si="139"/>
        <v>17958.877525128919</v>
      </c>
      <c r="O431" s="11">
        <f t="shared" si="140"/>
        <v>17762.002120173864</v>
      </c>
      <c r="P431" s="11">
        <f t="shared" si="136"/>
        <v>196.87540495505527</v>
      </c>
      <c r="Q431" s="11">
        <f t="shared" si="141"/>
        <v>224.12980911656086</v>
      </c>
      <c r="R431" s="11">
        <f t="shared" si="137"/>
        <v>-27.25440416150559</v>
      </c>
      <c r="S431" s="9">
        <f t="shared" si="138"/>
        <v>60</v>
      </c>
      <c r="T431" s="14">
        <f t="shared" si="145"/>
        <v>0</v>
      </c>
      <c r="U431" s="14">
        <f t="shared" si="142"/>
        <v>4.2046877795670623E-3</v>
      </c>
      <c r="V431" s="14">
        <f t="shared" si="154"/>
        <v>2.77575570179386E-3</v>
      </c>
      <c r="W431" s="14">
        <f t="shared" si="154"/>
        <v>2.1311126483588572E-3</v>
      </c>
      <c r="X431" s="16">
        <f t="shared" si="148"/>
        <v>1.3024913084399523</v>
      </c>
    </row>
    <row r="432" spans="1:24" x14ac:dyDescent="0.25">
      <c r="A432" s="10">
        <v>45807</v>
      </c>
      <c r="B432" s="11">
        <v>17976.11</v>
      </c>
      <c r="C432" s="12">
        <f t="shared" si="143"/>
        <v>3.0802007264141285E-3</v>
      </c>
      <c r="D432" s="11">
        <f t="shared" si="153"/>
        <v>17903.288500000002</v>
      </c>
      <c r="E432" s="11">
        <f t="shared" si="134"/>
        <v>17465.821999999993</v>
      </c>
      <c r="F432" s="11">
        <f t="shared" si="155"/>
        <v>16039.755374999997</v>
      </c>
      <c r="G432" s="12">
        <f t="shared" si="144"/>
        <v>3.0754666269830885E-3</v>
      </c>
      <c r="H432" s="19">
        <f t="shared" si="149"/>
        <v>9.9900729935570032E-2</v>
      </c>
      <c r="I432" s="11">
        <f t="shared" si="150"/>
        <v>18131.599999999999</v>
      </c>
      <c r="J432" s="11">
        <f t="shared" si="151"/>
        <v>17437.22</v>
      </c>
      <c r="K432" s="12">
        <f>(B432-MAX($B$2:B432))/MAX($B$2:B432)</f>
        <v>-8.5756359063732922E-3</v>
      </c>
      <c r="L432" s="12">
        <f t="shared" si="152"/>
        <v>3.0904582267127445E-2</v>
      </c>
      <c r="M432" s="15">
        <f t="shared" si="146"/>
        <v>47.382860681078334</v>
      </c>
      <c r="N432" s="11">
        <f t="shared" si="139"/>
        <v>17961.528675109086</v>
      </c>
      <c r="O432" s="11">
        <f t="shared" si="140"/>
        <v>17777.861963123949</v>
      </c>
      <c r="P432" s="11">
        <f t="shared" si="136"/>
        <v>183.66671198513723</v>
      </c>
      <c r="Q432" s="11">
        <f t="shared" si="141"/>
        <v>216.03718969027616</v>
      </c>
      <c r="R432" s="11">
        <f t="shared" si="137"/>
        <v>-32.370477705138939</v>
      </c>
      <c r="S432" s="9">
        <f t="shared" si="138"/>
        <v>60</v>
      </c>
      <c r="T432" s="14">
        <f t="shared" si="145"/>
        <v>3.0802007264141285E-3</v>
      </c>
      <c r="U432" s="14">
        <f t="shared" si="142"/>
        <v>0</v>
      </c>
      <c r="V432" s="14">
        <f t="shared" ref="V432:W447" si="156">AVERAGE(T419:T432)</f>
        <v>1.9191125747225638E-3</v>
      </c>
      <c r="W432" s="14">
        <f t="shared" si="156"/>
        <v>2.1311126483588572E-3</v>
      </c>
      <c r="X432" s="16">
        <f t="shared" si="148"/>
        <v>0.90052141363829263</v>
      </c>
    </row>
    <row r="433" spans="1:24" x14ac:dyDescent="0.25">
      <c r="A433" s="10">
        <v>45810</v>
      </c>
      <c r="B433" s="11">
        <v>18193.2</v>
      </c>
      <c r="C433" s="12">
        <f t="shared" si="143"/>
        <v>1.2076583866031054E-2</v>
      </c>
      <c r="D433" s="11">
        <f t="shared" si="153"/>
        <v>17941.087500000001</v>
      </c>
      <c r="E433" s="11">
        <f t="shared" si="134"/>
        <v>17485.825799999995</v>
      </c>
      <c r="F433" s="11">
        <f t="shared" si="155"/>
        <v>16065.320812499998</v>
      </c>
      <c r="G433" s="12">
        <f t="shared" si="144"/>
        <v>1.200424375895584E-2</v>
      </c>
      <c r="H433" s="19">
        <f t="shared" si="149"/>
        <v>0.10456696600420477</v>
      </c>
      <c r="I433" s="11">
        <f t="shared" si="150"/>
        <v>18193.2</v>
      </c>
      <c r="J433" s="11">
        <f t="shared" si="151"/>
        <v>17566.599999999999</v>
      </c>
      <c r="K433" s="12">
        <f>(B433-MAX($B$2:B433))/MAX($B$2:B433)</f>
        <v>0</v>
      </c>
      <c r="L433" s="12">
        <f t="shared" si="152"/>
        <v>3.5669964591896086E-2</v>
      </c>
      <c r="M433" s="15">
        <f t="shared" si="146"/>
        <v>55.410761745455694</v>
      </c>
      <c r="N433" s="11">
        <f t="shared" si="139"/>
        <v>17997.170417399997</v>
      </c>
      <c r="O433" s="11">
        <f t="shared" si="140"/>
        <v>17808.627743633289</v>
      </c>
      <c r="P433" s="11">
        <f t="shared" si="136"/>
        <v>188.54267376670759</v>
      </c>
      <c r="Q433" s="11">
        <f t="shared" si="141"/>
        <v>210.53828650556247</v>
      </c>
      <c r="R433" s="11">
        <f t="shared" si="137"/>
        <v>-21.995612738854874</v>
      </c>
      <c r="S433" s="9">
        <f t="shared" si="138"/>
        <v>60</v>
      </c>
      <c r="T433" s="14">
        <f t="shared" si="145"/>
        <v>1.2076583866031054E-2</v>
      </c>
      <c r="U433" s="14">
        <f t="shared" si="142"/>
        <v>0</v>
      </c>
      <c r="V433" s="14">
        <f t="shared" si="156"/>
        <v>2.6483200842504851E-3</v>
      </c>
      <c r="W433" s="14">
        <f t="shared" si="156"/>
        <v>2.1311126483588572E-3</v>
      </c>
      <c r="X433" s="16">
        <f t="shared" si="148"/>
        <v>1.2426936165434159</v>
      </c>
    </row>
    <row r="434" spans="1:24" x14ac:dyDescent="0.25">
      <c r="A434" s="10">
        <v>45811</v>
      </c>
      <c r="B434" s="11">
        <v>18325.68</v>
      </c>
      <c r="C434" s="12">
        <f t="shared" si="143"/>
        <v>7.2818415671789261E-3</v>
      </c>
      <c r="D434" s="11">
        <f t="shared" si="153"/>
        <v>17979.041499999999</v>
      </c>
      <c r="E434" s="11">
        <f t="shared" si="134"/>
        <v>17505.016799999994</v>
      </c>
      <c r="F434" s="11">
        <f t="shared" si="155"/>
        <v>16091.721249999999</v>
      </c>
      <c r="G434" s="12">
        <f t="shared" si="144"/>
        <v>7.2554569671013898E-3</v>
      </c>
      <c r="H434" s="19">
        <f t="shared" si="149"/>
        <v>0.10447653254248739</v>
      </c>
      <c r="I434" s="11">
        <f t="shared" si="150"/>
        <v>18325.68</v>
      </c>
      <c r="J434" s="11">
        <f t="shared" si="151"/>
        <v>17595.84</v>
      </c>
      <c r="K434" s="12">
        <f>(B434-MAX($B$2:B434))/MAX($B$2:B434)</f>
        <v>0</v>
      </c>
      <c r="L434" s="12">
        <f t="shared" si="152"/>
        <v>4.053123323217056E-2</v>
      </c>
      <c r="M434" s="15">
        <f t="shared" si="146"/>
        <v>62.420383387387616</v>
      </c>
      <c r="N434" s="11">
        <f t="shared" si="139"/>
        <v>18047.710353184611</v>
      </c>
      <c r="O434" s="11">
        <f t="shared" si="140"/>
        <v>17846.927910771563</v>
      </c>
      <c r="P434" s="11">
        <f t="shared" si="136"/>
        <v>200.78244241304856</v>
      </c>
      <c r="Q434" s="11">
        <f t="shared" si="141"/>
        <v>208.5871176870597</v>
      </c>
      <c r="R434" s="11">
        <f t="shared" si="137"/>
        <v>-7.8046752740111458</v>
      </c>
      <c r="S434" s="9">
        <f t="shared" si="138"/>
        <v>60</v>
      </c>
      <c r="T434" s="14">
        <f t="shared" si="145"/>
        <v>7.2818415671789261E-3</v>
      </c>
      <c r="U434" s="14">
        <f t="shared" si="142"/>
        <v>0</v>
      </c>
      <c r="V434" s="14">
        <f t="shared" si="156"/>
        <v>3.1684516247632655E-3</v>
      </c>
      <c r="W434" s="14">
        <f t="shared" si="156"/>
        <v>1.9075371033089633E-3</v>
      </c>
      <c r="X434" s="16">
        <f t="shared" si="148"/>
        <v>1.6610170356671023</v>
      </c>
    </row>
    <row r="435" spans="1:24" x14ac:dyDescent="0.25">
      <c r="A435" s="10">
        <v>45812</v>
      </c>
      <c r="B435" s="11">
        <v>18648.490000000002</v>
      </c>
      <c r="C435" s="12">
        <f t="shared" si="143"/>
        <v>1.7615171715319677E-2</v>
      </c>
      <c r="D435" s="11">
        <f t="shared" si="153"/>
        <v>18030.873500000002</v>
      </c>
      <c r="E435" s="11">
        <f t="shared" si="134"/>
        <v>17525.558599999993</v>
      </c>
      <c r="F435" s="11">
        <f t="shared" si="155"/>
        <v>16120.470187499997</v>
      </c>
      <c r="G435" s="12">
        <f t="shared" si="144"/>
        <v>1.7461822804016328E-2</v>
      </c>
      <c r="H435" s="19">
        <f t="shared" si="149"/>
        <v>0.11785278952907949</v>
      </c>
      <c r="I435" s="11">
        <f t="shared" si="150"/>
        <v>18648.490000000002</v>
      </c>
      <c r="J435" s="11">
        <f t="shared" si="151"/>
        <v>17595.84</v>
      </c>
      <c r="K435" s="12">
        <f>(B435-MAX($B$2:B435))/MAX($B$2:B435)</f>
        <v>0</v>
      </c>
      <c r="L435" s="12">
        <f t="shared" si="152"/>
        <v>5.9823799261643718E-2</v>
      </c>
      <c r="M435" s="15">
        <f t="shared" si="146"/>
        <v>70.480049048434594</v>
      </c>
      <c r="N435" s="11">
        <f t="shared" si="139"/>
        <v>18140.137991156211</v>
      </c>
      <c r="O435" s="11">
        <f t="shared" si="140"/>
        <v>17906.302880344039</v>
      </c>
      <c r="P435" s="11">
        <f t="shared" si="136"/>
        <v>233.83511081217148</v>
      </c>
      <c r="Q435" s="11">
        <f t="shared" si="141"/>
        <v>213.63671631208209</v>
      </c>
      <c r="R435" s="11">
        <f t="shared" si="137"/>
        <v>20.198394500089393</v>
      </c>
      <c r="S435" s="9">
        <f t="shared" si="138"/>
        <v>100</v>
      </c>
      <c r="T435" s="14">
        <f t="shared" si="145"/>
        <v>1.7615171715319677E-2</v>
      </c>
      <c r="U435" s="14">
        <f t="shared" si="142"/>
        <v>0</v>
      </c>
      <c r="V435" s="14">
        <f t="shared" si="156"/>
        <v>4.4266781758575281E-3</v>
      </c>
      <c r="W435" s="14">
        <f t="shared" si="156"/>
        <v>1.8540753645031921E-3</v>
      </c>
      <c r="X435" s="16">
        <f t="shared" si="148"/>
        <v>2.3875395038451828</v>
      </c>
    </row>
    <row r="436" spans="1:24" x14ac:dyDescent="0.25">
      <c r="A436" s="10">
        <v>45813</v>
      </c>
      <c r="B436" s="11">
        <v>18690.36</v>
      </c>
      <c r="C436" s="12">
        <f t="shared" si="143"/>
        <v>2.2452219992072919E-3</v>
      </c>
      <c r="D436" s="11">
        <f t="shared" si="153"/>
        <v>18085.5995</v>
      </c>
      <c r="E436" s="11">
        <f t="shared" ref="E436:E499" si="157">AVERAGE(B387:B436)</f>
        <v>17542.187799999992</v>
      </c>
      <c r="F436" s="11">
        <f t="shared" si="155"/>
        <v>16150.161687499998</v>
      </c>
      <c r="G436" s="12">
        <f t="shared" si="144"/>
        <v>2.2427052546905449E-3</v>
      </c>
      <c r="H436" s="19">
        <f t="shared" si="149"/>
        <v>0.11704409059709593</v>
      </c>
      <c r="I436" s="11">
        <f t="shared" si="150"/>
        <v>18690.36</v>
      </c>
      <c r="J436" s="11">
        <f t="shared" si="151"/>
        <v>17765.3</v>
      </c>
      <c r="K436" s="12">
        <f>(B436-MAX($B$2:B436))/MAX($B$2:B436)</f>
        <v>0</v>
      </c>
      <c r="L436" s="12">
        <f t="shared" si="152"/>
        <v>5.2071172454166259E-2</v>
      </c>
      <c r="M436" s="15">
        <f t="shared" si="146"/>
        <v>82.652934410343363</v>
      </c>
      <c r="N436" s="11">
        <f t="shared" si="139"/>
        <v>18224.78753097833</v>
      </c>
      <c r="O436" s="11">
        <f t="shared" si="140"/>
        <v>17964.381185503738</v>
      </c>
      <c r="P436" s="11">
        <f t="shared" si="136"/>
        <v>260.40634547459194</v>
      </c>
      <c r="Q436" s="11">
        <f t="shared" si="141"/>
        <v>222.99064214458406</v>
      </c>
      <c r="R436" s="11">
        <f t="shared" si="137"/>
        <v>37.415703330007887</v>
      </c>
      <c r="S436" s="9">
        <f t="shared" si="138"/>
        <v>100</v>
      </c>
      <c r="T436" s="14">
        <f t="shared" si="145"/>
        <v>2.2452219992072919E-3</v>
      </c>
      <c r="U436" s="14">
        <f t="shared" si="142"/>
        <v>0</v>
      </c>
      <c r="V436" s="14">
        <f t="shared" si="156"/>
        <v>4.5870511758009059E-3</v>
      </c>
      <c r="W436" s="14">
        <f t="shared" si="156"/>
        <v>9.6272295929244231E-4</v>
      </c>
      <c r="X436" s="16">
        <f t="shared" si="148"/>
        <v>4.7646637399945053</v>
      </c>
    </row>
    <row r="437" spans="1:24" x14ac:dyDescent="0.25">
      <c r="A437" s="10">
        <v>45814</v>
      </c>
      <c r="B437" s="11">
        <v>18562.47</v>
      </c>
      <c r="C437" s="12">
        <f t="shared" si="143"/>
        <v>-6.8425648302119502E-3</v>
      </c>
      <c r="D437" s="11">
        <f t="shared" si="153"/>
        <v>18125.458000000002</v>
      </c>
      <c r="E437" s="11">
        <f t="shared" si="157"/>
        <v>17559.880599999993</v>
      </c>
      <c r="F437" s="11">
        <f t="shared" si="155"/>
        <v>16179.709999999997</v>
      </c>
      <c r="G437" s="12">
        <f t="shared" si="144"/>
        <v>-6.8660825192114637E-3</v>
      </c>
      <c r="H437" s="19">
        <f t="shared" si="149"/>
        <v>0.11934557642233812</v>
      </c>
      <c r="I437" s="11">
        <f t="shared" si="150"/>
        <v>18690.36</v>
      </c>
      <c r="J437" s="11">
        <f t="shared" si="151"/>
        <v>17772.150000000001</v>
      </c>
      <c r="K437" s="12">
        <f>(B437-MAX($B$2:B437))/MAX($B$2:B437)</f>
        <v>-6.8425648302119068E-3</v>
      </c>
      <c r="L437" s="12">
        <f t="shared" si="152"/>
        <v>2.9356604639917183E-2</v>
      </c>
      <c r="M437" s="15">
        <f t="shared" si="146"/>
        <v>74.25628934774187</v>
      </c>
      <c r="N437" s="11">
        <f t="shared" si="139"/>
        <v>18276.738680058588</v>
      </c>
      <c r="O437" s="11">
        <f t="shared" si="140"/>
        <v>18008.684060651609</v>
      </c>
      <c r="P437" s="11">
        <f t="shared" si="136"/>
        <v>268.05461940697933</v>
      </c>
      <c r="Q437" s="11">
        <f t="shared" si="141"/>
        <v>232.00343759706314</v>
      </c>
      <c r="R437" s="11">
        <f t="shared" si="137"/>
        <v>36.051181809916187</v>
      </c>
      <c r="S437" s="9">
        <f t="shared" si="138"/>
        <v>100</v>
      </c>
      <c r="T437" s="14">
        <f t="shared" si="145"/>
        <v>0</v>
      </c>
      <c r="U437" s="14">
        <f t="shared" si="142"/>
        <v>6.8425648302119502E-3</v>
      </c>
      <c r="V437" s="14">
        <f t="shared" si="156"/>
        <v>4.1867056914335187E-3</v>
      </c>
      <c r="W437" s="14">
        <f t="shared" si="156"/>
        <v>1.4514775900218674E-3</v>
      </c>
      <c r="X437" s="16">
        <f t="shared" si="148"/>
        <v>2.8844439075152675</v>
      </c>
    </row>
    <row r="438" spans="1:24" x14ac:dyDescent="0.25">
      <c r="A438" s="10">
        <v>45818</v>
      </c>
      <c r="B438" s="11">
        <v>18643.330000000002</v>
      </c>
      <c r="C438" s="12">
        <f t="shared" si="143"/>
        <v>4.3561013162580764E-3</v>
      </c>
      <c r="D438" s="11">
        <f t="shared" si="153"/>
        <v>18155.970500000003</v>
      </c>
      <c r="E438" s="11">
        <f t="shared" si="157"/>
        <v>17581.388199999994</v>
      </c>
      <c r="F438" s="11">
        <f t="shared" si="155"/>
        <v>16207.947937499999</v>
      </c>
      <c r="G438" s="12">
        <f t="shared" si="144"/>
        <v>4.3466409704525331E-3</v>
      </c>
      <c r="H438" s="19">
        <f t="shared" si="149"/>
        <v>0.10985703151613881</v>
      </c>
      <c r="I438" s="11">
        <f t="shared" si="150"/>
        <v>18690.36</v>
      </c>
      <c r="J438" s="11">
        <f t="shared" si="151"/>
        <v>17772.150000000001</v>
      </c>
      <c r="K438" s="12">
        <f>(B438-MAX($B$2:B438))/MAX($B$2:B438)</f>
        <v>-2.5162704196173232E-3</v>
      </c>
      <c r="L438" s="12">
        <f t="shared" si="152"/>
        <v>3.191330376891055E-2</v>
      </c>
      <c r="M438" s="15">
        <f t="shared" si="146"/>
        <v>72.10919280824919</v>
      </c>
      <c r="N438" s="11">
        <f t="shared" si="139"/>
        <v>18333.13734466496</v>
      </c>
      <c r="O438" s="11">
        <f t="shared" si="140"/>
        <v>18055.694870973712</v>
      </c>
      <c r="P438" s="11">
        <f t="shared" si="136"/>
        <v>277.44247369124787</v>
      </c>
      <c r="Q438" s="11">
        <f t="shared" si="141"/>
        <v>241.0912448159001</v>
      </c>
      <c r="R438" s="11">
        <f t="shared" si="137"/>
        <v>36.351228875347772</v>
      </c>
      <c r="S438" s="9">
        <f t="shared" si="138"/>
        <v>100</v>
      </c>
      <c r="T438" s="14">
        <f t="shared" si="145"/>
        <v>4.3561013162580764E-3</v>
      </c>
      <c r="U438" s="14">
        <f t="shared" si="142"/>
        <v>0</v>
      </c>
      <c r="V438" s="14">
        <f t="shared" si="156"/>
        <v>3.7526657681924741E-3</v>
      </c>
      <c r="W438" s="14">
        <f t="shared" si="156"/>
        <v>1.4514775900218674E-3</v>
      </c>
      <c r="X438" s="16">
        <f t="shared" si="148"/>
        <v>2.5854107524567005</v>
      </c>
    </row>
    <row r="439" spans="1:24" x14ac:dyDescent="0.25">
      <c r="A439" s="10">
        <v>45819</v>
      </c>
      <c r="B439" s="11">
        <v>18655.900000000001</v>
      </c>
      <c r="C439" s="12">
        <f t="shared" si="143"/>
        <v>6.7423577225733666E-4</v>
      </c>
      <c r="D439" s="11">
        <f t="shared" si="153"/>
        <v>18185.427500000005</v>
      </c>
      <c r="E439" s="11">
        <f t="shared" si="157"/>
        <v>17602.683799999995</v>
      </c>
      <c r="F439" s="11">
        <f t="shared" si="155"/>
        <v>16236.543750000001</v>
      </c>
      <c r="G439" s="12">
        <f t="shared" si="144"/>
        <v>6.7400857743522271E-4</v>
      </c>
      <c r="H439" s="19">
        <f t="shared" si="149"/>
        <v>0.10990943685974945</v>
      </c>
      <c r="I439" s="11">
        <f t="shared" si="150"/>
        <v>18690.36</v>
      </c>
      <c r="J439" s="11">
        <f t="shared" si="151"/>
        <v>17772.150000000001</v>
      </c>
      <c r="K439" s="12">
        <f>(B439-MAX($B$2:B439))/MAX($B$2:B439)</f>
        <v>-1.8437312068894942E-3</v>
      </c>
      <c r="L439" s="12">
        <f t="shared" si="152"/>
        <v>3.5851330995030128E-2</v>
      </c>
      <c r="M439" s="15">
        <f t="shared" si="146"/>
        <v>74.188551459008323</v>
      </c>
      <c r="N439" s="11">
        <f t="shared" si="139"/>
        <v>18382.793137793429</v>
      </c>
      <c r="O439" s="11">
        <f t="shared" si="140"/>
        <v>18100.154510160846</v>
      </c>
      <c r="P439" s="11">
        <f t="shared" si="136"/>
        <v>282.63862763258294</v>
      </c>
      <c r="Q439" s="11">
        <f t="shared" si="141"/>
        <v>249.4007213792367</v>
      </c>
      <c r="R439" s="11">
        <f t="shared" si="137"/>
        <v>33.237906253346239</v>
      </c>
      <c r="S439" s="9">
        <f t="shared" si="138"/>
        <v>100</v>
      </c>
      <c r="T439" s="14">
        <f t="shared" si="145"/>
        <v>6.7423577225733666E-4</v>
      </c>
      <c r="U439" s="14">
        <f t="shared" si="142"/>
        <v>0</v>
      </c>
      <c r="V439" s="14">
        <f t="shared" si="156"/>
        <v>3.8008254662108554E-3</v>
      </c>
      <c r="W439" s="14">
        <f t="shared" si="156"/>
        <v>1.3223712959080805E-3</v>
      </c>
      <c r="X439" s="16">
        <f t="shared" si="148"/>
        <v>2.8742498252737745</v>
      </c>
    </row>
    <row r="440" spans="1:24" x14ac:dyDescent="0.25">
      <c r="A440" s="10">
        <v>45820</v>
      </c>
      <c r="B440" s="11">
        <v>18533.849999999999</v>
      </c>
      <c r="C440" s="12">
        <f t="shared" si="143"/>
        <v>-6.542166285196771E-3</v>
      </c>
      <c r="D440" s="11">
        <f t="shared" si="153"/>
        <v>18211.609499999999</v>
      </c>
      <c r="E440" s="11">
        <f t="shared" si="157"/>
        <v>17618.240399999995</v>
      </c>
      <c r="F440" s="11">
        <f t="shared" si="155"/>
        <v>16264.379500000001</v>
      </c>
      <c r="G440" s="12">
        <f t="shared" si="144"/>
        <v>-6.5636600501912156E-3</v>
      </c>
      <c r="H440" s="19">
        <f t="shared" si="149"/>
        <v>0.11251337889943895</v>
      </c>
      <c r="I440" s="11">
        <f t="shared" si="150"/>
        <v>18690.36</v>
      </c>
      <c r="J440" s="11">
        <f t="shared" si="151"/>
        <v>17772.150000000001</v>
      </c>
      <c r="K440" s="12">
        <f>(B440-MAX($B$2:B440))/MAX($B$2:B440)</f>
        <v>-8.3738354959456123E-3</v>
      </c>
      <c r="L440" s="12">
        <f t="shared" si="152"/>
        <v>2.9845421918315074E-2</v>
      </c>
      <c r="M440" s="15">
        <f t="shared" si="146"/>
        <v>65.385838410960844</v>
      </c>
      <c r="N440" s="11">
        <f t="shared" si="139"/>
        <v>18406.032655055977</v>
      </c>
      <c r="O440" s="11">
        <f t="shared" si="140"/>
        <v>18132.280102000783</v>
      </c>
      <c r="P440" s="11">
        <f t="shared" si="136"/>
        <v>273.75255305519386</v>
      </c>
      <c r="Q440" s="11">
        <f t="shared" si="141"/>
        <v>254.27108771442815</v>
      </c>
      <c r="R440" s="11">
        <f t="shared" si="137"/>
        <v>19.481465340765709</v>
      </c>
      <c r="S440" s="9">
        <f t="shared" si="138"/>
        <v>100</v>
      </c>
      <c r="T440" s="14">
        <f t="shared" si="145"/>
        <v>0</v>
      </c>
      <c r="U440" s="14">
        <f t="shared" si="142"/>
        <v>6.542166285196771E-3</v>
      </c>
      <c r="V440" s="14">
        <f t="shared" si="156"/>
        <v>3.3806683544761779E-3</v>
      </c>
      <c r="W440" s="14">
        <f t="shared" si="156"/>
        <v>1.7896688877078498E-3</v>
      </c>
      <c r="X440" s="16">
        <f t="shared" si="148"/>
        <v>1.8889909623483643</v>
      </c>
    </row>
    <row r="441" spans="1:24" x14ac:dyDescent="0.25">
      <c r="A441" s="10">
        <v>45821</v>
      </c>
      <c r="B441" s="11">
        <v>18417.52</v>
      </c>
      <c r="C441" s="12">
        <f t="shared" si="143"/>
        <v>-6.2766235833352502E-3</v>
      </c>
      <c r="D441" s="11">
        <f t="shared" si="153"/>
        <v>18232.649000000001</v>
      </c>
      <c r="E441" s="11">
        <f t="shared" si="157"/>
        <v>17633.083599999998</v>
      </c>
      <c r="F441" s="11">
        <f t="shared" si="155"/>
        <v>16291.456062499998</v>
      </c>
      <c r="G441" s="12">
        <f t="shared" si="144"/>
        <v>-6.2964043997369747E-3</v>
      </c>
      <c r="H441" s="19">
        <f t="shared" si="149"/>
        <v>0.1156205335790491</v>
      </c>
      <c r="I441" s="11">
        <f t="shared" si="150"/>
        <v>18690.36</v>
      </c>
      <c r="J441" s="11">
        <f t="shared" si="151"/>
        <v>17772.150000000001</v>
      </c>
      <c r="K441" s="12">
        <f>(B441-MAX($B$2:B441))/MAX($B$2:B441)</f>
        <v>-1.4597899665924044E-2</v>
      </c>
      <c r="L441" s="12">
        <f t="shared" si="152"/>
        <v>3.6313558010707681E-2</v>
      </c>
      <c r="M441" s="15">
        <f t="shared" si="146"/>
        <v>60.989970673728713</v>
      </c>
      <c r="N441" s="11">
        <f t="shared" si="139"/>
        <v>18407.79993889352</v>
      </c>
      <c r="O441" s="11">
        <f t="shared" si="140"/>
        <v>18153.408983334059</v>
      </c>
      <c r="P441" s="11">
        <f t="shared" si="136"/>
        <v>254.39095555946187</v>
      </c>
      <c r="Q441" s="11">
        <f t="shared" si="141"/>
        <v>254.2950612834349</v>
      </c>
      <c r="R441" s="11">
        <f t="shared" si="137"/>
        <v>9.5894276026967873E-2</v>
      </c>
      <c r="S441" s="9">
        <f t="shared" si="138"/>
        <v>100</v>
      </c>
      <c r="T441" s="14">
        <f t="shared" si="145"/>
        <v>0</v>
      </c>
      <c r="U441" s="14">
        <f t="shared" si="142"/>
        <v>6.2766235833352502E-3</v>
      </c>
      <c r="V441" s="14">
        <f t="shared" si="156"/>
        <v>3.3806683544761779E-3</v>
      </c>
      <c r="W441" s="14">
        <f t="shared" si="156"/>
        <v>2.1623222669841353E-3</v>
      </c>
      <c r="X441" s="16">
        <f t="shared" si="148"/>
        <v>1.5634433433418375</v>
      </c>
    </row>
    <row r="442" spans="1:24" x14ac:dyDescent="0.25">
      <c r="A442" s="10">
        <v>45824</v>
      </c>
      <c r="B442" s="11">
        <v>18178.61</v>
      </c>
      <c r="C442" s="12">
        <f t="shared" si="143"/>
        <v>-1.2971887637423518E-2</v>
      </c>
      <c r="D442" s="11">
        <f t="shared" si="153"/>
        <v>18252.972000000002</v>
      </c>
      <c r="E442" s="11">
        <f t="shared" si="157"/>
        <v>17651.488399999995</v>
      </c>
      <c r="F442" s="11">
        <f t="shared" si="155"/>
        <v>16316.832624999995</v>
      </c>
      <c r="G442" s="12">
        <f t="shared" si="144"/>
        <v>-1.3056757317422464E-2</v>
      </c>
      <c r="H442" s="19">
        <f t="shared" si="149"/>
        <v>0.11641681944684792</v>
      </c>
      <c r="I442" s="11">
        <f t="shared" si="150"/>
        <v>18690.36</v>
      </c>
      <c r="J442" s="11">
        <f t="shared" si="151"/>
        <v>17871.759999999998</v>
      </c>
      <c r="K442" s="12">
        <f>(B442-MAX($B$2:B442))/MAX($B$2:B442)</f>
        <v>-2.7380424989138785E-2</v>
      </c>
      <c r="L442" s="12">
        <f t="shared" si="152"/>
        <v>1.7169545696674726E-2</v>
      </c>
      <c r="M442" s="15">
        <f t="shared" si="146"/>
        <v>53.752102280623554</v>
      </c>
      <c r="N442" s="11">
        <f t="shared" si="139"/>
        <v>18372.539948294518</v>
      </c>
      <c r="O442" s="11">
        <f t="shared" si="140"/>
        <v>18155.275725309315</v>
      </c>
      <c r="P442" s="11">
        <f t="shared" si="136"/>
        <v>217.26422298520265</v>
      </c>
      <c r="Q442" s="11">
        <f t="shared" si="141"/>
        <v>246.88889362378845</v>
      </c>
      <c r="R442" s="11">
        <f t="shared" si="137"/>
        <v>-29.624670638585798</v>
      </c>
      <c r="S442" s="9">
        <f t="shared" si="138"/>
        <v>60</v>
      </c>
      <c r="T442" s="14">
        <f t="shared" si="145"/>
        <v>0</v>
      </c>
      <c r="U442" s="14">
        <f t="shared" si="142"/>
        <v>1.2971887637423518E-2</v>
      </c>
      <c r="V442" s="14">
        <f t="shared" si="156"/>
        <v>3.3806683544761779E-3</v>
      </c>
      <c r="W442" s="14">
        <f t="shared" si="156"/>
        <v>2.9087011976703142E-3</v>
      </c>
      <c r="X442" s="16">
        <f t="shared" si="148"/>
        <v>1.1622604470971027</v>
      </c>
    </row>
    <row r="443" spans="1:24" x14ac:dyDescent="0.25">
      <c r="A443" s="10">
        <v>45825</v>
      </c>
      <c r="B443" s="11">
        <v>18078.62</v>
      </c>
      <c r="C443" s="12">
        <f t="shared" si="143"/>
        <v>-5.5004205492059643E-3</v>
      </c>
      <c r="D443" s="11">
        <f t="shared" si="153"/>
        <v>18263.314999999995</v>
      </c>
      <c r="E443" s="11">
        <f t="shared" si="157"/>
        <v>17668.410999999993</v>
      </c>
      <c r="F443" s="11">
        <f t="shared" si="155"/>
        <v>16341.459187499995</v>
      </c>
      <c r="G443" s="12">
        <f t="shared" si="144"/>
        <v>-5.5156035632181405E-3</v>
      </c>
      <c r="H443" s="19">
        <f t="shared" si="149"/>
        <v>0.11744494222645782</v>
      </c>
      <c r="I443" s="11">
        <f t="shared" si="150"/>
        <v>18690.36</v>
      </c>
      <c r="J443" s="11">
        <f t="shared" si="151"/>
        <v>17920.91</v>
      </c>
      <c r="K443" s="12">
        <f>(B443-MAX($B$2:B443))/MAX($B$2:B443)</f>
        <v>-3.2730241686088526E-2</v>
      </c>
      <c r="L443" s="12">
        <f t="shared" si="152"/>
        <v>1.1302338382375154E-3</v>
      </c>
      <c r="M443" s="15">
        <f t="shared" si="146"/>
        <v>51.090478687462912</v>
      </c>
      <c r="N443" s="11">
        <f t="shared" si="139"/>
        <v>18327.321494710748</v>
      </c>
      <c r="O443" s="11">
        <f t="shared" si="140"/>
        <v>18149.59752343455</v>
      </c>
      <c r="P443" s="11">
        <f t="shared" si="136"/>
        <v>177.72397127619843</v>
      </c>
      <c r="Q443" s="11">
        <f t="shared" si="141"/>
        <v>233.05590915427044</v>
      </c>
      <c r="R443" s="11">
        <f t="shared" si="137"/>
        <v>-55.331937878072011</v>
      </c>
      <c r="S443" s="9">
        <f t="shared" si="138"/>
        <v>60</v>
      </c>
      <c r="T443" s="14">
        <f t="shared" si="145"/>
        <v>0</v>
      </c>
      <c r="U443" s="14">
        <f t="shared" si="142"/>
        <v>5.5004205492059643E-3</v>
      </c>
      <c r="V443" s="14">
        <f t="shared" si="156"/>
        <v>3.3806683544761779E-3</v>
      </c>
      <c r="W443" s="14">
        <f t="shared" si="156"/>
        <v>3.2363539191979968E-3</v>
      </c>
      <c r="X443" s="16">
        <f t="shared" si="148"/>
        <v>1.0445916728767242</v>
      </c>
    </row>
    <row r="444" spans="1:24" x14ac:dyDescent="0.25">
      <c r="A444" s="10">
        <v>45826</v>
      </c>
      <c r="B444" s="11">
        <v>17865.27</v>
      </c>
      <c r="C444" s="12">
        <f t="shared" si="143"/>
        <v>-1.1801232616206248E-2</v>
      </c>
      <c r="D444" s="11">
        <f t="shared" si="153"/>
        <v>18253.667999999998</v>
      </c>
      <c r="E444" s="11">
        <f t="shared" si="157"/>
        <v>17700.510399999999</v>
      </c>
      <c r="F444" s="11">
        <f t="shared" si="155"/>
        <v>16364.482562499999</v>
      </c>
      <c r="G444" s="12">
        <f t="shared" si="144"/>
        <v>-1.1871419906021708E-2</v>
      </c>
      <c r="H444" s="19">
        <f t="shared" si="149"/>
        <v>0.1193530804916451</v>
      </c>
      <c r="I444" s="11">
        <f t="shared" si="150"/>
        <v>18690.36</v>
      </c>
      <c r="J444" s="11">
        <f t="shared" si="151"/>
        <v>17865.27</v>
      </c>
      <c r="K444" s="12">
        <f>(B444-MAX($B$2:B444))/MAX($B$2:B444)</f>
        <v>-4.4145217106572592E-2</v>
      </c>
      <c r="L444" s="12">
        <f t="shared" si="152"/>
        <v>-8.89292266485886E-3</v>
      </c>
      <c r="M444" s="15">
        <f t="shared" si="146"/>
        <v>46.644181804739254</v>
      </c>
      <c r="N444" s="11">
        <f t="shared" si="139"/>
        <v>18256.236649370632</v>
      </c>
      <c r="O444" s="11">
        <f t="shared" si="140"/>
        <v>18128.53622540236</v>
      </c>
      <c r="P444" s="11">
        <f t="shared" si="136"/>
        <v>127.70042396827193</v>
      </c>
      <c r="Q444" s="11">
        <f t="shared" si="141"/>
        <v>211.98481211707076</v>
      </c>
      <c r="R444" s="11">
        <f t="shared" si="137"/>
        <v>-84.284388148798826</v>
      </c>
      <c r="S444" s="9">
        <f t="shared" si="138"/>
        <v>60</v>
      </c>
      <c r="T444" s="14">
        <f t="shared" si="145"/>
        <v>0</v>
      </c>
      <c r="U444" s="14">
        <f t="shared" si="142"/>
        <v>1.1801232616206248E-2</v>
      </c>
      <c r="V444" s="14">
        <f t="shared" si="156"/>
        <v>3.3806683544761779E-3</v>
      </c>
      <c r="W444" s="14">
        <f t="shared" si="156"/>
        <v>3.8671130915104829E-3</v>
      </c>
      <c r="X444" s="16">
        <f t="shared" si="148"/>
        <v>0.87420984969324977</v>
      </c>
    </row>
    <row r="445" spans="1:24" x14ac:dyDescent="0.25">
      <c r="A445" s="10">
        <v>45827</v>
      </c>
      <c r="B445" s="11">
        <v>17626.43</v>
      </c>
      <c r="C445" s="12">
        <f t="shared" si="143"/>
        <v>-1.3368955520963288E-2</v>
      </c>
      <c r="D445" s="11">
        <f t="shared" si="153"/>
        <v>18233.710999999999</v>
      </c>
      <c r="E445" s="11">
        <f t="shared" si="157"/>
        <v>17723.457799999996</v>
      </c>
      <c r="F445" s="11">
        <f t="shared" si="155"/>
        <v>16385.82475</v>
      </c>
      <c r="G445" s="12">
        <f t="shared" si="144"/>
        <v>-1.3459124552434077E-2</v>
      </c>
      <c r="H445" s="19">
        <f t="shared" si="149"/>
        <v>0.1278607047183567</v>
      </c>
      <c r="I445" s="11">
        <f t="shared" si="150"/>
        <v>18690.36</v>
      </c>
      <c r="J445" s="11">
        <f t="shared" si="151"/>
        <v>17626.43</v>
      </c>
      <c r="K445" s="12">
        <f>(B445-MAX($B$2:B445))/MAX($B$2:B445)</f>
        <v>-5.6923997183574861E-2</v>
      </c>
      <c r="L445" s="12">
        <f t="shared" si="152"/>
        <v>-2.786130291866129E-2</v>
      </c>
      <c r="M445" s="15">
        <f t="shared" si="146"/>
        <v>42.780425357451385</v>
      </c>
      <c r="N445" s="11">
        <f t="shared" si="139"/>
        <v>18159.343318698226</v>
      </c>
      <c r="O445" s="11">
        <f t="shared" si="140"/>
        <v>18091.343171668854</v>
      </c>
      <c r="P445" s="11">
        <f t="shared" si="136"/>
        <v>68.000147029371874</v>
      </c>
      <c r="Q445" s="11">
        <f t="shared" si="141"/>
        <v>183.18787909953099</v>
      </c>
      <c r="R445" s="11">
        <f t="shared" si="137"/>
        <v>-115.18773207015911</v>
      </c>
      <c r="S445" s="9">
        <f t="shared" si="138"/>
        <v>60</v>
      </c>
      <c r="T445" s="14">
        <f t="shared" si="145"/>
        <v>0</v>
      </c>
      <c r="U445" s="14">
        <f t="shared" si="142"/>
        <v>1.3368955520963288E-2</v>
      </c>
      <c r="V445" s="14">
        <f t="shared" si="156"/>
        <v>3.3806683544761779E-3</v>
      </c>
      <c r="W445" s="14">
        <f t="shared" si="156"/>
        <v>4.5217036444673564E-3</v>
      </c>
      <c r="X445" s="16">
        <f t="shared" si="148"/>
        <v>0.74765367664302351</v>
      </c>
    </row>
    <row r="446" spans="1:24" x14ac:dyDescent="0.25">
      <c r="A446" s="10">
        <v>45828</v>
      </c>
      <c r="B446" s="11">
        <v>17957.330000000002</v>
      </c>
      <c r="C446" s="12">
        <f t="shared" si="143"/>
        <v>1.877294494687809E-2</v>
      </c>
      <c r="D446" s="11">
        <f t="shared" si="153"/>
        <v>18224.997500000001</v>
      </c>
      <c r="E446" s="11">
        <f t="shared" si="157"/>
        <v>17762.050199999998</v>
      </c>
      <c r="F446" s="11">
        <f t="shared" si="155"/>
        <v>16409.009750000001</v>
      </c>
      <c r="G446" s="12">
        <f t="shared" si="144"/>
        <v>1.8598907966546698E-2</v>
      </c>
      <c r="H446" s="19">
        <f t="shared" si="149"/>
        <v>0.14405126376720528</v>
      </c>
      <c r="I446" s="11">
        <f t="shared" si="150"/>
        <v>18690.36</v>
      </c>
      <c r="J446" s="11">
        <f t="shared" si="151"/>
        <v>17626.43</v>
      </c>
      <c r="K446" s="12">
        <f>(B446-MAX($B$2:B446))/MAX($B$2:B446)</f>
        <v>-3.921968330198021E-2</v>
      </c>
      <c r="L446" s="12">
        <f t="shared" si="152"/>
        <v>-8.5609905705430478E-3</v>
      </c>
      <c r="M446" s="15">
        <f t="shared" si="146"/>
        <v>49.888482993995638</v>
      </c>
      <c r="N446" s="11">
        <f t="shared" si="139"/>
        <v>18128.264346590808</v>
      </c>
      <c r="O446" s="11">
        <f t="shared" si="140"/>
        <v>18081.416270063753</v>
      </c>
      <c r="P446" s="11">
        <f t="shared" si="136"/>
        <v>46.848076527054218</v>
      </c>
      <c r="Q446" s="11">
        <f t="shared" si="141"/>
        <v>155.91991858503562</v>
      </c>
      <c r="R446" s="11">
        <f t="shared" si="137"/>
        <v>-109.0718420579814</v>
      </c>
      <c r="S446" s="9">
        <f t="shared" si="138"/>
        <v>60</v>
      </c>
      <c r="T446" s="14">
        <f t="shared" si="145"/>
        <v>1.877294494687809E-2</v>
      </c>
      <c r="U446" s="14">
        <f t="shared" si="142"/>
        <v>0</v>
      </c>
      <c r="V446" s="14">
        <f t="shared" si="156"/>
        <v>4.5015786559378891E-3</v>
      </c>
      <c r="W446" s="14">
        <f t="shared" si="156"/>
        <v>4.5217036444673564E-3</v>
      </c>
      <c r="X446" s="16">
        <f t="shared" si="148"/>
        <v>0.99554924645402365</v>
      </c>
    </row>
    <row r="447" spans="1:24" x14ac:dyDescent="0.25">
      <c r="A447" s="10">
        <v>45831</v>
      </c>
      <c r="B447" s="11">
        <v>17754.25</v>
      </c>
      <c r="C447" s="12">
        <f t="shared" si="143"/>
        <v>-1.1309030908269846E-2</v>
      </c>
      <c r="D447" s="11">
        <f t="shared" si="153"/>
        <v>18207.090499999998</v>
      </c>
      <c r="E447" s="11">
        <f t="shared" si="157"/>
        <v>17789.584599999998</v>
      </c>
      <c r="F447" s="11">
        <f t="shared" si="155"/>
        <v>16431.334312500003</v>
      </c>
      <c r="G447" s="12">
        <f t="shared" si="144"/>
        <v>-1.1373464244635718E-2</v>
      </c>
      <c r="H447" s="19">
        <f t="shared" si="149"/>
        <v>0.14916058850268685</v>
      </c>
      <c r="I447" s="11">
        <f t="shared" si="150"/>
        <v>18690.36</v>
      </c>
      <c r="J447" s="11">
        <f t="shared" si="151"/>
        <v>17626.43</v>
      </c>
      <c r="K447" s="12">
        <f>(B447-MAX($B$2:B447))/MAX($B$2:B447)</f>
        <v>-5.0085177599575426E-2</v>
      </c>
      <c r="L447" s="12">
        <f t="shared" si="152"/>
        <v>-1.7294248534596823E-2</v>
      </c>
      <c r="M447" s="15">
        <f t="shared" si="146"/>
        <v>40.575156757540867</v>
      </c>
      <c r="N447" s="11">
        <f t="shared" si="139"/>
        <v>18070.723677884529</v>
      </c>
      <c r="O447" s="11">
        <f t="shared" si="140"/>
        <v>18057.181731540513</v>
      </c>
      <c r="P447" s="11">
        <f t="shared" si="136"/>
        <v>13.541946344015741</v>
      </c>
      <c r="Q447" s="11">
        <f t="shared" si="141"/>
        <v>127.44432413683164</v>
      </c>
      <c r="R447" s="11">
        <f t="shared" si="137"/>
        <v>-113.9023777928159</v>
      </c>
      <c r="S447" s="9">
        <f t="shared" si="138"/>
        <v>60</v>
      </c>
      <c r="T447" s="14">
        <f t="shared" si="145"/>
        <v>0</v>
      </c>
      <c r="U447" s="14">
        <f t="shared" si="142"/>
        <v>1.1309030908269846E-2</v>
      </c>
      <c r="V447" s="14">
        <f t="shared" si="156"/>
        <v>3.6389655226499568E-3</v>
      </c>
      <c r="W447" s="14">
        <f t="shared" si="156"/>
        <v>5.3294915664866315E-3</v>
      </c>
      <c r="X447" s="16">
        <f t="shared" si="148"/>
        <v>0.68279787616755294</v>
      </c>
    </row>
    <row r="448" spans="1:24" x14ac:dyDescent="0.25">
      <c r="A448" s="10">
        <v>45832</v>
      </c>
      <c r="B448" s="11">
        <v>18224.189999999999</v>
      </c>
      <c r="C448" s="12">
        <f t="shared" si="143"/>
        <v>2.6469155272681011E-2</v>
      </c>
      <c r="D448" s="11">
        <f t="shared" si="153"/>
        <v>18214.965000000004</v>
      </c>
      <c r="E448" s="11">
        <f t="shared" si="157"/>
        <v>17832.658599999995</v>
      </c>
      <c r="F448" s="11">
        <f t="shared" si="155"/>
        <v>16456.684875000003</v>
      </c>
      <c r="G448" s="12">
        <f t="shared" si="144"/>
        <v>2.6124908581823158E-2</v>
      </c>
      <c r="H448" s="19">
        <f t="shared" si="149"/>
        <v>0.17728808160734433</v>
      </c>
      <c r="I448" s="11">
        <f t="shared" si="150"/>
        <v>18690.36</v>
      </c>
      <c r="J448" s="11">
        <f t="shared" si="151"/>
        <v>17626.43</v>
      </c>
      <c r="K448" s="12">
        <f>(B448-MAX($B$2:B448))/MAX($B$2:B448)</f>
        <v>-2.4941734669637283E-2</v>
      </c>
      <c r="L448" s="12">
        <f t="shared" si="152"/>
        <v>9.6392283742008367E-3</v>
      </c>
      <c r="M448" s="15">
        <f t="shared" si="146"/>
        <v>48.452440899008437</v>
      </c>
      <c r="N448" s="11">
        <f t="shared" si="139"/>
        <v>18094.333881286908</v>
      </c>
      <c r="O448" s="11">
        <f t="shared" si="140"/>
        <v>18069.552714389363</v>
      </c>
      <c r="P448" s="11">
        <f t="shared" si="136"/>
        <v>24.781166897544608</v>
      </c>
      <c r="Q448" s="11">
        <f t="shared" si="141"/>
        <v>106.91169268897423</v>
      </c>
      <c r="R448" s="11">
        <f t="shared" si="137"/>
        <v>-82.130525791429619</v>
      </c>
      <c r="S448" s="9">
        <f t="shared" si="138"/>
        <v>60</v>
      </c>
      <c r="T448" s="14">
        <f t="shared" si="145"/>
        <v>2.6469155272681011E-2</v>
      </c>
      <c r="U448" s="14">
        <f t="shared" si="142"/>
        <v>0</v>
      </c>
      <c r="V448" s="14">
        <f t="shared" ref="V448:W463" si="158">AVERAGE(T435:T448)</f>
        <v>5.0094879301858198E-3</v>
      </c>
      <c r="W448" s="14">
        <f t="shared" si="158"/>
        <v>5.3294915664866315E-3</v>
      </c>
      <c r="X448" s="16">
        <f t="shared" si="148"/>
        <v>0.93995606667002041</v>
      </c>
    </row>
    <row r="449" spans="1:24" x14ac:dyDescent="0.25">
      <c r="A449" s="10">
        <v>45833</v>
      </c>
      <c r="B449" s="11">
        <v>18405.66</v>
      </c>
      <c r="C449" s="12">
        <f t="shared" si="143"/>
        <v>9.9576442080553385E-3</v>
      </c>
      <c r="D449" s="11">
        <f t="shared" si="153"/>
        <v>18232.738000000001</v>
      </c>
      <c r="E449" s="11">
        <f t="shared" si="157"/>
        <v>17869.174999999999</v>
      </c>
      <c r="F449" s="11">
        <f t="shared" si="155"/>
        <v>16482.533000000007</v>
      </c>
      <c r="G449" s="12">
        <f t="shared" si="144"/>
        <v>9.9083935461435329E-3</v>
      </c>
      <c r="H449" s="19">
        <f t="shared" si="149"/>
        <v>0.18033266896153544</v>
      </c>
      <c r="I449" s="11">
        <f t="shared" si="150"/>
        <v>18690.36</v>
      </c>
      <c r="J449" s="11">
        <f t="shared" si="151"/>
        <v>17626.43</v>
      </c>
      <c r="K449" s="12">
        <f>(B449-MAX($B$2:B449))/MAX($B$2:B449)</f>
        <v>-1.5232451381353849E-2</v>
      </c>
      <c r="L449" s="12">
        <f t="shared" si="152"/>
        <v>2.2730985553921723E-2</v>
      </c>
      <c r="M449" s="15">
        <f t="shared" si="146"/>
        <v>45.573076419395932</v>
      </c>
      <c r="N449" s="11">
        <f t="shared" si="139"/>
        <v>18142.23020724277</v>
      </c>
      <c r="O449" s="11">
        <f t="shared" si="140"/>
        <v>18094.449550360521</v>
      </c>
      <c r="P449" s="11">
        <f t="shared" si="136"/>
        <v>47.780656882248877</v>
      </c>
      <c r="Q449" s="11">
        <f t="shared" si="141"/>
        <v>95.08548552762916</v>
      </c>
      <c r="R449" s="11">
        <f t="shared" si="137"/>
        <v>-47.304828645380283</v>
      </c>
      <c r="S449" s="9">
        <f t="shared" si="138"/>
        <v>60</v>
      </c>
      <c r="T449" s="14">
        <f t="shared" si="145"/>
        <v>9.9576442080553385E-3</v>
      </c>
      <c r="U449" s="14">
        <f t="shared" si="142"/>
        <v>0</v>
      </c>
      <c r="V449" s="14">
        <f t="shared" si="158"/>
        <v>4.4625216796669387E-3</v>
      </c>
      <c r="W449" s="14">
        <f t="shared" si="158"/>
        <v>5.3294915664866315E-3</v>
      </c>
      <c r="X449" s="16">
        <f t="shared" si="148"/>
        <v>0.8373259670263018</v>
      </c>
    </row>
    <row r="450" spans="1:24" x14ac:dyDescent="0.25">
      <c r="A450" s="10">
        <v>45834</v>
      </c>
      <c r="B450" s="11">
        <v>18474.97</v>
      </c>
      <c r="C450" s="12">
        <f t="shared" si="143"/>
        <v>3.7656894672617458E-3</v>
      </c>
      <c r="D450" s="11">
        <f t="shared" si="153"/>
        <v>18256.657500000001</v>
      </c>
      <c r="E450" s="11">
        <f t="shared" si="157"/>
        <v>17897.535400000001</v>
      </c>
      <c r="F450" s="11">
        <f t="shared" si="155"/>
        <v>16508.625812500009</v>
      </c>
      <c r="G450" s="12">
        <f t="shared" si="144"/>
        <v>3.7586170082422538E-3</v>
      </c>
      <c r="H450" s="19">
        <f t="shared" si="149"/>
        <v>0.1799600467152207</v>
      </c>
      <c r="I450" s="11">
        <f t="shared" si="150"/>
        <v>18690.36</v>
      </c>
      <c r="J450" s="11">
        <f t="shared" si="151"/>
        <v>17626.43</v>
      </c>
      <c r="K450" s="12">
        <f>(B450-MAX($B$2:B450))/MAX($B$2:B450)</f>
        <v>-1.1524122595819418E-2</v>
      </c>
      <c r="L450" s="12">
        <f t="shared" si="152"/>
        <v>3.0916956784002636E-2</v>
      </c>
      <c r="M450" s="15">
        <f t="shared" si="146"/>
        <v>46.170112498678932</v>
      </c>
      <c r="N450" s="11">
        <f t="shared" si="139"/>
        <v>18193.420944590034</v>
      </c>
      <c r="O450" s="11">
        <f t="shared" si="140"/>
        <v>18122.636250333817</v>
      </c>
      <c r="P450" s="11">
        <f t="shared" ref="P450:P513" si="159">N450-O450</f>
        <v>70.784694256217335</v>
      </c>
      <c r="Q450" s="11">
        <f t="shared" si="141"/>
        <v>90.225327273346792</v>
      </c>
      <c r="R450" s="11">
        <f t="shared" ref="R450:R513" si="160">P450-Q450</f>
        <v>-19.440633017129457</v>
      </c>
      <c r="S450" s="9">
        <f t="shared" ref="S450:S513" si="161">IF(AND(D450&gt;E450,P450&gt;Q450),100,IF(OR(D450&gt;E450,P450&gt;Q450),60,20))</f>
        <v>60</v>
      </c>
      <c r="T450" s="14">
        <f t="shared" si="145"/>
        <v>3.7656894672617458E-3</v>
      </c>
      <c r="U450" s="14">
        <f t="shared" si="142"/>
        <v>0</v>
      </c>
      <c r="V450" s="14">
        <f t="shared" si="158"/>
        <v>4.5711264988136857E-3</v>
      </c>
      <c r="W450" s="14">
        <f t="shared" si="158"/>
        <v>5.3294915664866315E-3</v>
      </c>
      <c r="X450" s="16">
        <f t="shared" si="148"/>
        <v>0.85770404958668811</v>
      </c>
    </row>
    <row r="451" spans="1:24" x14ac:dyDescent="0.25">
      <c r="A451" s="10">
        <v>45838</v>
      </c>
      <c r="B451" s="11">
        <v>18296.599999999999</v>
      </c>
      <c r="C451" s="12">
        <f t="shared" si="143"/>
        <v>-9.6546841483370338E-3</v>
      </c>
      <c r="D451" s="11">
        <f t="shared" si="153"/>
        <v>18275.441999999999</v>
      </c>
      <c r="E451" s="11">
        <f t="shared" si="157"/>
        <v>17920.984799999998</v>
      </c>
      <c r="F451" s="11">
        <f t="shared" si="155"/>
        <v>16533.623750000006</v>
      </c>
      <c r="G451" s="12">
        <f t="shared" si="144"/>
        <v>-9.7015927808678827E-3</v>
      </c>
      <c r="H451" s="19">
        <f t="shared" si="149"/>
        <v>0.18321973976530684</v>
      </c>
      <c r="I451" s="11">
        <f t="shared" si="150"/>
        <v>18690.36</v>
      </c>
      <c r="J451" s="11">
        <f t="shared" si="151"/>
        <v>17626.43</v>
      </c>
      <c r="K451" s="12">
        <f>(B451-MAX($B$2:B451))/MAX($B$2:B451)</f>
        <v>-2.1067544980407121E-2</v>
      </c>
      <c r="L451" s="12">
        <f t="shared" si="152"/>
        <v>1.7828662597191292E-2</v>
      </c>
      <c r="M451" s="15">
        <f t="shared" si="146"/>
        <v>45.252030499633939</v>
      </c>
      <c r="N451" s="11">
        <f t="shared" ref="N451:N514" si="162">(B451*(2/13))+N450*(1-2/13)</f>
        <v>18209.294645422335</v>
      </c>
      <c r="O451" s="11">
        <f t="shared" ref="O451:O514" si="163">(B451*(2/27))+O450*(1-2/27)</f>
        <v>18135.522454012793</v>
      </c>
      <c r="P451" s="11">
        <f t="shared" si="159"/>
        <v>73.772191409541847</v>
      </c>
      <c r="Q451" s="11">
        <f t="shared" ref="Q451:Q514" si="164">(P451*(2/10))+Q450*(1-2/10)</f>
        <v>86.934700100585815</v>
      </c>
      <c r="R451" s="11">
        <f t="shared" si="160"/>
        <v>-13.162508691043968</v>
      </c>
      <c r="S451" s="9">
        <f t="shared" si="161"/>
        <v>60</v>
      </c>
      <c r="T451" s="14">
        <f t="shared" si="145"/>
        <v>0</v>
      </c>
      <c r="U451" s="14">
        <f t="shared" ref="U451:U514" si="165">ABS(MIN(C451,0))</f>
        <v>9.6546841483370338E-3</v>
      </c>
      <c r="V451" s="14">
        <f t="shared" si="158"/>
        <v>4.5711264988136857E-3</v>
      </c>
      <c r="W451" s="14">
        <f t="shared" si="158"/>
        <v>5.5303572320669946E-3</v>
      </c>
      <c r="X451" s="16">
        <f t="shared" si="148"/>
        <v>0.82655175913567658</v>
      </c>
    </row>
    <row r="452" spans="1:24" x14ac:dyDescent="0.25">
      <c r="A452" s="10">
        <v>45839</v>
      </c>
      <c r="B452" s="11">
        <v>18411.21</v>
      </c>
      <c r="C452" s="12">
        <f t="shared" ref="C452:C515" si="166">(B452/B451)-1</f>
        <v>6.2640053343243629E-3</v>
      </c>
      <c r="D452" s="11">
        <f t="shared" si="153"/>
        <v>18297.197</v>
      </c>
      <c r="E452" s="11">
        <f t="shared" si="157"/>
        <v>17945.699399999998</v>
      </c>
      <c r="F452" s="11">
        <f t="shared" si="155"/>
        <v>16558.145875000009</v>
      </c>
      <c r="G452" s="12">
        <f t="shared" ref="G452:G515" si="167">LN(B452/B451)</f>
        <v>6.2444679984469884E-3</v>
      </c>
      <c r="H452" s="19">
        <f t="shared" si="149"/>
        <v>0.1840308049584117</v>
      </c>
      <c r="I452" s="11">
        <f t="shared" si="150"/>
        <v>18690.36</v>
      </c>
      <c r="J452" s="11">
        <f t="shared" si="151"/>
        <v>17626.43</v>
      </c>
      <c r="K452" s="12">
        <f>(B452-MAX($B$2:B452))/MAX($B$2:B452)</f>
        <v>-1.4935506860221069E-2</v>
      </c>
      <c r="L452" s="12">
        <f t="shared" si="152"/>
        <v>1.1983048611569069E-2</v>
      </c>
      <c r="M452" s="15">
        <f t="shared" si="146"/>
        <v>45.980802115498427</v>
      </c>
      <c r="N452" s="11">
        <f t="shared" si="162"/>
        <v>18240.35854612659</v>
      </c>
      <c r="O452" s="11">
        <f t="shared" si="163"/>
        <v>18155.94375371555</v>
      </c>
      <c r="P452" s="11">
        <f t="shared" si="159"/>
        <v>84.414792411040253</v>
      </c>
      <c r="Q452" s="11">
        <f t="shared" si="164"/>
        <v>86.430718562676702</v>
      </c>
      <c r="R452" s="11">
        <f t="shared" si="160"/>
        <v>-2.0159261516364495</v>
      </c>
      <c r="S452" s="9">
        <f t="shared" si="161"/>
        <v>60</v>
      </c>
      <c r="T452" s="14">
        <f t="shared" ref="T452:T515" si="168">MAX(C452,0)</f>
        <v>6.2640053343243629E-3</v>
      </c>
      <c r="U452" s="14">
        <f t="shared" si="165"/>
        <v>0</v>
      </c>
      <c r="V452" s="14">
        <f t="shared" si="158"/>
        <v>4.707405357246992E-3</v>
      </c>
      <c r="W452" s="14">
        <f t="shared" si="158"/>
        <v>5.5303572320669946E-3</v>
      </c>
      <c r="X452" s="16">
        <f t="shared" si="148"/>
        <v>0.85119372216170186</v>
      </c>
    </row>
    <row r="453" spans="1:24" x14ac:dyDescent="0.25">
      <c r="A453" s="10">
        <v>45840</v>
      </c>
      <c r="B453" s="11">
        <v>18517.45</v>
      </c>
      <c r="C453" s="12">
        <f t="shared" si="166"/>
        <v>5.7703974915284117E-3</v>
      </c>
      <c r="D453" s="11">
        <f t="shared" si="153"/>
        <v>18313.409499999998</v>
      </c>
      <c r="E453" s="11">
        <f t="shared" si="157"/>
        <v>17971.174599999998</v>
      </c>
      <c r="F453" s="11">
        <f t="shared" si="155"/>
        <v>16582.234812500006</v>
      </c>
      <c r="G453" s="12">
        <f t="shared" si="167"/>
        <v>5.7538125185949513E-3</v>
      </c>
      <c r="H453" s="19">
        <f t="shared" si="149"/>
        <v>0.18046479791207723</v>
      </c>
      <c r="I453" s="11">
        <f t="shared" si="150"/>
        <v>18690.36</v>
      </c>
      <c r="J453" s="11">
        <f t="shared" si="151"/>
        <v>17626.43</v>
      </c>
      <c r="K453" s="12">
        <f>(B453-MAX($B$2:B453))/MAX($B$2:B453)</f>
        <v>-9.2512931800136453E-3</v>
      </c>
      <c r="L453" s="12">
        <f t="shared" si="152"/>
        <v>1.046455029226756E-2</v>
      </c>
      <c r="M453" s="15">
        <f t="shared" si="146"/>
        <v>47.835549421478213</v>
      </c>
      <c r="N453" s="11">
        <f t="shared" si="162"/>
        <v>18282.988000568654</v>
      </c>
      <c r="O453" s="11">
        <f t="shared" si="163"/>
        <v>18182.721994181065</v>
      </c>
      <c r="P453" s="11">
        <f t="shared" si="159"/>
        <v>100.26600638758828</v>
      </c>
      <c r="Q453" s="11">
        <f t="shared" si="164"/>
        <v>89.197776127659026</v>
      </c>
      <c r="R453" s="11">
        <f t="shared" si="160"/>
        <v>11.068230259929251</v>
      </c>
      <c r="S453" s="9">
        <f t="shared" si="161"/>
        <v>100</v>
      </c>
      <c r="T453" s="14">
        <f t="shared" si="168"/>
        <v>5.7703974915284117E-3</v>
      </c>
      <c r="U453" s="14">
        <f t="shared" si="165"/>
        <v>0</v>
      </c>
      <c r="V453" s="14">
        <f t="shared" si="158"/>
        <v>5.0714169086234972E-3</v>
      </c>
      <c r="W453" s="14">
        <f t="shared" si="158"/>
        <v>5.5303572320669946E-3</v>
      </c>
      <c r="X453" s="16">
        <f t="shared" si="148"/>
        <v>0.91701434388679326</v>
      </c>
    </row>
    <row r="454" spans="1:24" x14ac:dyDescent="0.25">
      <c r="A454" s="10">
        <v>45841</v>
      </c>
      <c r="B454" s="11">
        <v>18590.45</v>
      </c>
      <c r="C454" s="12">
        <f t="shared" si="166"/>
        <v>3.9422274665248391E-3</v>
      </c>
      <c r="D454" s="11">
        <f t="shared" si="153"/>
        <v>18326.648000000001</v>
      </c>
      <c r="E454" s="11">
        <f t="shared" si="157"/>
        <v>17997.605399999997</v>
      </c>
      <c r="F454" s="11">
        <f t="shared" si="155"/>
        <v>16606.60475000001</v>
      </c>
      <c r="G454" s="12">
        <f t="shared" si="167"/>
        <v>3.9344772498930277E-3</v>
      </c>
      <c r="H454" s="19">
        <f t="shared" si="149"/>
        <v>0.17929071696761475</v>
      </c>
      <c r="I454" s="11">
        <f t="shared" si="150"/>
        <v>18690.36</v>
      </c>
      <c r="J454" s="11">
        <f t="shared" si="151"/>
        <v>17626.43</v>
      </c>
      <c r="K454" s="12">
        <f>(B454-MAX($B$2:B454))/MAX($B$2:B454)</f>
        <v>-5.345536415563951E-3</v>
      </c>
      <c r="L454" s="12">
        <f t="shared" si="152"/>
        <v>-3.1123163323143466E-3</v>
      </c>
      <c r="M454" s="15">
        <f t="shared" si="146"/>
        <v>51.391816228622766</v>
      </c>
      <c r="N454" s="11">
        <f t="shared" si="162"/>
        <v>18330.289846635016</v>
      </c>
      <c r="O454" s="11">
        <f t="shared" si="163"/>
        <v>18212.92406868617</v>
      </c>
      <c r="P454" s="11">
        <f t="shared" si="159"/>
        <v>117.36577794884579</v>
      </c>
      <c r="Q454" s="11">
        <f t="shared" si="164"/>
        <v>94.831376491896393</v>
      </c>
      <c r="R454" s="11">
        <f t="shared" si="160"/>
        <v>22.534401456949396</v>
      </c>
      <c r="S454" s="9">
        <f t="shared" si="161"/>
        <v>100</v>
      </c>
      <c r="T454" s="14">
        <f t="shared" si="168"/>
        <v>3.9422274665248391E-3</v>
      </c>
      <c r="U454" s="14">
        <f t="shared" si="165"/>
        <v>0</v>
      </c>
      <c r="V454" s="14">
        <f t="shared" si="158"/>
        <v>5.3530045848038431E-3</v>
      </c>
      <c r="W454" s="14">
        <f t="shared" si="158"/>
        <v>5.0630596402672246E-3</v>
      </c>
      <c r="X454" s="16">
        <f t="shared" si="148"/>
        <v>1.0572667448415274</v>
      </c>
    </row>
    <row r="455" spans="1:24" x14ac:dyDescent="0.25">
      <c r="A455" s="10">
        <v>45842</v>
      </c>
      <c r="B455" s="11">
        <v>18648.61</v>
      </c>
      <c r="C455" s="12">
        <f t="shared" si="166"/>
        <v>3.1284880140072246E-3</v>
      </c>
      <c r="D455" s="11">
        <f t="shared" si="153"/>
        <v>18326.654000000002</v>
      </c>
      <c r="E455" s="11">
        <f t="shared" si="157"/>
        <v>18026.468999999997</v>
      </c>
      <c r="F455" s="11">
        <f t="shared" si="155"/>
        <v>16631.595937500009</v>
      </c>
      <c r="G455" s="12">
        <f t="shared" si="167"/>
        <v>3.1236044781183434E-3</v>
      </c>
      <c r="H455" s="19">
        <f t="shared" si="149"/>
        <v>0.16842472128445399</v>
      </c>
      <c r="I455" s="11">
        <f t="shared" si="150"/>
        <v>18690.36</v>
      </c>
      <c r="J455" s="11">
        <f t="shared" si="151"/>
        <v>17626.43</v>
      </c>
      <c r="K455" s="12">
        <f>(B455-MAX($B$2:B455))/MAX($B$2:B455)</f>
        <v>-2.233771848161298E-3</v>
      </c>
      <c r="L455" s="12">
        <f t="shared" si="152"/>
        <v>-2.2337718481613145E-3</v>
      </c>
      <c r="M455" s="15">
        <f t="shared" si="146"/>
        <v>54.718477095658344</v>
      </c>
      <c r="N455" s="11">
        <f t="shared" si="162"/>
        <v>18379.262177921937</v>
      </c>
      <c r="O455" s="11">
        <f t="shared" si="163"/>
        <v>18245.197100635345</v>
      </c>
      <c r="P455" s="11">
        <f t="shared" si="159"/>
        <v>134.06507728659199</v>
      </c>
      <c r="Q455" s="11">
        <f t="shared" si="164"/>
        <v>102.67811665083552</v>
      </c>
      <c r="R455" s="11">
        <f t="shared" si="160"/>
        <v>31.386960635756466</v>
      </c>
      <c r="S455" s="9">
        <f t="shared" si="161"/>
        <v>100</v>
      </c>
      <c r="T455" s="14">
        <f t="shared" si="168"/>
        <v>3.1284880140072246E-3</v>
      </c>
      <c r="U455" s="14">
        <f t="shared" si="165"/>
        <v>0</v>
      </c>
      <c r="V455" s="14">
        <f t="shared" si="158"/>
        <v>5.5764680143757872E-3</v>
      </c>
      <c r="W455" s="14">
        <f t="shared" si="158"/>
        <v>4.6147293843147074E-3</v>
      </c>
      <c r="X455" s="16">
        <f t="shared" si="148"/>
        <v>1.2084062899397727</v>
      </c>
    </row>
    <row r="456" spans="1:24" x14ac:dyDescent="0.25">
      <c r="A456" s="10">
        <v>45845</v>
      </c>
      <c r="B456" s="11">
        <v>18808.5</v>
      </c>
      <c r="C456" s="12">
        <f t="shared" si="166"/>
        <v>8.5738293631536511E-3</v>
      </c>
      <c r="D456" s="11">
        <f t="shared" si="153"/>
        <v>18332.561000000002</v>
      </c>
      <c r="E456" s="11">
        <f t="shared" si="157"/>
        <v>18058.161399999997</v>
      </c>
      <c r="F456" s="11">
        <f t="shared" si="155"/>
        <v>16657.410937500008</v>
      </c>
      <c r="G456" s="12">
        <f t="shared" si="167"/>
        <v>8.5372828354002544E-3</v>
      </c>
      <c r="H456" s="19">
        <f t="shared" si="149"/>
        <v>0.17099864151761665</v>
      </c>
      <c r="I456" s="11">
        <f t="shared" si="150"/>
        <v>18808.5</v>
      </c>
      <c r="J456" s="11">
        <f t="shared" si="151"/>
        <v>17626.43</v>
      </c>
      <c r="K456" s="12">
        <f>(B456-MAX($B$2:B456))/MAX($B$2:B456)</f>
        <v>0</v>
      </c>
      <c r="L456" s="12">
        <f t="shared" si="152"/>
        <v>1.3254162835010685E-2</v>
      </c>
      <c r="M456" s="15">
        <f t="shared" si="146"/>
        <v>62.659236917066892</v>
      </c>
      <c r="N456" s="11">
        <f t="shared" si="162"/>
        <v>18445.298765933949</v>
      </c>
      <c r="O456" s="11">
        <f t="shared" si="163"/>
        <v>18286.923241329023</v>
      </c>
      <c r="P456" s="11">
        <f t="shared" si="159"/>
        <v>158.37552460492589</v>
      </c>
      <c r="Q456" s="11">
        <f t="shared" si="164"/>
        <v>113.8175982416536</v>
      </c>
      <c r="R456" s="11">
        <f t="shared" si="160"/>
        <v>44.557926363272287</v>
      </c>
      <c r="S456" s="9">
        <f t="shared" si="161"/>
        <v>100</v>
      </c>
      <c r="T456" s="14">
        <f t="shared" si="168"/>
        <v>8.5738293631536511E-3</v>
      </c>
      <c r="U456" s="14">
        <f t="shared" si="165"/>
        <v>0</v>
      </c>
      <c r="V456" s="14">
        <f t="shared" si="158"/>
        <v>6.1888843974581909E-3</v>
      </c>
      <c r="W456" s="14">
        <f t="shared" si="158"/>
        <v>3.6881659816415985E-3</v>
      </c>
      <c r="X456" s="16">
        <f t="shared" si="148"/>
        <v>1.6780384690559738</v>
      </c>
    </row>
    <row r="457" spans="1:24" x14ac:dyDescent="0.25">
      <c r="A457" s="10">
        <v>45846</v>
      </c>
      <c r="B457" s="11">
        <v>18843.47</v>
      </c>
      <c r="C457" s="12">
        <f t="shared" si="166"/>
        <v>1.8592657575033922E-3</v>
      </c>
      <c r="D457" s="11">
        <f t="shared" si="153"/>
        <v>18346.610999999997</v>
      </c>
      <c r="E457" s="11">
        <f t="shared" si="157"/>
        <v>18089.043199999996</v>
      </c>
      <c r="F457" s="11">
        <f t="shared" si="155"/>
        <v>16682.988687500012</v>
      </c>
      <c r="G457" s="12">
        <f t="shared" si="167"/>
        <v>1.8575394623546477E-3</v>
      </c>
      <c r="H457" s="19">
        <f t="shared" si="149"/>
        <v>0.16893093630345271</v>
      </c>
      <c r="I457" s="11">
        <f t="shared" si="150"/>
        <v>18843.47</v>
      </c>
      <c r="J457" s="11">
        <f t="shared" si="151"/>
        <v>17626.43</v>
      </c>
      <c r="K457" s="12">
        <f>(B457-MAX($B$2:B457))/MAX($B$2:B457)</f>
        <v>0</v>
      </c>
      <c r="L457" s="12">
        <f t="shared" si="152"/>
        <v>1.073520663958627E-2</v>
      </c>
      <c r="M457" s="15">
        <f t="shared" si="146"/>
        <v>65.734742635266031</v>
      </c>
      <c r="N457" s="11">
        <f t="shared" si="162"/>
        <v>18506.555878867188</v>
      </c>
      <c r="O457" s="11">
        <f t="shared" si="163"/>
        <v>18328.148927156504</v>
      </c>
      <c r="P457" s="11">
        <f t="shared" si="159"/>
        <v>178.40695171068364</v>
      </c>
      <c r="Q457" s="11">
        <f t="shared" si="164"/>
        <v>126.73546893545961</v>
      </c>
      <c r="R457" s="11">
        <f t="shared" si="160"/>
        <v>51.671482775224035</v>
      </c>
      <c r="S457" s="9">
        <f t="shared" si="161"/>
        <v>100</v>
      </c>
      <c r="T457" s="14">
        <f t="shared" si="168"/>
        <v>1.8592657575033922E-3</v>
      </c>
      <c r="U457" s="14">
        <f t="shared" si="165"/>
        <v>0</v>
      </c>
      <c r="V457" s="14">
        <f t="shared" si="158"/>
        <v>6.3216890944227189E-3</v>
      </c>
      <c r="W457" s="14">
        <f t="shared" si="158"/>
        <v>3.2952787995554583E-3</v>
      </c>
      <c r="X457" s="16">
        <f t="shared" si="148"/>
        <v>1.9184079645326311</v>
      </c>
    </row>
    <row r="458" spans="1:24" x14ac:dyDescent="0.25">
      <c r="A458" s="10">
        <v>45847</v>
      </c>
      <c r="B458" s="11">
        <v>18827.189999999999</v>
      </c>
      <c r="C458" s="12">
        <f t="shared" si="166"/>
        <v>-8.6395976961795018E-4</v>
      </c>
      <c r="D458" s="11">
        <f t="shared" si="153"/>
        <v>18355.804</v>
      </c>
      <c r="E458" s="11">
        <f t="shared" si="157"/>
        <v>18119.193199999994</v>
      </c>
      <c r="F458" s="11">
        <f t="shared" si="155"/>
        <v>16707.768312500011</v>
      </c>
      <c r="G458" s="12">
        <f t="shared" si="167"/>
        <v>-8.6433319795991138E-4</v>
      </c>
      <c r="H458" s="19">
        <f t="shared" si="149"/>
        <v>0.16847201184668878</v>
      </c>
      <c r="I458" s="11">
        <f t="shared" si="150"/>
        <v>18843.47</v>
      </c>
      <c r="J458" s="11">
        <f t="shared" si="151"/>
        <v>17626.43</v>
      </c>
      <c r="K458" s="12">
        <f>(B458-MAX($B$2:B458))/MAX($B$2:B458)</f>
        <v>-8.6395976961793522E-4</v>
      </c>
      <c r="L458" s="12">
        <f t="shared" si="152"/>
        <v>9.1815457844433013E-3</v>
      </c>
      <c r="M458" s="15">
        <f t="shared" si="146"/>
        <v>71.546846126459116</v>
      </c>
      <c r="N458" s="11">
        <f t="shared" si="162"/>
        <v>18555.884205195311</v>
      </c>
      <c r="O458" s="11">
        <f t="shared" si="163"/>
        <v>18365.114932552318</v>
      </c>
      <c r="P458" s="11">
        <f t="shared" si="159"/>
        <v>190.76927264299229</v>
      </c>
      <c r="Q458" s="11">
        <f t="shared" si="164"/>
        <v>139.54222967696614</v>
      </c>
      <c r="R458" s="11">
        <f t="shared" si="160"/>
        <v>51.227042966026147</v>
      </c>
      <c r="S458" s="9">
        <f t="shared" si="161"/>
        <v>100</v>
      </c>
      <c r="T458" s="14">
        <f t="shared" si="168"/>
        <v>0</v>
      </c>
      <c r="U458" s="14">
        <f t="shared" si="165"/>
        <v>8.6395976961795018E-4</v>
      </c>
      <c r="V458" s="14">
        <f t="shared" si="158"/>
        <v>6.3216890944227189E-3</v>
      </c>
      <c r="W458" s="14">
        <f t="shared" si="158"/>
        <v>2.5140450247991514E-3</v>
      </c>
      <c r="X458" s="16">
        <f t="shared" si="148"/>
        <v>2.5145488772333193</v>
      </c>
    </row>
    <row r="459" spans="1:24" x14ac:dyDescent="0.25">
      <c r="A459" s="10">
        <v>45848</v>
      </c>
      <c r="B459" s="11">
        <v>18841.28</v>
      </c>
      <c r="C459" s="12">
        <f t="shared" si="166"/>
        <v>7.4838571236601759E-4</v>
      </c>
      <c r="D459" s="11">
        <f t="shared" si="153"/>
        <v>18365.072999999997</v>
      </c>
      <c r="E459" s="11">
        <f t="shared" si="157"/>
        <v>18147.153399999996</v>
      </c>
      <c r="F459" s="11">
        <f t="shared" si="155"/>
        <v>16731.921375000009</v>
      </c>
      <c r="G459" s="12">
        <f t="shared" si="167"/>
        <v>7.4810581141932127E-4</v>
      </c>
      <c r="H459" s="19">
        <f t="shared" si="149"/>
        <v>0.16847328656494839</v>
      </c>
      <c r="I459" s="11">
        <f t="shared" si="150"/>
        <v>18843.47</v>
      </c>
      <c r="J459" s="11">
        <f t="shared" si="151"/>
        <v>17626.43</v>
      </c>
      <c r="K459" s="12">
        <f>(B459-MAX($B$2:B459))/MAX($B$2:B459)</f>
        <v>-1.1622063239957015E-4</v>
      </c>
      <c r="L459" s="12">
        <f t="shared" si="152"/>
        <v>1.6587487219331232E-2</v>
      </c>
      <c r="M459" s="15">
        <f t="shared" si="146"/>
        <v>80.349538861197345</v>
      </c>
      <c r="N459" s="11">
        <f t="shared" si="162"/>
        <v>18599.791250549879</v>
      </c>
      <c r="O459" s="11">
        <f t="shared" si="163"/>
        <v>18400.386419029925</v>
      </c>
      <c r="P459" s="11">
        <f t="shared" si="159"/>
        <v>199.40483151995431</v>
      </c>
      <c r="Q459" s="11">
        <f t="shared" si="164"/>
        <v>151.5147500455638</v>
      </c>
      <c r="R459" s="11">
        <f t="shared" si="160"/>
        <v>47.890081474390513</v>
      </c>
      <c r="S459" s="9">
        <f t="shared" si="161"/>
        <v>100</v>
      </c>
      <c r="T459" s="14">
        <f t="shared" si="168"/>
        <v>7.4838571236601759E-4</v>
      </c>
      <c r="U459" s="14">
        <f t="shared" si="165"/>
        <v>0</v>
      </c>
      <c r="V459" s="14">
        <f t="shared" si="158"/>
        <v>6.3751452167345778E-3</v>
      </c>
      <c r="W459" s="14">
        <f t="shared" si="158"/>
        <v>1.5591196304446306E-3</v>
      </c>
      <c r="X459" s="16">
        <f t="shared" si="148"/>
        <v>4.0889390988660121</v>
      </c>
    </row>
    <row r="460" spans="1:24" x14ac:dyDescent="0.25">
      <c r="A460" s="10">
        <v>45849</v>
      </c>
      <c r="B460" s="11">
        <v>18998.71</v>
      </c>
      <c r="C460" s="12">
        <f t="shared" si="166"/>
        <v>8.3555894291682531E-3</v>
      </c>
      <c r="D460" s="11">
        <f t="shared" si="153"/>
        <v>18388.315999999999</v>
      </c>
      <c r="E460" s="11">
        <f t="shared" si="157"/>
        <v>18179.691399999996</v>
      </c>
      <c r="F460" s="11">
        <f t="shared" si="155"/>
        <v>16756.997312500007</v>
      </c>
      <c r="G460" s="12">
        <f t="shared" si="167"/>
        <v>8.3208747322671278E-3</v>
      </c>
      <c r="H460" s="19">
        <f t="shared" si="149"/>
        <v>0.16848747181853441</v>
      </c>
      <c r="I460" s="11">
        <f t="shared" si="150"/>
        <v>18998.71</v>
      </c>
      <c r="J460" s="11">
        <f t="shared" si="151"/>
        <v>17626.43</v>
      </c>
      <c r="K460" s="12">
        <f>(B460-MAX($B$2:B460))/MAX($B$2:B460)</f>
        <v>0</v>
      </c>
      <c r="L460" s="12">
        <f t="shared" si="152"/>
        <v>3.1556365895082372E-2</v>
      </c>
      <c r="M460" s="15">
        <f t="shared" si="146"/>
        <v>78.315949987049663</v>
      </c>
      <c r="N460" s="11">
        <f t="shared" si="162"/>
        <v>18661.163365849898</v>
      </c>
      <c r="O460" s="11">
        <f t="shared" si="163"/>
        <v>18444.706684286968</v>
      </c>
      <c r="P460" s="11">
        <f t="shared" si="159"/>
        <v>216.45668156292959</v>
      </c>
      <c r="Q460" s="11">
        <f t="shared" si="164"/>
        <v>164.50313634903696</v>
      </c>
      <c r="R460" s="11">
        <f t="shared" si="160"/>
        <v>51.953545213892625</v>
      </c>
      <c r="S460" s="9">
        <f t="shared" si="161"/>
        <v>100</v>
      </c>
      <c r="T460" s="14">
        <f t="shared" si="168"/>
        <v>8.3555894291682531E-3</v>
      </c>
      <c r="U460" s="14">
        <f t="shared" si="165"/>
        <v>0</v>
      </c>
      <c r="V460" s="14">
        <f t="shared" si="158"/>
        <v>5.6310483940410173E-3</v>
      </c>
      <c r="W460" s="14">
        <f t="shared" si="158"/>
        <v>1.5591196304446306E-3</v>
      </c>
      <c r="X460" s="16">
        <f t="shared" si="148"/>
        <v>3.6116846225809831</v>
      </c>
    </row>
    <row r="461" spans="1:24" x14ac:dyDescent="0.25">
      <c r="A461" s="10">
        <v>45852</v>
      </c>
      <c r="B461" s="11">
        <v>18920.240000000002</v>
      </c>
      <c r="C461" s="12">
        <f t="shared" si="166"/>
        <v>-4.1302804243024127E-3</v>
      </c>
      <c r="D461" s="11">
        <f t="shared" si="153"/>
        <v>18413.451999999997</v>
      </c>
      <c r="E461" s="11">
        <f t="shared" si="157"/>
        <v>18210.288599999993</v>
      </c>
      <c r="F461" s="11">
        <f t="shared" si="155"/>
        <v>16782.322937500008</v>
      </c>
      <c r="G461" s="12">
        <f t="shared" si="167"/>
        <v>-4.1388335919387035E-3</v>
      </c>
      <c r="H461" s="19">
        <f t="shared" si="149"/>
        <v>0.16737812076779818</v>
      </c>
      <c r="I461" s="11">
        <f t="shared" si="150"/>
        <v>18998.71</v>
      </c>
      <c r="J461" s="11">
        <f t="shared" si="151"/>
        <v>17626.43</v>
      </c>
      <c r="K461" s="12">
        <f>(B461-MAX($B$2:B461))/MAX($B$2:B461)</f>
        <v>-4.1302804243023624E-3</v>
      </c>
      <c r="L461" s="12">
        <f t="shared" si="152"/>
        <v>4.0796848603936287E-2</v>
      </c>
      <c r="M461" s="15">
        <f t="shared" si="146"/>
        <v>84.32995300675455</v>
      </c>
      <c r="N461" s="11">
        <f t="shared" si="162"/>
        <v>18701.021309565298</v>
      </c>
      <c r="O461" s="11">
        <f t="shared" si="163"/>
        <v>18479.931374339787</v>
      </c>
      <c r="P461" s="11">
        <f t="shared" si="159"/>
        <v>221.089935225511</v>
      </c>
      <c r="Q461" s="11">
        <f t="shared" si="164"/>
        <v>175.82049612433178</v>
      </c>
      <c r="R461" s="11">
        <f t="shared" si="160"/>
        <v>45.269439101179216</v>
      </c>
      <c r="S461" s="9">
        <f t="shared" si="161"/>
        <v>100</v>
      </c>
      <c r="T461" s="14">
        <f t="shared" si="168"/>
        <v>0</v>
      </c>
      <c r="U461" s="14">
        <f t="shared" si="165"/>
        <v>4.1302804243024127E-3</v>
      </c>
      <c r="V461" s="14">
        <f t="shared" si="158"/>
        <v>5.6310483940410173E-3</v>
      </c>
      <c r="W461" s="14">
        <f t="shared" si="158"/>
        <v>1.0463517387326712E-3</v>
      </c>
      <c r="X461" s="16">
        <f t="shared" si="148"/>
        <v>5.3816017937345579</v>
      </c>
    </row>
    <row r="462" spans="1:24" x14ac:dyDescent="0.25">
      <c r="A462" s="10">
        <v>45853</v>
      </c>
      <c r="B462" s="11">
        <v>18824.28</v>
      </c>
      <c r="C462" s="12">
        <f t="shared" si="166"/>
        <v>-5.0718172708169584E-3</v>
      </c>
      <c r="D462" s="11">
        <f t="shared" si="153"/>
        <v>18445.735499999999</v>
      </c>
      <c r="E462" s="11">
        <f t="shared" si="157"/>
        <v>18236.597799999992</v>
      </c>
      <c r="F462" s="11">
        <f t="shared" si="155"/>
        <v>16806.933125000007</v>
      </c>
      <c r="G462" s="12">
        <f t="shared" si="167"/>
        <v>-5.084722590138222E-3</v>
      </c>
      <c r="H462" s="19">
        <f t="shared" si="149"/>
        <v>0.16053152513028993</v>
      </c>
      <c r="I462" s="11">
        <f t="shared" si="150"/>
        <v>18998.71</v>
      </c>
      <c r="J462" s="11">
        <f t="shared" si="151"/>
        <v>17626.43</v>
      </c>
      <c r="K462" s="12">
        <f>(B462-MAX($B$2:B462))/MAX($B$2:B462)</f>
        <v>-9.1811496675300742E-3</v>
      </c>
      <c r="L462" s="12">
        <f t="shared" si="152"/>
        <v>4.1245404793065044E-2</v>
      </c>
      <c r="M462" s="15">
        <f t="shared" si="146"/>
        <v>72.642857934482592</v>
      </c>
      <c r="N462" s="11">
        <f t="shared" si="162"/>
        <v>18719.98418501679</v>
      </c>
      <c r="O462" s="11">
        <f t="shared" si="163"/>
        <v>18505.438679944247</v>
      </c>
      <c r="P462" s="11">
        <f t="shared" si="159"/>
        <v>214.54550507254316</v>
      </c>
      <c r="Q462" s="11">
        <f t="shared" si="164"/>
        <v>183.56549791397407</v>
      </c>
      <c r="R462" s="11">
        <f t="shared" si="160"/>
        <v>30.980007158569094</v>
      </c>
      <c r="S462" s="9">
        <f t="shared" si="161"/>
        <v>100</v>
      </c>
      <c r="T462" s="14">
        <f t="shared" si="168"/>
        <v>0</v>
      </c>
      <c r="U462" s="14">
        <f t="shared" si="165"/>
        <v>5.0718172708169584E-3</v>
      </c>
      <c r="V462" s="14">
        <f t="shared" si="158"/>
        <v>3.7403944459923739E-3</v>
      </c>
      <c r="W462" s="14">
        <f t="shared" si="158"/>
        <v>1.4086244009338825E-3</v>
      </c>
      <c r="X462" s="16">
        <f t="shared" si="148"/>
        <v>2.6553525861915972</v>
      </c>
    </row>
    <row r="463" spans="1:24" x14ac:dyDescent="0.25">
      <c r="A463" s="10">
        <v>45854</v>
      </c>
      <c r="B463" s="11">
        <v>18818.05</v>
      </c>
      <c r="C463" s="12">
        <f t="shared" si="166"/>
        <v>-3.3095555314732739E-4</v>
      </c>
      <c r="D463" s="11">
        <f t="shared" si="153"/>
        <v>18482.706999999999</v>
      </c>
      <c r="E463" s="11">
        <f t="shared" si="157"/>
        <v>18264.214399999997</v>
      </c>
      <c r="F463" s="11">
        <f t="shared" si="155"/>
        <v>16832.554187500005</v>
      </c>
      <c r="G463" s="12">
        <f t="shared" si="167"/>
        <v>-3.3101033102276835E-4</v>
      </c>
      <c r="H463" s="19">
        <f t="shared" si="149"/>
        <v>0.15846295519710929</v>
      </c>
      <c r="I463" s="11">
        <f t="shared" si="150"/>
        <v>18998.71</v>
      </c>
      <c r="J463" s="11">
        <f t="shared" si="151"/>
        <v>17626.43</v>
      </c>
      <c r="K463" s="12">
        <f>(B463-MAX($B$2:B463))/MAX($B$2:B463)</f>
        <v>-9.509066668210624E-3</v>
      </c>
      <c r="L463" s="12">
        <f t="shared" si="152"/>
        <v>5.33314078096776E-2</v>
      </c>
      <c r="M463" s="15">
        <f t="shared" si="146"/>
        <v>67.896520107039592</v>
      </c>
      <c r="N463" s="11">
        <f t="shared" si="162"/>
        <v>18735.071233475745</v>
      </c>
      <c r="O463" s="11">
        <f t="shared" si="163"/>
        <v>18528.595074022451</v>
      </c>
      <c r="P463" s="11">
        <f t="shared" si="159"/>
        <v>206.4761594532938</v>
      </c>
      <c r="Q463" s="11">
        <f t="shared" si="164"/>
        <v>188.14763022183803</v>
      </c>
      <c r="R463" s="11">
        <f t="shared" si="160"/>
        <v>18.328529231455775</v>
      </c>
      <c r="S463" s="9">
        <f t="shared" si="161"/>
        <v>100</v>
      </c>
      <c r="T463" s="14">
        <f t="shared" si="168"/>
        <v>0</v>
      </c>
      <c r="U463" s="14">
        <f t="shared" si="165"/>
        <v>3.3095555314732739E-4</v>
      </c>
      <c r="V463" s="14">
        <f t="shared" si="158"/>
        <v>3.0291341454169929E-3</v>
      </c>
      <c r="W463" s="14">
        <f t="shared" si="158"/>
        <v>1.4322640833015488E-3</v>
      </c>
      <c r="X463" s="16">
        <f t="shared" si="148"/>
        <v>2.1149271148617075</v>
      </c>
    </row>
    <row r="464" spans="1:24" x14ac:dyDescent="0.25">
      <c r="A464" s="10">
        <v>45855</v>
      </c>
      <c r="B464" s="11">
        <v>18922.52</v>
      </c>
      <c r="C464" s="12">
        <f t="shared" si="166"/>
        <v>5.5515847816325348E-3</v>
      </c>
      <c r="D464" s="11">
        <f t="shared" si="153"/>
        <v>18535.569500000005</v>
      </c>
      <c r="E464" s="11">
        <f t="shared" si="157"/>
        <v>18291.332799999996</v>
      </c>
      <c r="F464" s="11">
        <f t="shared" si="155"/>
        <v>16858.246562500008</v>
      </c>
      <c r="G464" s="12">
        <f t="shared" si="167"/>
        <v>5.5362315318731523E-3</v>
      </c>
      <c r="H464" s="19">
        <f t="shared" si="149"/>
        <v>0.15007119719687936</v>
      </c>
      <c r="I464" s="11">
        <f t="shared" si="150"/>
        <v>18998.71</v>
      </c>
      <c r="J464" s="11">
        <f t="shared" si="151"/>
        <v>17626.43</v>
      </c>
      <c r="K464" s="12">
        <f>(B464-MAX($B$2:B464))/MAX($B$2:B464)</f>
        <v>-4.0102722763808015E-3</v>
      </c>
      <c r="L464" s="12">
        <f t="shared" si="152"/>
        <v>7.3531055352672015E-2</v>
      </c>
      <c r="M464" s="15">
        <f t="shared" ref="M464:M527" si="169">IF(X464=0,100,100-(100/(1+X464)))</f>
        <v>68.788932503664071</v>
      </c>
      <c r="N464" s="11">
        <f t="shared" si="162"/>
        <v>18763.909505248706</v>
      </c>
      <c r="O464" s="11">
        <f t="shared" si="163"/>
        <v>18557.774698168934</v>
      </c>
      <c r="P464" s="11">
        <f t="shared" si="159"/>
        <v>206.13480707977214</v>
      </c>
      <c r="Q464" s="11">
        <f t="shared" si="164"/>
        <v>191.74506559342487</v>
      </c>
      <c r="R464" s="11">
        <f t="shared" si="160"/>
        <v>14.389741486347276</v>
      </c>
      <c r="S464" s="9">
        <f t="shared" si="161"/>
        <v>100</v>
      </c>
      <c r="T464" s="14">
        <f t="shared" si="168"/>
        <v>5.5515847816325348E-3</v>
      </c>
      <c r="U464" s="14">
        <f t="shared" si="165"/>
        <v>0</v>
      </c>
      <c r="V464" s="14">
        <f t="shared" ref="V464:W479" si="170">AVERAGE(T451:T464)</f>
        <v>3.1566980964434777E-3</v>
      </c>
      <c r="W464" s="14">
        <f t="shared" si="170"/>
        <v>1.4322640833015488E-3</v>
      </c>
      <c r="X464" s="16">
        <f t="shared" ref="X464:X527" si="171">IF(W464=0,0,V464/W464)</f>
        <v>2.2039916613470414</v>
      </c>
    </row>
    <row r="465" spans="1:24" x14ac:dyDescent="0.25">
      <c r="A465" s="10">
        <v>45856</v>
      </c>
      <c r="B465" s="11">
        <v>19168.830000000002</v>
      </c>
      <c r="C465" s="12">
        <f t="shared" si="166"/>
        <v>1.3016765208862413E-2</v>
      </c>
      <c r="D465" s="11">
        <f t="shared" si="153"/>
        <v>18612.6895</v>
      </c>
      <c r="E465" s="11">
        <f t="shared" si="157"/>
        <v>18322.472399999995</v>
      </c>
      <c r="F465" s="11">
        <f t="shared" si="155"/>
        <v>16884.919937500006</v>
      </c>
      <c r="G465" s="12">
        <f t="shared" si="167"/>
        <v>1.2932775187702649E-2</v>
      </c>
      <c r="H465" s="19">
        <f t="shared" si="149"/>
        <v>0.14093503968642121</v>
      </c>
      <c r="I465" s="11">
        <f t="shared" si="150"/>
        <v>19168.830000000002</v>
      </c>
      <c r="J465" s="11">
        <f t="shared" si="151"/>
        <v>17754.25</v>
      </c>
      <c r="K465" s="12">
        <f>(B465-MAX($B$2:B465))/MAX($B$2:B465)</f>
        <v>0</v>
      </c>
      <c r="L465" s="12">
        <f t="shared" si="152"/>
        <v>6.7465486238767136E-2</v>
      </c>
      <c r="M465" s="15">
        <f t="shared" si="169"/>
        <v>84.621521153520803</v>
      </c>
      <c r="N465" s="11">
        <f t="shared" si="162"/>
        <v>18826.204965979676</v>
      </c>
      <c r="O465" s="11">
        <f t="shared" si="163"/>
        <v>18603.038053860124</v>
      </c>
      <c r="P465" s="11">
        <f t="shared" si="159"/>
        <v>223.16691211955185</v>
      </c>
      <c r="Q465" s="11">
        <f t="shared" si="164"/>
        <v>198.02943489865027</v>
      </c>
      <c r="R465" s="11">
        <f t="shared" si="160"/>
        <v>25.137477220901587</v>
      </c>
      <c r="S465" s="9">
        <f t="shared" si="161"/>
        <v>100</v>
      </c>
      <c r="T465" s="14">
        <f t="shared" si="168"/>
        <v>1.3016765208862413E-2</v>
      </c>
      <c r="U465" s="14">
        <f t="shared" si="165"/>
        <v>0</v>
      </c>
      <c r="V465" s="14">
        <f t="shared" si="170"/>
        <v>4.08646703993365E-3</v>
      </c>
      <c r="W465" s="14">
        <f t="shared" si="170"/>
        <v>7.4264378699176058E-4</v>
      </c>
      <c r="X465" s="16">
        <f t="shared" si="171"/>
        <v>5.502593721933323</v>
      </c>
    </row>
    <row r="466" spans="1:24" x14ac:dyDescent="0.25">
      <c r="A466" s="10">
        <v>45859</v>
      </c>
      <c r="B466" s="11">
        <v>19176.04</v>
      </c>
      <c r="C466" s="12">
        <f t="shared" si="166"/>
        <v>3.76131459249196E-4</v>
      </c>
      <c r="D466" s="11">
        <f t="shared" si="153"/>
        <v>18673.625000000004</v>
      </c>
      <c r="E466" s="11">
        <f t="shared" si="157"/>
        <v>18354.076399999994</v>
      </c>
      <c r="F466" s="11">
        <f t="shared" si="155"/>
        <v>16911.718250000005</v>
      </c>
      <c r="G466" s="12">
        <f t="shared" si="167"/>
        <v>3.7606073954459229E-4</v>
      </c>
      <c r="H466" s="19">
        <f t="shared" si="149"/>
        <v>0.13070510409424957</v>
      </c>
      <c r="I466" s="11">
        <f t="shared" si="150"/>
        <v>19176.04</v>
      </c>
      <c r="J466" s="11">
        <f t="shared" si="151"/>
        <v>17754.25</v>
      </c>
      <c r="K466" s="12">
        <f>(B466-MAX($B$2:B466))/MAX($B$2:B466)</f>
        <v>0</v>
      </c>
      <c r="L466" s="12">
        <f t="shared" si="152"/>
        <v>8.0081670585916198E-2</v>
      </c>
      <c r="M466" s="15">
        <f t="shared" si="169"/>
        <v>83.154459963150686</v>
      </c>
      <c r="N466" s="11">
        <f t="shared" si="162"/>
        <v>18880.02574044434</v>
      </c>
      <c r="O466" s="11">
        <f t="shared" si="163"/>
        <v>18645.482642463077</v>
      </c>
      <c r="P466" s="11">
        <f t="shared" si="159"/>
        <v>234.54309798126269</v>
      </c>
      <c r="Q466" s="11">
        <f t="shared" si="164"/>
        <v>205.33216751517278</v>
      </c>
      <c r="R466" s="11">
        <f t="shared" si="160"/>
        <v>29.210930466089906</v>
      </c>
      <c r="S466" s="9">
        <f t="shared" si="161"/>
        <v>100</v>
      </c>
      <c r="T466" s="14">
        <f t="shared" si="168"/>
        <v>3.76131459249196E-4</v>
      </c>
      <c r="U466" s="14">
        <f t="shared" si="165"/>
        <v>0</v>
      </c>
      <c r="V466" s="14">
        <f t="shared" si="170"/>
        <v>3.6659046202854239E-3</v>
      </c>
      <c r="W466" s="14">
        <f t="shared" si="170"/>
        <v>7.4264378699176058E-4</v>
      </c>
      <c r="X466" s="16">
        <f t="shared" si="171"/>
        <v>4.9362893550014926</v>
      </c>
    </row>
    <row r="467" spans="1:24" x14ac:dyDescent="0.25">
      <c r="A467" s="10">
        <v>45860</v>
      </c>
      <c r="B467" s="11">
        <v>19192.560000000001</v>
      </c>
      <c r="C467" s="12">
        <f t="shared" si="166"/>
        <v>8.614917365630248E-4</v>
      </c>
      <c r="D467" s="11">
        <f t="shared" si="153"/>
        <v>18745.540499999999</v>
      </c>
      <c r="E467" s="11">
        <f t="shared" si="157"/>
        <v>18382.621599999999</v>
      </c>
      <c r="F467" s="11">
        <f t="shared" si="155"/>
        <v>16938.939125000004</v>
      </c>
      <c r="G467" s="12">
        <f t="shared" si="167"/>
        <v>8.6112086554320302E-4</v>
      </c>
      <c r="H467" s="19">
        <f t="shared" si="149"/>
        <v>0.11921920086417301</v>
      </c>
      <c r="I467" s="11">
        <f t="shared" si="150"/>
        <v>19192.560000000001</v>
      </c>
      <c r="J467" s="11">
        <f t="shared" si="151"/>
        <v>18224.189999999999</v>
      </c>
      <c r="K467" s="12">
        <f>(B467-MAX($B$2:B467))/MAX($B$2:B467)</f>
        <v>0</v>
      </c>
      <c r="L467" s="12">
        <f t="shared" si="152"/>
        <v>5.3136518001623223E-2</v>
      </c>
      <c r="M467" s="15">
        <f t="shared" si="169"/>
        <v>81.698870369866171</v>
      </c>
      <c r="N467" s="11">
        <f t="shared" si="162"/>
        <v>18928.107934222135</v>
      </c>
      <c r="O467" s="11">
        <f t="shared" si="163"/>
        <v>18686.006891169516</v>
      </c>
      <c r="P467" s="11">
        <f t="shared" si="159"/>
        <v>242.10104305261848</v>
      </c>
      <c r="Q467" s="11">
        <f t="shared" si="164"/>
        <v>212.68594262266194</v>
      </c>
      <c r="R467" s="11">
        <f t="shared" si="160"/>
        <v>29.415100429956539</v>
      </c>
      <c r="S467" s="9">
        <f t="shared" si="161"/>
        <v>100</v>
      </c>
      <c r="T467" s="14">
        <f t="shared" si="168"/>
        <v>8.614917365630248E-4</v>
      </c>
      <c r="U467" s="14">
        <f t="shared" si="165"/>
        <v>0</v>
      </c>
      <c r="V467" s="14">
        <f t="shared" si="170"/>
        <v>3.3152684949307532E-3</v>
      </c>
      <c r="W467" s="14">
        <f t="shared" si="170"/>
        <v>7.4264378699176058E-4</v>
      </c>
      <c r="X467" s="16">
        <f t="shared" si="171"/>
        <v>4.4641435813527313</v>
      </c>
    </row>
    <row r="468" spans="1:24" x14ac:dyDescent="0.25">
      <c r="A468" s="10">
        <v>45861</v>
      </c>
      <c r="B468" s="11">
        <v>19085.27</v>
      </c>
      <c r="C468" s="12">
        <f t="shared" si="166"/>
        <v>-5.590187030807825E-3</v>
      </c>
      <c r="D468" s="11">
        <f t="shared" si="153"/>
        <v>18788.594499999999</v>
      </c>
      <c r="E468" s="11">
        <f t="shared" si="157"/>
        <v>18403.665400000002</v>
      </c>
      <c r="F468" s="11">
        <f t="shared" si="155"/>
        <v>16966.228875000004</v>
      </c>
      <c r="G468" s="12">
        <f t="shared" si="167"/>
        <v>-5.6058706030389848E-3</v>
      </c>
      <c r="H468" s="19">
        <f t="shared" si="149"/>
        <v>9.0489828632896105E-2</v>
      </c>
      <c r="I468" s="11">
        <f t="shared" si="150"/>
        <v>19192.560000000001</v>
      </c>
      <c r="J468" s="11">
        <f t="shared" si="151"/>
        <v>18296.599999999999</v>
      </c>
      <c r="K468" s="12">
        <f>(B468-MAX($B$2:B468))/MAX($B$2:B468)</f>
        <v>-5.5901870308078163E-3</v>
      </c>
      <c r="L468" s="12">
        <f t="shared" si="152"/>
        <v>3.692396795333619E-2</v>
      </c>
      <c r="M468" s="15">
        <f t="shared" si="169"/>
        <v>72.652160532032738</v>
      </c>
      <c r="N468" s="11">
        <f t="shared" si="162"/>
        <v>18952.286713572576</v>
      </c>
      <c r="O468" s="11">
        <f t="shared" si="163"/>
        <v>18715.58193626807</v>
      </c>
      <c r="P468" s="11">
        <f t="shared" si="159"/>
        <v>236.70477730450511</v>
      </c>
      <c r="Q468" s="11">
        <f t="shared" si="164"/>
        <v>217.48970955903059</v>
      </c>
      <c r="R468" s="11">
        <f t="shared" si="160"/>
        <v>19.215067745474528</v>
      </c>
      <c r="S468" s="9">
        <f t="shared" si="161"/>
        <v>100</v>
      </c>
      <c r="T468" s="14">
        <f t="shared" si="168"/>
        <v>0</v>
      </c>
      <c r="U468" s="14">
        <f t="shared" si="165"/>
        <v>5.590187030807825E-3</v>
      </c>
      <c r="V468" s="14">
        <f t="shared" si="170"/>
        <v>3.0336808187504077E-3</v>
      </c>
      <c r="W468" s="14">
        <f t="shared" si="170"/>
        <v>1.1419428606208909E-3</v>
      </c>
      <c r="X468" s="16">
        <f t="shared" si="171"/>
        <v>2.6565959851099303</v>
      </c>
    </row>
    <row r="469" spans="1:24" x14ac:dyDescent="0.25">
      <c r="A469" s="10">
        <v>45862</v>
      </c>
      <c r="B469" s="11">
        <v>19266.330000000002</v>
      </c>
      <c r="C469" s="12">
        <f t="shared" si="166"/>
        <v>9.4868974869102285E-3</v>
      </c>
      <c r="D469" s="11">
        <f t="shared" si="153"/>
        <v>18831.628000000001</v>
      </c>
      <c r="E469" s="11">
        <f t="shared" si="157"/>
        <v>18427.656800000001</v>
      </c>
      <c r="F469" s="11">
        <f t="shared" si="155"/>
        <v>16994.592687500004</v>
      </c>
      <c r="G469" s="12">
        <f t="shared" si="167"/>
        <v>9.4421794759352775E-3</v>
      </c>
      <c r="H469" s="19">
        <f t="shared" ref="H469:H532" si="172">STDEV(G450:G469)*SQRT(252)</f>
        <v>8.998421234588487E-2</v>
      </c>
      <c r="I469" s="11">
        <f t="shared" ref="I469:I532" si="173">MAX(B450:B469)</f>
        <v>19266.330000000002</v>
      </c>
      <c r="J469" s="11">
        <f t="shared" ref="J469:J532" si="174">MIN(B450:B469)</f>
        <v>18296.599999999999</v>
      </c>
      <c r="K469" s="12">
        <f>(B469-MAX($B$2:B469))/MAX($B$2:B469)</f>
        <v>0</v>
      </c>
      <c r="L469" s="12">
        <f t="shared" ref="L469:L532" si="175">(B469/B450)-1</f>
        <v>4.2834169690126656E-2</v>
      </c>
      <c r="M469" s="15">
        <f t="shared" si="169"/>
        <v>75.334919427233103</v>
      </c>
      <c r="N469" s="11">
        <f t="shared" si="162"/>
        <v>19000.60106533064</v>
      </c>
      <c r="O469" s="11">
        <f t="shared" si="163"/>
        <v>18756.378089137103</v>
      </c>
      <c r="P469" s="11">
        <f t="shared" si="159"/>
        <v>244.22297619353776</v>
      </c>
      <c r="Q469" s="11">
        <f t="shared" si="164"/>
        <v>222.83636288593203</v>
      </c>
      <c r="R469" s="11">
        <f t="shared" si="160"/>
        <v>21.386613307605728</v>
      </c>
      <c r="S469" s="9">
        <f t="shared" si="161"/>
        <v>100</v>
      </c>
      <c r="T469" s="14">
        <f t="shared" si="168"/>
        <v>9.4868974869102285E-3</v>
      </c>
      <c r="U469" s="14">
        <f t="shared" si="165"/>
        <v>0</v>
      </c>
      <c r="V469" s="14">
        <f t="shared" si="170"/>
        <v>3.487852923957765E-3</v>
      </c>
      <c r="W469" s="14">
        <f t="shared" si="170"/>
        <v>1.1419428606208909E-3</v>
      </c>
      <c r="X469" s="16">
        <f t="shared" si="171"/>
        <v>3.0543147509686857</v>
      </c>
    </row>
    <row r="470" spans="1:24" x14ac:dyDescent="0.25">
      <c r="A470" s="10">
        <v>45863</v>
      </c>
      <c r="B470" s="11">
        <v>19404.8</v>
      </c>
      <c r="C470" s="12">
        <f t="shared" si="166"/>
        <v>7.1871498100570808E-3</v>
      </c>
      <c r="D470" s="11">
        <f t="shared" ref="D470:D533" si="176">AVERAGE(B451:B470)</f>
        <v>18878.119499999997</v>
      </c>
      <c r="E470" s="11">
        <f t="shared" si="157"/>
        <v>18455.548599999998</v>
      </c>
      <c r="F470" s="11">
        <f t="shared" si="155"/>
        <v>17023.687750000005</v>
      </c>
      <c r="G470" s="12">
        <f t="shared" si="167"/>
        <v>7.1614453366450189E-3</v>
      </c>
      <c r="H470" s="19">
        <f t="shared" si="172"/>
        <v>9.1520864578353581E-2</v>
      </c>
      <c r="I470" s="11">
        <f t="shared" si="173"/>
        <v>19404.8</v>
      </c>
      <c r="J470" s="11">
        <f t="shared" si="174"/>
        <v>18296.599999999999</v>
      </c>
      <c r="K470" s="12">
        <f>(B470-MAX($B$2:B470))/MAX($B$2:B470)</f>
        <v>0</v>
      </c>
      <c r="L470" s="12">
        <f t="shared" si="175"/>
        <v>6.0568630237311849E-2</v>
      </c>
      <c r="M470" s="15">
        <f t="shared" si="169"/>
        <v>74.795705898998904</v>
      </c>
      <c r="N470" s="11">
        <f t="shared" si="162"/>
        <v>19062.785516818232</v>
      </c>
      <c r="O470" s="11">
        <f t="shared" si="163"/>
        <v>18804.409341793616</v>
      </c>
      <c r="P470" s="11">
        <f t="shared" si="159"/>
        <v>258.3761750246158</v>
      </c>
      <c r="Q470" s="11">
        <f t="shared" si="164"/>
        <v>229.9443253136688</v>
      </c>
      <c r="R470" s="11">
        <f t="shared" si="160"/>
        <v>28.431849710947006</v>
      </c>
      <c r="S470" s="9">
        <f t="shared" si="161"/>
        <v>100</v>
      </c>
      <c r="T470" s="14">
        <f t="shared" si="168"/>
        <v>7.1871498100570808E-3</v>
      </c>
      <c r="U470" s="14">
        <f t="shared" si="165"/>
        <v>0</v>
      </c>
      <c r="V470" s="14">
        <f t="shared" si="170"/>
        <v>3.388804384450867E-3</v>
      </c>
      <c r="W470" s="14">
        <f t="shared" si="170"/>
        <v>1.1419428606208909E-3</v>
      </c>
      <c r="X470" s="16">
        <f t="shared" si="171"/>
        <v>2.9675778896750797</v>
      </c>
    </row>
    <row r="471" spans="1:24" x14ac:dyDescent="0.25">
      <c r="A471" s="10">
        <v>45866</v>
      </c>
      <c r="B471" s="11">
        <v>19313.45</v>
      </c>
      <c r="C471" s="12">
        <f t="shared" si="166"/>
        <v>-4.707598120052725E-3</v>
      </c>
      <c r="D471" s="11">
        <f t="shared" si="176"/>
        <v>18928.962</v>
      </c>
      <c r="E471" s="11">
        <f t="shared" si="157"/>
        <v>18481.882999999998</v>
      </c>
      <c r="F471" s="11">
        <f t="shared" si="155"/>
        <v>17051.387312500003</v>
      </c>
      <c r="G471" s="12">
        <f t="shared" si="167"/>
        <v>-4.7187137591103399E-3</v>
      </c>
      <c r="H471" s="19">
        <f t="shared" si="172"/>
        <v>8.41550005144477E-2</v>
      </c>
      <c r="I471" s="11">
        <f t="shared" si="173"/>
        <v>19404.8</v>
      </c>
      <c r="J471" s="11">
        <f t="shared" si="174"/>
        <v>18411.21</v>
      </c>
      <c r="K471" s="12">
        <f>(B471-MAX($B$2:B471))/MAX($B$2:B471)</f>
        <v>-4.7075981200526956E-3</v>
      </c>
      <c r="L471" s="12">
        <f t="shared" si="175"/>
        <v>4.9004926889650413E-2</v>
      </c>
      <c r="M471" s="15">
        <f t="shared" si="169"/>
        <v>68.776139419184915</v>
      </c>
      <c r="N471" s="11">
        <f t="shared" si="162"/>
        <v>19101.349283461583</v>
      </c>
      <c r="O471" s="11">
        <f t="shared" si="163"/>
        <v>18842.116057216313</v>
      </c>
      <c r="P471" s="11">
        <f t="shared" si="159"/>
        <v>259.23322624526918</v>
      </c>
      <c r="Q471" s="11">
        <f t="shared" si="164"/>
        <v>235.8021054999889</v>
      </c>
      <c r="R471" s="11">
        <f t="shared" si="160"/>
        <v>23.431120745280282</v>
      </c>
      <c r="S471" s="9">
        <f t="shared" si="161"/>
        <v>100</v>
      </c>
      <c r="T471" s="14">
        <f t="shared" si="168"/>
        <v>0</v>
      </c>
      <c r="U471" s="14">
        <f t="shared" si="165"/>
        <v>4.707598120052725E-3</v>
      </c>
      <c r="V471" s="14">
        <f t="shared" si="170"/>
        <v>3.255999687486339E-3</v>
      </c>
      <c r="W471" s="14">
        <f t="shared" si="170"/>
        <v>1.4781998691960857E-3</v>
      </c>
      <c r="X471" s="16">
        <f t="shared" si="171"/>
        <v>2.2026789173355183</v>
      </c>
    </row>
    <row r="472" spans="1:24" x14ac:dyDescent="0.25">
      <c r="A472" s="10">
        <v>45867</v>
      </c>
      <c r="B472" s="11">
        <v>19446.169999999998</v>
      </c>
      <c r="C472" s="12">
        <f t="shared" si="166"/>
        <v>6.871894974745496E-3</v>
      </c>
      <c r="D472" s="11">
        <f t="shared" si="176"/>
        <v>18980.71</v>
      </c>
      <c r="E472" s="11">
        <f t="shared" si="157"/>
        <v>18515.363399999998</v>
      </c>
      <c r="F472" s="11">
        <f t="shared" si="155"/>
        <v>17080.660687500003</v>
      </c>
      <c r="G472" s="12">
        <f t="shared" si="167"/>
        <v>6.8483911203820321E-3</v>
      </c>
      <c r="H472" s="19">
        <f t="shared" si="172"/>
        <v>8.4518472577837636E-2</v>
      </c>
      <c r="I472" s="11">
        <f t="shared" si="173"/>
        <v>19446.169999999998</v>
      </c>
      <c r="J472" s="11">
        <f t="shared" si="174"/>
        <v>18517.45</v>
      </c>
      <c r="K472" s="12">
        <f>(B472-MAX($B$2:B472))/MAX($B$2:B472)</f>
        <v>0</v>
      </c>
      <c r="L472" s="12">
        <f t="shared" si="175"/>
        <v>5.0153773872752216E-2</v>
      </c>
      <c r="M472" s="15">
        <f t="shared" si="169"/>
        <v>72.566418934948672</v>
      </c>
      <c r="N472" s="11">
        <f t="shared" si="162"/>
        <v>19154.398624467492</v>
      </c>
      <c r="O472" s="11">
        <f t="shared" si="163"/>
        <v>18886.86079371881</v>
      </c>
      <c r="P472" s="11">
        <f t="shared" si="159"/>
        <v>267.53783074868261</v>
      </c>
      <c r="Q472" s="11">
        <f t="shared" si="164"/>
        <v>242.14925054972767</v>
      </c>
      <c r="R472" s="11">
        <f t="shared" si="160"/>
        <v>25.388580198954941</v>
      </c>
      <c r="S472" s="9">
        <f t="shared" si="161"/>
        <v>100</v>
      </c>
      <c r="T472" s="14">
        <f t="shared" si="168"/>
        <v>6.871894974745496E-3</v>
      </c>
      <c r="U472" s="14">
        <f t="shared" si="165"/>
        <v>0</v>
      </c>
      <c r="V472" s="14">
        <f t="shared" si="170"/>
        <v>3.7468493285395888E-3</v>
      </c>
      <c r="W472" s="14">
        <f t="shared" si="170"/>
        <v>1.4164884570805178E-3</v>
      </c>
      <c r="X472" s="16">
        <f t="shared" si="171"/>
        <v>2.6451675690051921</v>
      </c>
    </row>
    <row r="473" spans="1:24" x14ac:dyDescent="0.25">
      <c r="A473" s="10">
        <v>45869</v>
      </c>
      <c r="B473" s="11">
        <v>19634.87</v>
      </c>
      <c r="C473" s="12">
        <f t="shared" si="166"/>
        <v>9.7037102935950692E-3</v>
      </c>
      <c r="D473" s="11">
        <f t="shared" si="176"/>
        <v>19036.580999999998</v>
      </c>
      <c r="E473" s="11">
        <f t="shared" si="157"/>
        <v>18550.625599999996</v>
      </c>
      <c r="F473" s="11">
        <f t="shared" si="155"/>
        <v>17110.888500000005</v>
      </c>
      <c r="G473" s="12">
        <f t="shared" si="167"/>
        <v>9.6569316708817656E-3</v>
      </c>
      <c r="H473" s="19">
        <f t="shared" si="172"/>
        <v>8.7452434854698363E-2</v>
      </c>
      <c r="I473" s="11">
        <f t="shared" si="173"/>
        <v>19634.87</v>
      </c>
      <c r="J473" s="11">
        <f t="shared" si="174"/>
        <v>18590.45</v>
      </c>
      <c r="K473" s="12">
        <f>(B473-MAX($B$2:B473))/MAX($B$2:B473)</f>
        <v>0</v>
      </c>
      <c r="L473" s="12">
        <f t="shared" si="175"/>
        <v>5.6180458246034792E-2</v>
      </c>
      <c r="M473" s="15">
        <f t="shared" si="169"/>
        <v>75.590426970655756</v>
      </c>
      <c r="N473" s="11">
        <f t="shared" si="162"/>
        <v>19228.317297626341</v>
      </c>
      <c r="O473" s="11">
        <f t="shared" si="163"/>
        <v>18942.268883072975</v>
      </c>
      <c r="P473" s="11">
        <f t="shared" si="159"/>
        <v>286.04841455336646</v>
      </c>
      <c r="Q473" s="11">
        <f t="shared" si="164"/>
        <v>250.92908335045541</v>
      </c>
      <c r="R473" s="11">
        <f t="shared" si="160"/>
        <v>35.119331202911042</v>
      </c>
      <c r="S473" s="9">
        <f t="shared" si="161"/>
        <v>100</v>
      </c>
      <c r="T473" s="14">
        <f t="shared" si="168"/>
        <v>9.7037102935950692E-3</v>
      </c>
      <c r="U473" s="14">
        <f t="shared" si="165"/>
        <v>0</v>
      </c>
      <c r="V473" s="14">
        <f t="shared" si="170"/>
        <v>4.38651537005595E-3</v>
      </c>
      <c r="W473" s="14">
        <f t="shared" si="170"/>
        <v>1.4164884570805178E-3</v>
      </c>
      <c r="X473" s="16">
        <f t="shared" si="171"/>
        <v>3.096753346721135</v>
      </c>
    </row>
    <row r="474" spans="1:24" x14ac:dyDescent="0.25">
      <c r="A474" s="10">
        <v>45870</v>
      </c>
      <c r="B474" s="11">
        <v>19570.63</v>
      </c>
      <c r="C474" s="12">
        <f t="shared" si="166"/>
        <v>-3.2717303450442436E-3</v>
      </c>
      <c r="D474" s="11">
        <f t="shared" si="176"/>
        <v>19085.59</v>
      </c>
      <c r="E474" s="11">
        <f t="shared" si="157"/>
        <v>18580.874</v>
      </c>
      <c r="F474" s="11">
        <f t="shared" si="155"/>
        <v>17141.361562500002</v>
      </c>
      <c r="G474" s="12">
        <f t="shared" si="167"/>
        <v>-3.2770941572630428E-3</v>
      </c>
      <c r="H474" s="19">
        <f t="shared" si="172"/>
        <v>9.0061083937150982E-2</v>
      </c>
      <c r="I474" s="11">
        <f t="shared" si="173"/>
        <v>19634.87</v>
      </c>
      <c r="J474" s="11">
        <f t="shared" si="174"/>
        <v>18648.61</v>
      </c>
      <c r="K474" s="12">
        <f>(B474-MAX($B$2:B474))/MAX($B$2:B474)</f>
        <v>-3.2717303450441977E-3</v>
      </c>
      <c r="L474" s="12">
        <f t="shared" si="175"/>
        <v>4.9441754640158209E-2</v>
      </c>
      <c r="M474" s="15">
        <f t="shared" si="169"/>
        <v>69.665025678294342</v>
      </c>
      <c r="N474" s="11">
        <f t="shared" si="162"/>
        <v>19280.980790299211</v>
      </c>
      <c r="O474" s="11">
        <f t="shared" si="163"/>
        <v>18988.814150993494</v>
      </c>
      <c r="P474" s="11">
        <f t="shared" si="159"/>
        <v>292.16663930571667</v>
      </c>
      <c r="Q474" s="11">
        <f t="shared" si="164"/>
        <v>259.17659454150771</v>
      </c>
      <c r="R474" s="11">
        <f t="shared" si="160"/>
        <v>32.99004476420896</v>
      </c>
      <c r="S474" s="9">
        <f t="shared" si="161"/>
        <v>100</v>
      </c>
      <c r="T474" s="14">
        <f t="shared" si="168"/>
        <v>0</v>
      </c>
      <c r="U474" s="14">
        <f t="shared" si="165"/>
        <v>3.2717303450442436E-3</v>
      </c>
      <c r="V474" s="14">
        <f t="shared" si="170"/>
        <v>3.7896875536867886E-3</v>
      </c>
      <c r="W474" s="14">
        <f t="shared" si="170"/>
        <v>1.6501834817265351E-3</v>
      </c>
      <c r="X474" s="16">
        <f t="shared" si="171"/>
        <v>2.2965249595891954</v>
      </c>
    </row>
    <row r="475" spans="1:24" x14ac:dyDescent="0.25">
      <c r="A475" s="10">
        <v>45873</v>
      </c>
      <c r="B475" s="11">
        <v>19547.29</v>
      </c>
      <c r="C475" s="12">
        <f t="shared" si="166"/>
        <v>-1.1926034062266222E-3</v>
      </c>
      <c r="D475" s="11">
        <f t="shared" si="176"/>
        <v>19130.523999999998</v>
      </c>
      <c r="E475" s="11">
        <f t="shared" si="157"/>
        <v>18611.308400000002</v>
      </c>
      <c r="F475" s="11">
        <f t="shared" si="155"/>
        <v>17171.665687500001</v>
      </c>
      <c r="G475" s="12">
        <f t="shared" si="167"/>
        <v>-1.1933151235895348E-3</v>
      </c>
      <c r="H475" s="19">
        <f t="shared" si="172"/>
        <v>9.100720989635068E-2</v>
      </c>
      <c r="I475" s="11">
        <f t="shared" si="173"/>
        <v>19634.87</v>
      </c>
      <c r="J475" s="11">
        <f t="shared" si="174"/>
        <v>18808.5</v>
      </c>
      <c r="K475" s="12">
        <f>(B475-MAX($B$2:B475))/MAX($B$2:B475)</f>
        <v>-4.4604318745170256E-3</v>
      </c>
      <c r="L475" s="12">
        <f t="shared" si="175"/>
        <v>3.9279581040487122E-2</v>
      </c>
      <c r="M475" s="15">
        <f t="shared" si="169"/>
        <v>72.46005297322003</v>
      </c>
      <c r="N475" s="11">
        <f t="shared" si="162"/>
        <v>19321.951437945485</v>
      </c>
      <c r="O475" s="11">
        <f t="shared" si="163"/>
        <v>19030.182732401383</v>
      </c>
      <c r="P475" s="11">
        <f t="shared" si="159"/>
        <v>291.76870554410198</v>
      </c>
      <c r="Q475" s="11">
        <f t="shared" si="164"/>
        <v>265.69501674202661</v>
      </c>
      <c r="R475" s="11">
        <f t="shared" si="160"/>
        <v>26.073688802075367</v>
      </c>
      <c r="S475" s="9">
        <f t="shared" si="161"/>
        <v>100</v>
      </c>
      <c r="T475" s="14">
        <f t="shared" si="168"/>
        <v>0</v>
      </c>
      <c r="U475" s="14">
        <f t="shared" si="165"/>
        <v>1.1926034062266222E-3</v>
      </c>
      <c r="V475" s="14">
        <f t="shared" si="170"/>
        <v>3.7896875536867886E-3</v>
      </c>
      <c r="W475" s="14">
        <f t="shared" si="170"/>
        <v>1.4403494090068358E-3</v>
      </c>
      <c r="X475" s="16">
        <f t="shared" si="171"/>
        <v>2.6310890468583534</v>
      </c>
    </row>
    <row r="476" spans="1:24" x14ac:dyDescent="0.25">
      <c r="A476" s="10">
        <v>45874</v>
      </c>
      <c r="B476" s="11">
        <v>19575.759999999998</v>
      </c>
      <c r="C476" s="12">
        <f t="shared" si="166"/>
        <v>1.4564678786674889E-3</v>
      </c>
      <c r="D476" s="11">
        <f t="shared" si="176"/>
        <v>19168.886999999999</v>
      </c>
      <c r="E476" s="11">
        <f t="shared" si="157"/>
        <v>18640.191600000006</v>
      </c>
      <c r="F476" s="11">
        <f t="shared" si="155"/>
        <v>17202.277187500003</v>
      </c>
      <c r="G476" s="12">
        <f t="shared" si="167"/>
        <v>1.455408258070823E-3</v>
      </c>
      <c r="H476" s="19">
        <f t="shared" si="172"/>
        <v>8.8048463303449773E-2</v>
      </c>
      <c r="I476" s="11">
        <f t="shared" si="173"/>
        <v>19634.87</v>
      </c>
      <c r="J476" s="11">
        <f t="shared" si="174"/>
        <v>18818.05</v>
      </c>
      <c r="K476" s="12">
        <f>(B476-MAX($B$2:B476))/MAX($B$2:B476)</f>
        <v>-3.0104604715997909E-3</v>
      </c>
      <c r="L476" s="12">
        <f t="shared" si="175"/>
        <v>3.8861738310406624E-2</v>
      </c>
      <c r="M476" s="15">
        <f t="shared" si="169"/>
        <v>78.316158310650479</v>
      </c>
      <c r="N476" s="11">
        <f t="shared" si="162"/>
        <v>19360.998909030794</v>
      </c>
      <c r="O476" s="11">
        <f t="shared" si="163"/>
        <v>19070.595863334616</v>
      </c>
      <c r="P476" s="11">
        <f t="shared" si="159"/>
        <v>290.40304569617729</v>
      </c>
      <c r="Q476" s="11">
        <f t="shared" si="164"/>
        <v>270.63662253285679</v>
      </c>
      <c r="R476" s="11">
        <f t="shared" si="160"/>
        <v>19.766423163320496</v>
      </c>
      <c r="S476" s="9">
        <f t="shared" si="161"/>
        <v>100</v>
      </c>
      <c r="T476" s="14">
        <f t="shared" si="168"/>
        <v>1.4564678786674889E-3</v>
      </c>
      <c r="U476" s="14">
        <f t="shared" si="165"/>
        <v>0</v>
      </c>
      <c r="V476" s="14">
        <f t="shared" si="170"/>
        <v>3.8937209735916095E-3</v>
      </c>
      <c r="W476" s="14">
        <f t="shared" si="170"/>
        <v>1.0780767468056246E-3</v>
      </c>
      <c r="X476" s="16">
        <f t="shared" si="171"/>
        <v>3.6117289285098</v>
      </c>
    </row>
    <row r="477" spans="1:24" x14ac:dyDescent="0.25">
      <c r="A477" s="10">
        <v>45875</v>
      </c>
      <c r="B477" s="11">
        <v>19684.96</v>
      </c>
      <c r="C477" s="12">
        <f t="shared" si="166"/>
        <v>5.5783274825600415E-3</v>
      </c>
      <c r="D477" s="11">
        <f t="shared" si="176"/>
        <v>19210.961499999998</v>
      </c>
      <c r="E477" s="11">
        <f t="shared" si="157"/>
        <v>18671.643</v>
      </c>
      <c r="F477" s="11">
        <f t="shared" si="155"/>
        <v>17233.403125000004</v>
      </c>
      <c r="G477" s="12">
        <f t="shared" si="167"/>
        <v>5.5628262344490538E-3</v>
      </c>
      <c r="H477" s="19">
        <f t="shared" si="172"/>
        <v>8.8947174100477713E-2</v>
      </c>
      <c r="I477" s="11">
        <f t="shared" si="173"/>
        <v>19684.96</v>
      </c>
      <c r="J477" s="11">
        <f t="shared" si="174"/>
        <v>18818.05</v>
      </c>
      <c r="K477" s="12">
        <f>(B477-MAX($B$2:B477))/MAX($B$2:B477)</f>
        <v>0</v>
      </c>
      <c r="L477" s="12">
        <f t="shared" si="175"/>
        <v>4.5560171220452972E-2</v>
      </c>
      <c r="M477" s="15">
        <f t="shared" si="169"/>
        <v>80.278399504975638</v>
      </c>
      <c r="N477" s="11">
        <f t="shared" si="162"/>
        <v>19410.839076872209</v>
      </c>
      <c r="O477" s="11">
        <f t="shared" si="163"/>
        <v>19116.104317902424</v>
      </c>
      <c r="P477" s="11">
        <f t="shared" si="159"/>
        <v>294.73475896978562</v>
      </c>
      <c r="Q477" s="11">
        <f t="shared" si="164"/>
        <v>275.45624982024259</v>
      </c>
      <c r="R477" s="11">
        <f t="shared" si="160"/>
        <v>19.278509149543027</v>
      </c>
      <c r="S477" s="9">
        <f t="shared" si="161"/>
        <v>100</v>
      </c>
      <c r="T477" s="14">
        <f t="shared" si="168"/>
        <v>5.5783274825600415E-3</v>
      </c>
      <c r="U477" s="14">
        <f t="shared" si="165"/>
        <v>0</v>
      </c>
      <c r="V477" s="14">
        <f t="shared" si="170"/>
        <v>4.292172936631612E-3</v>
      </c>
      <c r="W477" s="14">
        <f t="shared" si="170"/>
        <v>1.0544370644379583E-3</v>
      </c>
      <c r="X477" s="16">
        <f t="shared" si="171"/>
        <v>4.070582381243824</v>
      </c>
    </row>
    <row r="478" spans="1:24" x14ac:dyDescent="0.25">
      <c r="A478" s="10">
        <v>45876</v>
      </c>
      <c r="B478" s="11">
        <v>19779.009999999998</v>
      </c>
      <c r="C478" s="12">
        <f t="shared" si="166"/>
        <v>4.7777592639253186E-3</v>
      </c>
      <c r="D478" s="11">
        <f t="shared" si="176"/>
        <v>19258.552499999998</v>
      </c>
      <c r="E478" s="11">
        <f t="shared" si="157"/>
        <v>18705.889200000005</v>
      </c>
      <c r="F478" s="11">
        <f t="shared" si="155"/>
        <v>17265.125000000004</v>
      </c>
      <c r="G478" s="12">
        <f t="shared" si="167"/>
        <v>4.7663819963055434E-3</v>
      </c>
      <c r="H478" s="19">
        <f t="shared" si="172"/>
        <v>8.8632462991914823E-2</v>
      </c>
      <c r="I478" s="11">
        <f t="shared" si="173"/>
        <v>19779.009999999998</v>
      </c>
      <c r="J478" s="11">
        <f t="shared" si="174"/>
        <v>18818.05</v>
      </c>
      <c r="K478" s="12">
        <f>(B478-MAX($B$2:B478))/MAX($B$2:B478)</f>
        <v>0</v>
      </c>
      <c r="L478" s="12">
        <f t="shared" si="175"/>
        <v>4.9769973165305181E-2</v>
      </c>
      <c r="M478" s="15">
        <f t="shared" si="169"/>
        <v>80.072387861595416</v>
      </c>
      <c r="N478" s="11">
        <f t="shared" si="162"/>
        <v>19467.480757353405</v>
      </c>
      <c r="O478" s="11">
        <f t="shared" si="163"/>
        <v>19165.208442502244</v>
      </c>
      <c r="P478" s="11">
        <f t="shared" si="159"/>
        <v>302.27231485116135</v>
      </c>
      <c r="Q478" s="11">
        <f t="shared" si="164"/>
        <v>280.81946282642639</v>
      </c>
      <c r="R478" s="11">
        <f t="shared" si="160"/>
        <v>21.452852024734966</v>
      </c>
      <c r="S478" s="9">
        <f t="shared" si="161"/>
        <v>100</v>
      </c>
      <c r="T478" s="14">
        <f t="shared" si="168"/>
        <v>4.7777592639253186E-3</v>
      </c>
      <c r="U478" s="14">
        <f t="shared" si="165"/>
        <v>0</v>
      </c>
      <c r="V478" s="14">
        <f t="shared" si="170"/>
        <v>4.2368996853668116E-3</v>
      </c>
      <c r="W478" s="14">
        <f t="shared" si="170"/>
        <v>1.0544370644379583E-3</v>
      </c>
      <c r="X478" s="16">
        <f t="shared" si="171"/>
        <v>4.0181627033617096</v>
      </c>
    </row>
    <row r="479" spans="1:24" x14ac:dyDescent="0.25">
      <c r="A479" s="10">
        <v>45877</v>
      </c>
      <c r="B479" s="11">
        <v>19818.759999999998</v>
      </c>
      <c r="C479" s="12">
        <f t="shared" si="166"/>
        <v>2.0097062492006046E-3</v>
      </c>
      <c r="D479" s="11">
        <f t="shared" si="176"/>
        <v>19307.426500000001</v>
      </c>
      <c r="E479" s="11">
        <f t="shared" si="157"/>
        <v>18741.260400000003</v>
      </c>
      <c r="F479" s="11">
        <f t="shared" si="155"/>
        <v>17296.646000000001</v>
      </c>
      <c r="G479" s="12">
        <f t="shared" si="167"/>
        <v>2.0076894912052861E-3</v>
      </c>
      <c r="H479" s="19">
        <f t="shared" si="172"/>
        <v>8.8421190581596157E-2</v>
      </c>
      <c r="I479" s="11">
        <f t="shared" si="173"/>
        <v>19818.759999999998</v>
      </c>
      <c r="J479" s="11">
        <f t="shared" si="174"/>
        <v>18818.05</v>
      </c>
      <c r="K479" s="12">
        <f>(B479-MAX($B$2:B479))/MAX($B$2:B479)</f>
        <v>0</v>
      </c>
      <c r="L479" s="12">
        <f t="shared" si="175"/>
        <v>4.3163456887336027E-2</v>
      </c>
      <c r="M479" s="15">
        <f t="shared" si="169"/>
        <v>76.594686192548323</v>
      </c>
      <c r="N479" s="11">
        <f t="shared" si="162"/>
        <v>19521.523717760574</v>
      </c>
      <c r="O479" s="11">
        <f t="shared" si="163"/>
        <v>19213.61966898356</v>
      </c>
      <c r="P479" s="11">
        <f t="shared" si="159"/>
        <v>307.9040487770144</v>
      </c>
      <c r="Q479" s="11">
        <f t="shared" si="164"/>
        <v>286.23638001654399</v>
      </c>
      <c r="R479" s="11">
        <f t="shared" si="160"/>
        <v>21.667668760470406</v>
      </c>
      <c r="S479" s="9">
        <f t="shared" si="161"/>
        <v>100</v>
      </c>
      <c r="T479" s="14">
        <f t="shared" si="168"/>
        <v>2.0097062492006046E-3</v>
      </c>
      <c r="U479" s="14">
        <f t="shared" si="165"/>
        <v>0</v>
      </c>
      <c r="V479" s="14">
        <f t="shared" si="170"/>
        <v>3.4506811882481108E-3</v>
      </c>
      <c r="W479" s="14">
        <f t="shared" si="170"/>
        <v>1.0544370644379583E-3</v>
      </c>
      <c r="X479" s="16">
        <f t="shared" si="171"/>
        <v>3.2725340417423694</v>
      </c>
    </row>
    <row r="480" spans="1:24" x14ac:dyDescent="0.25">
      <c r="A480" s="10">
        <v>45880</v>
      </c>
      <c r="B480" s="11">
        <v>19843.43</v>
      </c>
      <c r="C480" s="12">
        <f t="shared" si="166"/>
        <v>1.2447801981558815E-3</v>
      </c>
      <c r="D480" s="11">
        <f t="shared" si="176"/>
        <v>19349.662499999999</v>
      </c>
      <c r="E480" s="11">
        <f t="shared" si="157"/>
        <v>18778.197400000005</v>
      </c>
      <c r="F480" s="11">
        <f t="shared" si="155"/>
        <v>17328.355250000004</v>
      </c>
      <c r="G480" s="12">
        <f t="shared" si="167"/>
        <v>1.2440061016051347E-3</v>
      </c>
      <c r="H480" s="19">
        <f t="shared" si="172"/>
        <v>8.5802446286247988E-2</v>
      </c>
      <c r="I480" s="11">
        <f t="shared" si="173"/>
        <v>19843.43</v>
      </c>
      <c r="J480" s="11">
        <f t="shared" si="174"/>
        <v>18818.05</v>
      </c>
      <c r="K480" s="12">
        <f>(B480-MAX($B$2:B480))/MAX($B$2:B480)</f>
        <v>0</v>
      </c>
      <c r="L480" s="12">
        <f t="shared" si="175"/>
        <v>4.8793778514437447E-2</v>
      </c>
      <c r="M480" s="15">
        <f t="shared" si="169"/>
        <v>76.912654593740726</v>
      </c>
      <c r="N480" s="11">
        <f t="shared" si="162"/>
        <v>19571.047761182024</v>
      </c>
      <c r="O480" s="11">
        <f t="shared" si="163"/>
        <v>19260.272286095889</v>
      </c>
      <c r="P480" s="11">
        <f t="shared" si="159"/>
        <v>310.77547508613497</v>
      </c>
      <c r="Q480" s="11">
        <f t="shared" si="164"/>
        <v>291.14419903046218</v>
      </c>
      <c r="R480" s="11">
        <f t="shared" si="160"/>
        <v>19.631276055672799</v>
      </c>
      <c r="S480" s="9">
        <f t="shared" si="161"/>
        <v>100</v>
      </c>
      <c r="T480" s="14">
        <f t="shared" si="168"/>
        <v>1.2447801981558815E-3</v>
      </c>
      <c r="U480" s="14">
        <f t="shared" si="165"/>
        <v>0</v>
      </c>
      <c r="V480" s="14">
        <f t="shared" ref="V480:W495" si="177">AVERAGE(T467:T480)</f>
        <v>3.5127275267414454E-3</v>
      </c>
      <c r="W480" s="14">
        <f t="shared" si="177"/>
        <v>1.0544370644379583E-3</v>
      </c>
      <c r="X480" s="16">
        <f t="shared" si="171"/>
        <v>3.3313771349775325</v>
      </c>
    </row>
    <row r="481" spans="1:24" x14ac:dyDescent="0.25">
      <c r="A481" s="10">
        <v>45881</v>
      </c>
      <c r="B481" s="11">
        <v>19883.669999999998</v>
      </c>
      <c r="C481" s="12">
        <f t="shared" si="166"/>
        <v>2.0278752211688733E-3</v>
      </c>
      <c r="D481" s="11">
        <f t="shared" si="176"/>
        <v>19397.833999999999</v>
      </c>
      <c r="E481" s="11">
        <f t="shared" si="157"/>
        <v>18817.452600000004</v>
      </c>
      <c r="F481" s="11">
        <f t="shared" ref="F481:F544" si="178">AVERAGE(B322:B481)</f>
        <v>17360.603187500001</v>
      </c>
      <c r="G481" s="12">
        <f t="shared" si="167"/>
        <v>2.0258218577205249E-3</v>
      </c>
      <c r="H481" s="19">
        <f t="shared" si="172"/>
        <v>8.251308049175797E-2</v>
      </c>
      <c r="I481" s="11">
        <f t="shared" si="173"/>
        <v>19883.669999999998</v>
      </c>
      <c r="J481" s="11">
        <f t="shared" si="174"/>
        <v>18818.05</v>
      </c>
      <c r="K481" s="12">
        <f>(B481-MAX($B$2:B481))/MAX($B$2:B481)</f>
        <v>0</v>
      </c>
      <c r="L481" s="12">
        <f t="shared" si="175"/>
        <v>5.627784967074434E-2</v>
      </c>
      <c r="M481" s="15">
        <f t="shared" si="169"/>
        <v>77.32626338434693</v>
      </c>
      <c r="N481" s="11">
        <f t="shared" si="162"/>
        <v>19619.143490230941</v>
      </c>
      <c r="O481" s="11">
        <f t="shared" si="163"/>
        <v>19306.449894533231</v>
      </c>
      <c r="P481" s="11">
        <f t="shared" si="159"/>
        <v>312.69359569771041</v>
      </c>
      <c r="Q481" s="11">
        <f t="shared" si="164"/>
        <v>295.45407836391183</v>
      </c>
      <c r="R481" s="11">
        <f t="shared" si="160"/>
        <v>17.239517333798574</v>
      </c>
      <c r="S481" s="9">
        <f t="shared" si="161"/>
        <v>100</v>
      </c>
      <c r="T481" s="14">
        <f t="shared" si="168"/>
        <v>2.0278752211688733E-3</v>
      </c>
      <c r="U481" s="14">
        <f t="shared" si="165"/>
        <v>0</v>
      </c>
      <c r="V481" s="14">
        <f t="shared" si="177"/>
        <v>3.59604063278472E-3</v>
      </c>
      <c r="W481" s="14">
        <f t="shared" si="177"/>
        <v>1.0544370644379583E-3</v>
      </c>
      <c r="X481" s="16">
        <f t="shared" si="171"/>
        <v>3.4103890635725147</v>
      </c>
    </row>
    <row r="482" spans="1:24" x14ac:dyDescent="0.25">
      <c r="A482" s="10">
        <v>45882</v>
      </c>
      <c r="B482" s="11">
        <v>19858.63</v>
      </c>
      <c r="C482" s="12">
        <f t="shared" si="166"/>
        <v>-1.2593248630659026E-3</v>
      </c>
      <c r="D482" s="11">
        <f t="shared" si="176"/>
        <v>19449.551500000001</v>
      </c>
      <c r="E482" s="11">
        <f t="shared" si="157"/>
        <v>18855.103000000006</v>
      </c>
      <c r="F482" s="11">
        <f t="shared" si="178"/>
        <v>17392.710562500004</v>
      </c>
      <c r="G482" s="12">
        <f t="shared" si="167"/>
        <v>-1.2601184789714005E-3</v>
      </c>
      <c r="H482" s="19">
        <f t="shared" si="172"/>
        <v>7.8898145845603021E-2</v>
      </c>
      <c r="I482" s="11">
        <f t="shared" si="173"/>
        <v>19883.669999999998</v>
      </c>
      <c r="J482" s="11">
        <f t="shared" si="174"/>
        <v>18818.05</v>
      </c>
      <c r="K482" s="12">
        <f>(B482-MAX($B$2:B482))/MAX($B$2:B482)</f>
        <v>-1.2593248630658846E-3</v>
      </c>
      <c r="L482" s="12">
        <f t="shared" si="175"/>
        <v>5.529690908462892E-2</v>
      </c>
      <c r="M482" s="15">
        <f t="shared" si="169"/>
        <v>82.836503441054901</v>
      </c>
      <c r="N482" s="11">
        <f t="shared" si="162"/>
        <v>19655.98756865695</v>
      </c>
      <c r="O482" s="11">
        <f t="shared" si="163"/>
        <v>19347.352124567806</v>
      </c>
      <c r="P482" s="11">
        <f t="shared" si="159"/>
        <v>308.63544408914458</v>
      </c>
      <c r="Q482" s="11">
        <f t="shared" si="164"/>
        <v>298.09035150895841</v>
      </c>
      <c r="R482" s="11">
        <f t="shared" si="160"/>
        <v>10.545092580186179</v>
      </c>
      <c r="S482" s="9">
        <f t="shared" si="161"/>
        <v>100</v>
      </c>
      <c r="T482" s="14">
        <f t="shared" si="168"/>
        <v>0</v>
      </c>
      <c r="U482" s="14">
        <f t="shared" si="165"/>
        <v>1.2593248630659026E-3</v>
      </c>
      <c r="V482" s="14">
        <f t="shared" si="177"/>
        <v>3.59604063278472E-3</v>
      </c>
      <c r="W482" s="14">
        <f t="shared" si="177"/>
        <v>7.4508976674210665E-4</v>
      </c>
      <c r="X482" s="16">
        <f t="shared" si="171"/>
        <v>4.8263186441391506</v>
      </c>
    </row>
    <row r="483" spans="1:24" x14ac:dyDescent="0.25">
      <c r="A483" s="10">
        <v>45884</v>
      </c>
      <c r="B483" s="11">
        <v>19845.09</v>
      </c>
      <c r="C483" s="12">
        <f t="shared" si="166"/>
        <v>-6.8181944071676881E-4</v>
      </c>
      <c r="D483" s="11">
        <f t="shared" si="176"/>
        <v>19500.903500000004</v>
      </c>
      <c r="E483" s="11">
        <f t="shared" si="157"/>
        <v>18888.140800000005</v>
      </c>
      <c r="F483" s="11">
        <f t="shared" si="178"/>
        <v>17424.739624999998</v>
      </c>
      <c r="G483" s="12">
        <f t="shared" si="167"/>
        <v>-6.8205198529992491E-4</v>
      </c>
      <c r="H483" s="19">
        <f t="shared" si="172"/>
        <v>7.9085128120425216E-2</v>
      </c>
      <c r="I483" s="11">
        <f t="shared" si="173"/>
        <v>19883.669999999998</v>
      </c>
      <c r="J483" s="11">
        <f t="shared" si="174"/>
        <v>18922.52</v>
      </c>
      <c r="K483" s="12">
        <f>(B483-MAX($B$2:B483))/MAX($B$2:B483)</f>
        <v>-1.9402856716088182E-3</v>
      </c>
      <c r="L483" s="12">
        <f t="shared" si="175"/>
        <v>4.87551340941903E-2</v>
      </c>
      <c r="M483" s="15">
        <f t="shared" si="169"/>
        <v>78.61667053178877</v>
      </c>
      <c r="N483" s="11">
        <f t="shared" si="162"/>
        <v>19685.080250402036</v>
      </c>
      <c r="O483" s="11">
        <f t="shared" si="163"/>
        <v>19384.221596822044</v>
      </c>
      <c r="P483" s="11">
        <f t="shared" si="159"/>
        <v>300.85865357999137</v>
      </c>
      <c r="Q483" s="11">
        <f t="shared" si="164"/>
        <v>298.64401192316501</v>
      </c>
      <c r="R483" s="11">
        <f t="shared" si="160"/>
        <v>2.2146416568263589</v>
      </c>
      <c r="S483" s="9">
        <f t="shared" si="161"/>
        <v>100</v>
      </c>
      <c r="T483" s="14">
        <f t="shared" si="168"/>
        <v>0</v>
      </c>
      <c r="U483" s="14">
        <f t="shared" si="165"/>
        <v>6.8181944071676881E-4</v>
      </c>
      <c r="V483" s="14">
        <f t="shared" si="177"/>
        <v>2.9184050980054182E-3</v>
      </c>
      <c r="W483" s="14">
        <f t="shared" si="177"/>
        <v>7.9379115536473298E-4</v>
      </c>
      <c r="X483" s="16">
        <f t="shared" si="171"/>
        <v>3.6765402061760977</v>
      </c>
    </row>
    <row r="484" spans="1:24" x14ac:dyDescent="0.25">
      <c r="A484" s="10">
        <v>45887</v>
      </c>
      <c r="B484" s="11">
        <v>19745.09</v>
      </c>
      <c r="C484" s="12">
        <f t="shared" si="166"/>
        <v>-5.0390298053574201E-3</v>
      </c>
      <c r="D484" s="11">
        <f t="shared" si="176"/>
        <v>19542.032000000003</v>
      </c>
      <c r="E484" s="11">
        <f t="shared" si="157"/>
        <v>18916.529000000002</v>
      </c>
      <c r="F484" s="11">
        <f t="shared" si="178"/>
        <v>17456.680312500001</v>
      </c>
      <c r="G484" s="12">
        <f t="shared" si="167"/>
        <v>-5.0517685279339742E-3</v>
      </c>
      <c r="H484" s="19">
        <f t="shared" si="172"/>
        <v>8.2815026259183702E-2</v>
      </c>
      <c r="I484" s="11">
        <f t="shared" si="173"/>
        <v>19883.669999999998</v>
      </c>
      <c r="J484" s="11">
        <f t="shared" si="174"/>
        <v>19085.27</v>
      </c>
      <c r="K484" s="12">
        <f>(B484-MAX($B$2:B484))/MAX($B$2:B484)</f>
        <v>-6.9695383196360693E-3</v>
      </c>
      <c r="L484" s="12">
        <f t="shared" si="175"/>
        <v>3.0062346006511476E-2</v>
      </c>
      <c r="M484" s="15">
        <f t="shared" si="169"/>
        <v>67.580782513545273</v>
      </c>
      <c r="N484" s="11">
        <f t="shared" si="162"/>
        <v>19694.312519570951</v>
      </c>
      <c r="O484" s="11">
        <f t="shared" si="163"/>
        <v>19410.952589650042</v>
      </c>
      <c r="P484" s="11">
        <f t="shared" si="159"/>
        <v>283.35992992090905</v>
      </c>
      <c r="Q484" s="11">
        <f t="shared" si="164"/>
        <v>295.58719552271384</v>
      </c>
      <c r="R484" s="11">
        <f t="shared" si="160"/>
        <v>-12.227265601804788</v>
      </c>
      <c r="S484" s="9">
        <f t="shared" si="161"/>
        <v>60</v>
      </c>
      <c r="T484" s="14">
        <f t="shared" si="168"/>
        <v>0</v>
      </c>
      <c r="U484" s="14">
        <f t="shared" si="165"/>
        <v>5.0390298053574201E-3</v>
      </c>
      <c r="V484" s="14">
        <f t="shared" si="177"/>
        <v>2.4050372544299125E-3</v>
      </c>
      <c r="W484" s="14">
        <f t="shared" si="177"/>
        <v>1.1537218557474058E-3</v>
      </c>
      <c r="X484" s="16">
        <f t="shared" si="171"/>
        <v>2.0845901830228204</v>
      </c>
    </row>
    <row r="485" spans="1:24" x14ac:dyDescent="0.25">
      <c r="A485" s="10">
        <v>45888</v>
      </c>
      <c r="B485" s="11">
        <v>19619.560000000001</v>
      </c>
      <c r="C485" s="12">
        <f t="shared" si="166"/>
        <v>-6.3575298973060912E-3</v>
      </c>
      <c r="D485" s="11">
        <f t="shared" si="176"/>
        <v>19564.568500000001</v>
      </c>
      <c r="E485" s="11">
        <f t="shared" si="157"/>
        <v>18935.950400000002</v>
      </c>
      <c r="F485" s="11">
        <f t="shared" si="178"/>
        <v>17487.982375</v>
      </c>
      <c r="G485" s="12">
        <f t="shared" si="167"/>
        <v>-6.3778250542754784E-3</v>
      </c>
      <c r="H485" s="19">
        <f t="shared" si="172"/>
        <v>7.760173472610947E-2</v>
      </c>
      <c r="I485" s="11">
        <f t="shared" si="173"/>
        <v>19883.669999999998</v>
      </c>
      <c r="J485" s="11">
        <f t="shared" si="174"/>
        <v>19085.27</v>
      </c>
      <c r="K485" s="12">
        <f>(B485-MAX($B$2:B485))/MAX($B$2:B485)</f>
        <v>-1.328275916870462E-2</v>
      </c>
      <c r="L485" s="12">
        <f t="shared" si="175"/>
        <v>2.3128862893485813E-2</v>
      </c>
      <c r="M485" s="15">
        <f t="shared" si="169"/>
        <v>65.414508248686758</v>
      </c>
      <c r="N485" s="11">
        <f t="shared" si="162"/>
        <v>19682.812131944651</v>
      </c>
      <c r="O485" s="11">
        <f t="shared" si="163"/>
        <v>19426.404990416708</v>
      </c>
      <c r="P485" s="11">
        <f t="shared" si="159"/>
        <v>256.40714152794317</v>
      </c>
      <c r="Q485" s="11">
        <f t="shared" si="164"/>
        <v>287.75118472375971</v>
      </c>
      <c r="R485" s="11">
        <f t="shared" si="160"/>
        <v>-31.344043195816539</v>
      </c>
      <c r="S485" s="9">
        <f t="shared" si="161"/>
        <v>60</v>
      </c>
      <c r="T485" s="14">
        <f t="shared" si="168"/>
        <v>0</v>
      </c>
      <c r="U485" s="14">
        <f t="shared" si="165"/>
        <v>6.3575298973060912E-3</v>
      </c>
      <c r="V485" s="14">
        <f t="shared" si="177"/>
        <v>2.4050372544299125E-3</v>
      </c>
      <c r="W485" s="14">
        <f t="shared" si="177"/>
        <v>1.2715741255512178E-3</v>
      </c>
      <c r="X485" s="16">
        <f t="shared" si="171"/>
        <v>1.8913858076400754</v>
      </c>
    </row>
    <row r="486" spans="1:24" x14ac:dyDescent="0.25">
      <c r="A486" s="10">
        <v>45891</v>
      </c>
      <c r="B486" s="11">
        <v>19982.27</v>
      </c>
      <c r="C486" s="12">
        <f t="shared" si="166"/>
        <v>1.8487162810990609E-2</v>
      </c>
      <c r="D486" s="11">
        <f t="shared" si="176"/>
        <v>19604.880000000005</v>
      </c>
      <c r="E486" s="11">
        <f t="shared" si="157"/>
        <v>18961.788600000007</v>
      </c>
      <c r="F486" s="11">
        <f t="shared" si="178"/>
        <v>17521.278562499996</v>
      </c>
      <c r="G486" s="12">
        <f t="shared" si="167"/>
        <v>1.8318352590555434E-2</v>
      </c>
      <c r="H486" s="19">
        <f t="shared" si="172"/>
        <v>9.8509881437603086E-2</v>
      </c>
      <c r="I486" s="11">
        <f t="shared" si="173"/>
        <v>19982.27</v>
      </c>
      <c r="J486" s="11">
        <f t="shared" si="174"/>
        <v>19085.27</v>
      </c>
      <c r="K486" s="12">
        <f>(B486-MAX($B$2:B486))/MAX($B$2:B486)</f>
        <v>0</v>
      </c>
      <c r="L486" s="12">
        <f t="shared" si="175"/>
        <v>4.1146673502648889E-2</v>
      </c>
      <c r="M486" s="15">
        <f t="shared" si="169"/>
        <v>71.782135222849632</v>
      </c>
      <c r="N486" s="11">
        <f t="shared" si="162"/>
        <v>19728.882573183935</v>
      </c>
      <c r="O486" s="11">
        <f t="shared" si="163"/>
        <v>19467.580176311763</v>
      </c>
      <c r="P486" s="11">
        <f t="shared" si="159"/>
        <v>261.30239687217181</v>
      </c>
      <c r="Q486" s="11">
        <f t="shared" si="164"/>
        <v>282.46142715344217</v>
      </c>
      <c r="R486" s="11">
        <f t="shared" si="160"/>
        <v>-21.159030281270361</v>
      </c>
      <c r="S486" s="9">
        <f t="shared" si="161"/>
        <v>60</v>
      </c>
      <c r="T486" s="14">
        <f t="shared" si="168"/>
        <v>1.8487162810990609E-2</v>
      </c>
      <c r="U486" s="14">
        <f t="shared" si="165"/>
        <v>0</v>
      </c>
      <c r="V486" s="14">
        <f t="shared" si="177"/>
        <v>3.234699242733135E-3</v>
      </c>
      <c r="W486" s="14">
        <f t="shared" si="177"/>
        <v>1.2715741255512178E-3</v>
      </c>
      <c r="X486" s="16">
        <f t="shared" si="171"/>
        <v>2.5438542494177581</v>
      </c>
    </row>
    <row r="487" spans="1:24" x14ac:dyDescent="0.25">
      <c r="A487" s="10">
        <v>45894</v>
      </c>
      <c r="B487" s="11">
        <v>19997.349999999999</v>
      </c>
      <c r="C487" s="12">
        <f t="shared" si="166"/>
        <v>7.5466901408094422E-4</v>
      </c>
      <c r="D487" s="11">
        <f t="shared" si="176"/>
        <v>19645.119500000004</v>
      </c>
      <c r="E487" s="11">
        <f t="shared" si="157"/>
        <v>18990.486200000003</v>
      </c>
      <c r="F487" s="11">
        <f t="shared" si="178"/>
        <v>17554.708687499995</v>
      </c>
      <c r="G487" s="12">
        <f t="shared" si="167"/>
        <v>7.5438439460720052E-4</v>
      </c>
      <c r="H487" s="19">
        <f t="shared" si="172"/>
        <v>9.8527825570534536E-2</v>
      </c>
      <c r="I487" s="11">
        <f t="shared" si="173"/>
        <v>19997.349999999999</v>
      </c>
      <c r="J487" s="11">
        <f t="shared" si="174"/>
        <v>19085.27</v>
      </c>
      <c r="K487" s="12">
        <f>(B487-MAX($B$2:B487))/MAX($B$2:B487)</f>
        <v>0</v>
      </c>
      <c r="L487" s="12">
        <f t="shared" si="175"/>
        <v>4.7789735225123753E-2</v>
      </c>
      <c r="M487" s="15">
        <f t="shared" si="169"/>
        <v>67.117774310015903</v>
      </c>
      <c r="N487" s="11">
        <f t="shared" si="162"/>
        <v>19770.185254232561</v>
      </c>
      <c r="O487" s="11">
        <f t="shared" si="163"/>
        <v>19506.822385473854</v>
      </c>
      <c r="P487" s="11">
        <f t="shared" si="159"/>
        <v>263.36286875870792</v>
      </c>
      <c r="Q487" s="11">
        <f t="shared" si="164"/>
        <v>278.64171547449536</v>
      </c>
      <c r="R487" s="11">
        <f t="shared" si="160"/>
        <v>-15.278846715787438</v>
      </c>
      <c r="S487" s="9">
        <f t="shared" si="161"/>
        <v>60</v>
      </c>
      <c r="T487" s="14">
        <f t="shared" si="168"/>
        <v>7.5466901408094422E-4</v>
      </c>
      <c r="U487" s="14">
        <f t="shared" si="165"/>
        <v>0</v>
      </c>
      <c r="V487" s="14">
        <f t="shared" si="177"/>
        <v>2.5954820084821257E-3</v>
      </c>
      <c r="W487" s="14">
        <f t="shared" si="177"/>
        <v>1.2715741255512178E-3</v>
      </c>
      <c r="X487" s="16">
        <f t="shared" si="171"/>
        <v>2.0411566705613828</v>
      </c>
    </row>
    <row r="488" spans="1:24" x14ac:dyDescent="0.25">
      <c r="A488" s="10">
        <v>45895</v>
      </c>
      <c r="B488" s="11">
        <v>20065.36</v>
      </c>
      <c r="C488" s="12">
        <f t="shared" si="166"/>
        <v>3.4009506259580213E-3</v>
      </c>
      <c r="D488" s="11">
        <f t="shared" si="176"/>
        <v>19694.124000000003</v>
      </c>
      <c r="E488" s="11">
        <f t="shared" si="157"/>
        <v>19018.926800000001</v>
      </c>
      <c r="F488" s="11">
        <f t="shared" si="178"/>
        <v>17588.122062499995</v>
      </c>
      <c r="G488" s="12">
        <f t="shared" si="167"/>
        <v>3.3951804723485234E-3</v>
      </c>
      <c r="H488" s="19">
        <f t="shared" si="172"/>
        <v>9.4338216079756315E-2</v>
      </c>
      <c r="I488" s="11">
        <f t="shared" si="173"/>
        <v>20065.36</v>
      </c>
      <c r="J488" s="11">
        <f t="shared" si="174"/>
        <v>19266.330000000002</v>
      </c>
      <c r="K488" s="12">
        <f>(B488-MAX($B$2:B488))/MAX($B$2:B488)</f>
        <v>0</v>
      </c>
      <c r="L488" s="12">
        <f t="shared" si="175"/>
        <v>4.1472870027659647E-2</v>
      </c>
      <c r="M488" s="15">
        <f t="shared" si="169"/>
        <v>73.224910142204209</v>
      </c>
      <c r="N488" s="11">
        <f t="shared" si="162"/>
        <v>19815.596753581398</v>
      </c>
      <c r="O488" s="11">
        <f t="shared" si="163"/>
        <v>19548.195542105423</v>
      </c>
      <c r="P488" s="11">
        <f t="shared" si="159"/>
        <v>267.40121147597529</v>
      </c>
      <c r="Q488" s="11">
        <f t="shared" si="164"/>
        <v>276.39361467479137</v>
      </c>
      <c r="R488" s="11">
        <f t="shared" si="160"/>
        <v>-8.9924031988160777</v>
      </c>
      <c r="S488" s="9">
        <f t="shared" si="161"/>
        <v>60</v>
      </c>
      <c r="T488" s="14">
        <f t="shared" si="168"/>
        <v>3.4009506259580213E-3</v>
      </c>
      <c r="U488" s="14">
        <f t="shared" si="165"/>
        <v>0</v>
      </c>
      <c r="V488" s="14">
        <f t="shared" si="177"/>
        <v>2.838407053193413E-3</v>
      </c>
      <c r="W488" s="14">
        <f t="shared" si="177"/>
        <v>1.0378791009052004E-3</v>
      </c>
      <c r="X488" s="16">
        <f t="shared" si="171"/>
        <v>2.7348147300758416</v>
      </c>
    </row>
    <row r="489" spans="1:24" x14ac:dyDescent="0.25">
      <c r="A489" s="10">
        <v>45896</v>
      </c>
      <c r="B489" s="11">
        <v>20233.5</v>
      </c>
      <c r="C489" s="12">
        <f t="shared" si="166"/>
        <v>8.3796154168178649E-3</v>
      </c>
      <c r="D489" s="11">
        <f t="shared" si="176"/>
        <v>19742.482500000002</v>
      </c>
      <c r="E489" s="11">
        <f t="shared" si="157"/>
        <v>19050.478800000001</v>
      </c>
      <c r="F489" s="11">
        <f t="shared" si="178"/>
        <v>17622.248999999996</v>
      </c>
      <c r="G489" s="12">
        <f t="shared" si="167"/>
        <v>8.3447013482680944E-3</v>
      </c>
      <c r="H489" s="19">
        <f t="shared" si="172"/>
        <v>9.3342850830734778E-2</v>
      </c>
      <c r="I489" s="11">
        <f t="shared" si="173"/>
        <v>20233.5</v>
      </c>
      <c r="J489" s="11">
        <f t="shared" si="174"/>
        <v>19313.45</v>
      </c>
      <c r="K489" s="12">
        <f>(B489-MAX($B$2:B489))/MAX($B$2:B489)</f>
        <v>0</v>
      </c>
      <c r="L489" s="12">
        <f t="shared" si="175"/>
        <v>4.2705928430079254E-2</v>
      </c>
      <c r="M489" s="15">
        <f t="shared" si="169"/>
        <v>78.296802435252843</v>
      </c>
      <c r="N489" s="11">
        <f t="shared" si="162"/>
        <v>19879.88956072272</v>
      </c>
      <c r="O489" s="11">
        <f t="shared" si="163"/>
        <v>19598.9588352828</v>
      </c>
      <c r="P489" s="11">
        <f t="shared" si="159"/>
        <v>280.93072543992093</v>
      </c>
      <c r="Q489" s="11">
        <f t="shared" si="164"/>
        <v>277.30103682781726</v>
      </c>
      <c r="R489" s="11">
        <f t="shared" si="160"/>
        <v>3.6296886121036778</v>
      </c>
      <c r="S489" s="9">
        <f t="shared" si="161"/>
        <v>100</v>
      </c>
      <c r="T489" s="14">
        <f t="shared" si="168"/>
        <v>8.3796154168178649E-3</v>
      </c>
      <c r="U489" s="14">
        <f t="shared" si="165"/>
        <v>0</v>
      </c>
      <c r="V489" s="14">
        <f t="shared" si="177"/>
        <v>3.4369510115375462E-3</v>
      </c>
      <c r="W489" s="14">
        <f t="shared" si="177"/>
        <v>9.5269314331758448E-4</v>
      </c>
      <c r="X489" s="16">
        <f t="shared" si="171"/>
        <v>3.6076159838507658</v>
      </c>
    </row>
    <row r="490" spans="1:24" x14ac:dyDescent="0.25">
      <c r="A490" s="10">
        <v>45897</v>
      </c>
      <c r="B490" s="11">
        <v>20138.22</v>
      </c>
      <c r="C490" s="12">
        <f t="shared" si="166"/>
        <v>-4.7090221662094978E-3</v>
      </c>
      <c r="D490" s="11">
        <f t="shared" si="176"/>
        <v>19779.153499999997</v>
      </c>
      <c r="E490" s="11">
        <f t="shared" si="157"/>
        <v>19082.566200000001</v>
      </c>
      <c r="F490" s="11">
        <f t="shared" si="178"/>
        <v>17653.817499999997</v>
      </c>
      <c r="G490" s="12">
        <f t="shared" si="167"/>
        <v>-4.7201445418359328E-3</v>
      </c>
      <c r="H490" s="19">
        <f t="shared" si="172"/>
        <v>9.4902176957196827E-2</v>
      </c>
      <c r="I490" s="11">
        <f t="shared" si="173"/>
        <v>20233.5</v>
      </c>
      <c r="J490" s="11">
        <f t="shared" si="174"/>
        <v>19313.45</v>
      </c>
      <c r="K490" s="12">
        <f>(B490-MAX($B$2:B490))/MAX($B$2:B490)</f>
        <v>-4.7090221662094466E-3</v>
      </c>
      <c r="L490" s="12">
        <f t="shared" si="175"/>
        <v>4.2704436545516256E-2</v>
      </c>
      <c r="M490" s="15">
        <f t="shared" si="169"/>
        <v>72.110333477487941</v>
      </c>
      <c r="N490" s="11">
        <f t="shared" si="162"/>
        <v>19919.632705226919</v>
      </c>
      <c r="O490" s="11">
        <f t="shared" si="163"/>
        <v>19638.904106743335</v>
      </c>
      <c r="P490" s="11">
        <f t="shared" si="159"/>
        <v>280.72859848358348</v>
      </c>
      <c r="Q490" s="11">
        <f t="shared" si="164"/>
        <v>277.98654915897055</v>
      </c>
      <c r="R490" s="11">
        <f t="shared" si="160"/>
        <v>2.7420493246129354</v>
      </c>
      <c r="S490" s="9">
        <f t="shared" si="161"/>
        <v>100</v>
      </c>
      <c r="T490" s="14">
        <f t="shared" si="168"/>
        <v>0</v>
      </c>
      <c r="U490" s="14">
        <f t="shared" si="165"/>
        <v>4.7090221662094978E-3</v>
      </c>
      <c r="V490" s="14">
        <f t="shared" si="177"/>
        <v>3.3329175916327258E-3</v>
      </c>
      <c r="W490" s="14">
        <f t="shared" si="177"/>
        <v>1.2890518694754058E-3</v>
      </c>
      <c r="X490" s="16">
        <f t="shared" si="171"/>
        <v>2.5855573934267628</v>
      </c>
    </row>
    <row r="491" spans="1:24" x14ac:dyDescent="0.25">
      <c r="A491" s="10">
        <v>45898</v>
      </c>
      <c r="B491" s="11">
        <v>20054.88</v>
      </c>
      <c r="C491" s="12">
        <f t="shared" si="166"/>
        <v>-4.1383995209109958E-3</v>
      </c>
      <c r="D491" s="11">
        <f t="shared" si="176"/>
        <v>19816.224999999999</v>
      </c>
      <c r="E491" s="11">
        <f t="shared" si="157"/>
        <v>19115.313399999999</v>
      </c>
      <c r="F491" s="11">
        <f t="shared" si="178"/>
        <v>17682.183624999994</v>
      </c>
      <c r="G491" s="12">
        <f t="shared" si="167"/>
        <v>-4.1469863950069456E-3</v>
      </c>
      <c r="H491" s="19">
        <f t="shared" si="172"/>
        <v>9.4397281433740807E-2</v>
      </c>
      <c r="I491" s="11">
        <f t="shared" si="173"/>
        <v>20233.5</v>
      </c>
      <c r="J491" s="11">
        <f t="shared" si="174"/>
        <v>19446.169999999998</v>
      </c>
      <c r="K491" s="12">
        <f>(B491-MAX($B$2:B491))/MAX($B$2:B491)</f>
        <v>-8.8279338720438378E-3</v>
      </c>
      <c r="L491" s="12">
        <f t="shared" si="175"/>
        <v>3.1302307858051437E-2</v>
      </c>
      <c r="M491" s="15">
        <f t="shared" si="169"/>
        <v>64.934484488800564</v>
      </c>
      <c r="N491" s="11">
        <f t="shared" si="162"/>
        <v>19940.439981345855</v>
      </c>
      <c r="O491" s="11">
        <f t="shared" si="163"/>
        <v>19669.717135873456</v>
      </c>
      <c r="P491" s="11">
        <f t="shared" si="159"/>
        <v>270.72284547239906</v>
      </c>
      <c r="Q491" s="11">
        <f t="shared" si="164"/>
        <v>276.53380842165626</v>
      </c>
      <c r="R491" s="11">
        <f t="shared" si="160"/>
        <v>-5.8109629492572026</v>
      </c>
      <c r="S491" s="9">
        <f t="shared" si="161"/>
        <v>60</v>
      </c>
      <c r="T491" s="14">
        <f t="shared" si="168"/>
        <v>0</v>
      </c>
      <c r="U491" s="14">
        <f t="shared" si="165"/>
        <v>4.1383995209109958E-3</v>
      </c>
      <c r="V491" s="14">
        <f t="shared" si="177"/>
        <v>2.9344656285927228E-3</v>
      </c>
      <c r="W491" s="14">
        <f t="shared" si="177"/>
        <v>1.5846518352547626E-3</v>
      </c>
      <c r="X491" s="16">
        <f t="shared" si="171"/>
        <v>1.8518046445962386</v>
      </c>
    </row>
    <row r="492" spans="1:24" x14ac:dyDescent="0.25">
      <c r="A492" s="10">
        <v>45901</v>
      </c>
      <c r="B492" s="11">
        <v>20071.84</v>
      </c>
      <c r="C492" s="12">
        <f t="shared" si="166"/>
        <v>8.4567945557378899E-4</v>
      </c>
      <c r="D492" s="11">
        <f t="shared" si="176"/>
        <v>19847.5085</v>
      </c>
      <c r="E492" s="11">
        <f t="shared" si="157"/>
        <v>19153.178</v>
      </c>
      <c r="F492" s="11">
        <f t="shared" si="178"/>
        <v>17710.388437499994</v>
      </c>
      <c r="G492" s="12">
        <f t="shared" si="167"/>
        <v>8.4532207017779741E-4</v>
      </c>
      <c r="H492" s="19">
        <f t="shared" si="172"/>
        <v>9.2597576798409478E-2</v>
      </c>
      <c r="I492" s="11">
        <f t="shared" si="173"/>
        <v>20233.5</v>
      </c>
      <c r="J492" s="11">
        <f t="shared" si="174"/>
        <v>19547.29</v>
      </c>
      <c r="K492" s="12">
        <f>(B492-MAX($B$2:B492))/MAX($B$2:B492)</f>
        <v>-7.9897200187807275E-3</v>
      </c>
      <c r="L492" s="12">
        <f t="shared" si="175"/>
        <v>2.2254794658686405E-2</v>
      </c>
      <c r="M492" s="15">
        <f t="shared" si="169"/>
        <v>62.610744818641358</v>
      </c>
      <c r="N492" s="11">
        <f t="shared" si="162"/>
        <v>19960.655368831107</v>
      </c>
      <c r="O492" s="11">
        <f t="shared" si="163"/>
        <v>19699.504014697646</v>
      </c>
      <c r="P492" s="11">
        <f t="shared" si="159"/>
        <v>261.1513541334607</v>
      </c>
      <c r="Q492" s="11">
        <f t="shared" si="164"/>
        <v>273.45731756401716</v>
      </c>
      <c r="R492" s="11">
        <f t="shared" si="160"/>
        <v>-12.30596343055646</v>
      </c>
      <c r="S492" s="9">
        <f t="shared" si="161"/>
        <v>60</v>
      </c>
      <c r="T492" s="14">
        <f t="shared" si="168"/>
        <v>8.4567945557378899E-4</v>
      </c>
      <c r="U492" s="14">
        <f t="shared" si="165"/>
        <v>0</v>
      </c>
      <c r="V492" s="14">
        <f t="shared" si="177"/>
        <v>2.653602785139042E-3</v>
      </c>
      <c r="W492" s="14">
        <f t="shared" si="177"/>
        <v>1.5846518352547626E-3</v>
      </c>
      <c r="X492" s="16">
        <f t="shared" si="171"/>
        <v>1.6745651796203078</v>
      </c>
    </row>
    <row r="493" spans="1:24" x14ac:dyDescent="0.25">
      <c r="A493" s="10">
        <v>45902</v>
      </c>
      <c r="B493" s="11">
        <v>20118.53</v>
      </c>
      <c r="C493" s="12">
        <f t="shared" si="166"/>
        <v>2.3261444889954852E-3</v>
      </c>
      <c r="D493" s="11">
        <f t="shared" si="176"/>
        <v>19871.691499999997</v>
      </c>
      <c r="E493" s="11">
        <f t="shared" si="157"/>
        <v>19193.976200000001</v>
      </c>
      <c r="F493" s="11">
        <f t="shared" si="178"/>
        <v>17739.071999999993</v>
      </c>
      <c r="G493" s="12">
        <f t="shared" si="167"/>
        <v>2.3234432031467469E-3</v>
      </c>
      <c r="H493" s="19">
        <f t="shared" si="172"/>
        <v>8.7643536023150892E-2</v>
      </c>
      <c r="I493" s="11">
        <f t="shared" si="173"/>
        <v>20233.5</v>
      </c>
      <c r="J493" s="11">
        <f t="shared" si="174"/>
        <v>19547.29</v>
      </c>
      <c r="K493" s="12">
        <f>(B493-MAX($B$2:B493))/MAX($B$2:B493)</f>
        <v>-5.6821607729755684E-3</v>
      </c>
      <c r="L493" s="12">
        <f t="shared" si="175"/>
        <v>2.7996032830828632E-2</v>
      </c>
      <c r="M493" s="15">
        <f t="shared" si="169"/>
        <v>62.809085017069314</v>
      </c>
      <c r="N493" s="11">
        <f t="shared" si="162"/>
        <v>19984.943773626321</v>
      </c>
      <c r="O493" s="11">
        <f t="shared" si="163"/>
        <v>19730.542976571895</v>
      </c>
      <c r="P493" s="11">
        <f t="shared" si="159"/>
        <v>254.40079705442622</v>
      </c>
      <c r="Q493" s="11">
        <f t="shared" si="164"/>
        <v>269.64601346209901</v>
      </c>
      <c r="R493" s="11">
        <f t="shared" si="160"/>
        <v>-15.245216407672785</v>
      </c>
      <c r="S493" s="9">
        <f t="shared" si="161"/>
        <v>60</v>
      </c>
      <c r="T493" s="14">
        <f t="shared" si="168"/>
        <v>2.3261444889954852E-3</v>
      </c>
      <c r="U493" s="14">
        <f t="shared" si="165"/>
        <v>0</v>
      </c>
      <c r="V493" s="14">
        <f t="shared" si="177"/>
        <v>2.6762055165529619E-3</v>
      </c>
      <c r="W493" s="14">
        <f t="shared" si="177"/>
        <v>1.5846518352547626E-3</v>
      </c>
      <c r="X493" s="16">
        <f t="shared" si="171"/>
        <v>1.6888287111488509</v>
      </c>
    </row>
    <row r="494" spans="1:24" x14ac:dyDescent="0.25">
      <c r="A494" s="10">
        <v>45903</v>
      </c>
      <c r="B494" s="11">
        <v>20146.13</v>
      </c>
      <c r="C494" s="12">
        <f t="shared" si="166"/>
        <v>1.3718696147284604E-3</v>
      </c>
      <c r="D494" s="11">
        <f t="shared" si="176"/>
        <v>19900.466499999999</v>
      </c>
      <c r="E494" s="11">
        <f t="shared" si="157"/>
        <v>19239.593400000002</v>
      </c>
      <c r="F494" s="11">
        <f t="shared" si="178"/>
        <v>17766.712249999993</v>
      </c>
      <c r="G494" s="12">
        <f t="shared" si="167"/>
        <v>1.3709294613555552E-3</v>
      </c>
      <c r="H494" s="19">
        <f t="shared" si="172"/>
        <v>8.6020567042998403E-2</v>
      </c>
      <c r="I494" s="11">
        <f t="shared" si="173"/>
        <v>20233.5</v>
      </c>
      <c r="J494" s="11">
        <f t="shared" si="174"/>
        <v>19547.29</v>
      </c>
      <c r="K494" s="12">
        <f>(B494-MAX($B$2:B494))/MAX($B$2:B494)</f>
        <v>-4.3180863419575938E-3</v>
      </c>
      <c r="L494" s="12">
        <f t="shared" si="175"/>
        <v>3.063544869902679E-2</v>
      </c>
      <c r="M494" s="15">
        <f t="shared" si="169"/>
        <v>62.888152321402899</v>
      </c>
      <c r="N494" s="11">
        <f t="shared" si="162"/>
        <v>20009.741654606885</v>
      </c>
      <c r="O494" s="11">
        <f t="shared" si="163"/>
        <v>19761.327200529529</v>
      </c>
      <c r="P494" s="11">
        <f t="shared" si="159"/>
        <v>248.41445407735591</v>
      </c>
      <c r="Q494" s="11">
        <f t="shared" si="164"/>
        <v>265.39970158515041</v>
      </c>
      <c r="R494" s="11">
        <f t="shared" si="160"/>
        <v>-16.985247507794497</v>
      </c>
      <c r="S494" s="9">
        <f t="shared" si="161"/>
        <v>60</v>
      </c>
      <c r="T494" s="14">
        <f t="shared" si="168"/>
        <v>1.3718696147284604E-3</v>
      </c>
      <c r="U494" s="14">
        <f t="shared" si="165"/>
        <v>0</v>
      </c>
      <c r="V494" s="14">
        <f t="shared" si="177"/>
        <v>2.6852833320224318E-3</v>
      </c>
      <c r="W494" s="14">
        <f t="shared" si="177"/>
        <v>1.5846518352547626E-3</v>
      </c>
      <c r="X494" s="16">
        <f t="shared" si="171"/>
        <v>1.6945572978752914</v>
      </c>
    </row>
    <row r="495" spans="1:24" x14ac:dyDescent="0.25">
      <c r="A495" s="10">
        <v>45904</v>
      </c>
      <c r="B495" s="11">
        <v>20088.150000000001</v>
      </c>
      <c r="C495" s="12">
        <f t="shared" si="166"/>
        <v>-2.8779720968741263E-3</v>
      </c>
      <c r="D495" s="11">
        <f t="shared" si="176"/>
        <v>19927.509499999996</v>
      </c>
      <c r="E495" s="11">
        <f t="shared" si="157"/>
        <v>19288.827800000003</v>
      </c>
      <c r="F495" s="11">
        <f t="shared" si="178"/>
        <v>17793.227999999992</v>
      </c>
      <c r="G495" s="12">
        <f t="shared" si="167"/>
        <v>-2.8821214215753797E-3</v>
      </c>
      <c r="H495" s="19">
        <f t="shared" si="172"/>
        <v>8.6912881295635125E-2</v>
      </c>
      <c r="I495" s="11">
        <f t="shared" si="173"/>
        <v>20233.5</v>
      </c>
      <c r="J495" s="11">
        <f t="shared" si="174"/>
        <v>19575.759999999998</v>
      </c>
      <c r="K495" s="12">
        <f>(B495-MAX($B$2:B495))/MAX($B$2:B495)</f>
        <v>-7.1836311068277136E-3</v>
      </c>
      <c r="L495" s="12">
        <f t="shared" si="175"/>
        <v>2.6174718120778095E-2</v>
      </c>
      <c r="M495" s="15">
        <f t="shared" si="169"/>
        <v>58.661664267858868</v>
      </c>
      <c r="N495" s="11">
        <f t="shared" si="162"/>
        <v>20021.804476975056</v>
      </c>
      <c r="O495" s="11">
        <f t="shared" si="163"/>
        <v>19785.536296786602</v>
      </c>
      <c r="P495" s="11">
        <f t="shared" si="159"/>
        <v>236.2681801884537</v>
      </c>
      <c r="Q495" s="11">
        <f t="shared" si="164"/>
        <v>259.57339730581111</v>
      </c>
      <c r="R495" s="11">
        <f t="shared" si="160"/>
        <v>-23.305217117357415</v>
      </c>
      <c r="S495" s="9">
        <f t="shared" si="161"/>
        <v>60</v>
      </c>
      <c r="T495" s="14">
        <f t="shared" si="168"/>
        <v>0</v>
      </c>
      <c r="U495" s="14">
        <f t="shared" si="165"/>
        <v>2.8779720968741263E-3</v>
      </c>
      <c r="V495" s="14">
        <f t="shared" si="177"/>
        <v>2.540435101938941E-3</v>
      </c>
      <c r="W495" s="14">
        <f t="shared" si="177"/>
        <v>1.7902212707457715E-3</v>
      </c>
      <c r="X495" s="16">
        <f t="shared" si="171"/>
        <v>1.4190620698415928</v>
      </c>
    </row>
    <row r="496" spans="1:24" x14ac:dyDescent="0.25">
      <c r="A496" s="10">
        <v>45908</v>
      </c>
      <c r="B496" s="11">
        <v>20040.46</v>
      </c>
      <c r="C496" s="12">
        <f t="shared" si="166"/>
        <v>-2.3740364344154719E-3</v>
      </c>
      <c r="D496" s="11">
        <f t="shared" si="176"/>
        <v>19950.744500000004</v>
      </c>
      <c r="E496" s="11">
        <f t="shared" si="157"/>
        <v>19330.490400000002</v>
      </c>
      <c r="F496" s="11">
        <f t="shared" si="178"/>
        <v>17819.25737499999</v>
      </c>
      <c r="G496" s="12">
        <f t="shared" si="167"/>
        <v>-2.3768589269296965E-3</v>
      </c>
      <c r="H496" s="19">
        <f t="shared" si="172"/>
        <v>8.7918553420087767E-2</v>
      </c>
      <c r="I496" s="11">
        <f t="shared" si="173"/>
        <v>20233.5</v>
      </c>
      <c r="J496" s="11">
        <f t="shared" si="174"/>
        <v>19619.560000000001</v>
      </c>
      <c r="K496" s="12">
        <f>(B496-MAX($B$2:B496))/MAX($B$2:B496)</f>
        <v>-9.540613339264134E-3</v>
      </c>
      <c r="L496" s="12">
        <f t="shared" si="175"/>
        <v>1.8059472815794342E-2</v>
      </c>
      <c r="M496" s="15">
        <f t="shared" si="169"/>
        <v>57.602598755015144</v>
      </c>
      <c r="N496" s="11">
        <f t="shared" si="162"/>
        <v>20024.67455744043</v>
      </c>
      <c r="O496" s="11">
        <f t="shared" si="163"/>
        <v>19804.419534061668</v>
      </c>
      <c r="P496" s="11">
        <f t="shared" si="159"/>
        <v>220.25502337876242</v>
      </c>
      <c r="Q496" s="11">
        <f t="shared" si="164"/>
        <v>251.70972252040139</v>
      </c>
      <c r="R496" s="11">
        <f t="shared" si="160"/>
        <v>-31.454699141638969</v>
      </c>
      <c r="S496" s="9">
        <f t="shared" si="161"/>
        <v>60</v>
      </c>
      <c r="T496" s="14">
        <f t="shared" si="168"/>
        <v>0</v>
      </c>
      <c r="U496" s="14">
        <f t="shared" si="165"/>
        <v>2.3740364344154719E-3</v>
      </c>
      <c r="V496" s="14">
        <f t="shared" ref="V496:W511" si="179">AVERAGE(T483:T496)</f>
        <v>2.540435101938941E-3</v>
      </c>
      <c r="W496" s="14">
        <f t="shared" si="179"/>
        <v>1.8698435258421694E-3</v>
      </c>
      <c r="X496" s="16">
        <f t="shared" si="171"/>
        <v>1.3586351300677633</v>
      </c>
    </row>
    <row r="497" spans="1:24" x14ac:dyDescent="0.25">
      <c r="A497" s="10">
        <v>45909</v>
      </c>
      <c r="B497" s="11">
        <v>19521.3</v>
      </c>
      <c r="C497" s="12">
        <f t="shared" si="166"/>
        <v>-2.5905592985390524E-2</v>
      </c>
      <c r="D497" s="11">
        <f t="shared" si="176"/>
        <v>19942.5615</v>
      </c>
      <c r="E497" s="11">
        <f t="shared" si="157"/>
        <v>19365.831400000003</v>
      </c>
      <c r="F497" s="11">
        <f t="shared" si="178"/>
        <v>17841.81143749999</v>
      </c>
      <c r="G497" s="12">
        <f t="shared" si="167"/>
        <v>-2.6247052917009451E-2</v>
      </c>
      <c r="H497" s="19">
        <f t="shared" si="172"/>
        <v>0.12951885028993657</v>
      </c>
      <c r="I497" s="11">
        <f t="shared" si="173"/>
        <v>20233.5</v>
      </c>
      <c r="J497" s="11">
        <f t="shared" si="174"/>
        <v>19521.3</v>
      </c>
      <c r="K497" s="12">
        <f>(B497-MAX($B$2:B497))/MAX($B$2:B497)</f>
        <v>-3.5199051078656722E-2</v>
      </c>
      <c r="L497" s="12">
        <f t="shared" si="175"/>
        <v>-1.302946911903069E-2</v>
      </c>
      <c r="M497" s="15">
        <f t="shared" si="169"/>
        <v>40.895760062196345</v>
      </c>
      <c r="N497" s="11">
        <f t="shared" si="162"/>
        <v>19947.232317834209</v>
      </c>
      <c r="O497" s="11">
        <f t="shared" si="163"/>
        <v>19783.447716723767</v>
      </c>
      <c r="P497" s="11">
        <f t="shared" si="159"/>
        <v>163.78460111044114</v>
      </c>
      <c r="Q497" s="11">
        <f t="shared" si="164"/>
        <v>234.12469823840937</v>
      </c>
      <c r="R497" s="11">
        <f t="shared" si="160"/>
        <v>-70.340097127968221</v>
      </c>
      <c r="S497" s="9">
        <f t="shared" si="161"/>
        <v>60</v>
      </c>
      <c r="T497" s="14">
        <f t="shared" si="168"/>
        <v>0</v>
      </c>
      <c r="U497" s="14">
        <f t="shared" si="165"/>
        <v>2.5905592985390524E-2</v>
      </c>
      <c r="V497" s="14">
        <f t="shared" si="179"/>
        <v>2.540435101938941E-3</v>
      </c>
      <c r="W497" s="14">
        <f t="shared" si="179"/>
        <v>3.671541636176009E-3</v>
      </c>
      <c r="X497" s="16">
        <f t="shared" si="171"/>
        <v>0.69192599558393131</v>
      </c>
    </row>
    <row r="498" spans="1:24" x14ac:dyDescent="0.25">
      <c r="A498" s="10">
        <v>45910</v>
      </c>
      <c r="B498" s="11">
        <v>19842.32</v>
      </c>
      <c r="C498" s="12">
        <f t="shared" si="166"/>
        <v>1.6444601537807468E-2</v>
      </c>
      <c r="D498" s="11">
        <f t="shared" si="176"/>
        <v>19945.727000000006</v>
      </c>
      <c r="E498" s="11">
        <f t="shared" si="157"/>
        <v>19398.194</v>
      </c>
      <c r="F498" s="11">
        <f t="shared" si="178"/>
        <v>17865.327874999988</v>
      </c>
      <c r="G498" s="12">
        <f t="shared" si="167"/>
        <v>1.6310853376147193E-2</v>
      </c>
      <c r="H498" s="19">
        <f t="shared" si="172"/>
        <v>0.1415692329096383</v>
      </c>
      <c r="I498" s="11">
        <f t="shared" si="173"/>
        <v>20233.5</v>
      </c>
      <c r="J498" s="11">
        <f t="shared" si="174"/>
        <v>19521.3</v>
      </c>
      <c r="K498" s="12">
        <f>(B498-MAX($B$2:B498))/MAX($B$2:B498)</f>
        <v>-1.9333283910346718E-2</v>
      </c>
      <c r="L498" s="12">
        <f t="shared" si="175"/>
        <v>1.1887726578252433E-3</v>
      </c>
      <c r="M498" s="15">
        <f t="shared" si="169"/>
        <v>52.870770300724402</v>
      </c>
      <c r="N498" s="11">
        <f t="shared" si="162"/>
        <v>19931.091961244332</v>
      </c>
      <c r="O498" s="11">
        <f t="shared" si="163"/>
        <v>19787.808626596081</v>
      </c>
      <c r="P498" s="11">
        <f t="shared" si="159"/>
        <v>143.28333464825118</v>
      </c>
      <c r="Q498" s="11">
        <f t="shared" si="164"/>
        <v>215.95642552037773</v>
      </c>
      <c r="R498" s="11">
        <f t="shared" si="160"/>
        <v>-72.673090872126551</v>
      </c>
      <c r="S498" s="9">
        <f t="shared" si="161"/>
        <v>60</v>
      </c>
      <c r="T498" s="14">
        <f t="shared" si="168"/>
        <v>1.6444601537807468E-2</v>
      </c>
      <c r="U498" s="14">
        <f t="shared" si="165"/>
        <v>0</v>
      </c>
      <c r="V498" s="14">
        <f t="shared" si="179"/>
        <v>3.7150494974966175E-3</v>
      </c>
      <c r="W498" s="14">
        <f t="shared" si="179"/>
        <v>3.311610935793336E-3</v>
      </c>
      <c r="X498" s="16">
        <f t="shared" si="171"/>
        <v>1.1218254709038256</v>
      </c>
    </row>
    <row r="499" spans="1:24" x14ac:dyDescent="0.25">
      <c r="A499" s="10">
        <v>45911</v>
      </c>
      <c r="B499" s="11">
        <v>19873.73</v>
      </c>
      <c r="C499" s="12">
        <f t="shared" si="166"/>
        <v>1.5829802160232109E-3</v>
      </c>
      <c r="D499" s="11">
        <f t="shared" si="176"/>
        <v>19948.475500000004</v>
      </c>
      <c r="E499" s="11">
        <f t="shared" si="157"/>
        <v>19427.555400000001</v>
      </c>
      <c r="F499" s="11">
        <f t="shared" si="178"/>
        <v>17889.032874999986</v>
      </c>
      <c r="G499" s="12">
        <f t="shared" si="167"/>
        <v>1.5817286234977642E-3</v>
      </c>
      <c r="H499" s="19">
        <f t="shared" si="172"/>
        <v>0.1415035480977832</v>
      </c>
      <c r="I499" s="11">
        <f t="shared" si="173"/>
        <v>20233.5</v>
      </c>
      <c r="J499" s="11">
        <f t="shared" si="174"/>
        <v>19521.3</v>
      </c>
      <c r="K499" s="12">
        <f>(B499-MAX($B$2:B499))/MAX($B$2:B499)</f>
        <v>-1.7780907900264434E-2</v>
      </c>
      <c r="L499" s="12">
        <f t="shared" si="175"/>
        <v>1.5269537574904568E-3</v>
      </c>
      <c r="M499" s="15">
        <f t="shared" si="169"/>
        <v>57.258995318328701</v>
      </c>
      <c r="N499" s="11">
        <f t="shared" si="162"/>
        <v>19922.267044129821</v>
      </c>
      <c r="O499" s="11">
        <f t="shared" si="163"/>
        <v>19794.17317277415</v>
      </c>
      <c r="P499" s="11">
        <f t="shared" si="159"/>
        <v>128.09387135567158</v>
      </c>
      <c r="Q499" s="11">
        <f t="shared" si="164"/>
        <v>198.38391468743652</v>
      </c>
      <c r="R499" s="11">
        <f t="shared" si="160"/>
        <v>-70.290043331764934</v>
      </c>
      <c r="S499" s="9">
        <f t="shared" si="161"/>
        <v>60</v>
      </c>
      <c r="T499" s="14">
        <f t="shared" si="168"/>
        <v>1.5829802160232109E-3</v>
      </c>
      <c r="U499" s="14">
        <f t="shared" si="165"/>
        <v>0</v>
      </c>
      <c r="V499" s="14">
        <f t="shared" si="179"/>
        <v>3.8281195129268469E-3</v>
      </c>
      <c r="W499" s="14">
        <f t="shared" si="179"/>
        <v>2.8575016574143297E-3</v>
      </c>
      <c r="X499" s="16">
        <f t="shared" si="171"/>
        <v>1.3396735931872743</v>
      </c>
    </row>
    <row r="500" spans="1:24" x14ac:dyDescent="0.25">
      <c r="A500" s="10">
        <v>45912</v>
      </c>
      <c r="B500" s="11">
        <v>19828.990000000002</v>
      </c>
      <c r="C500" s="12">
        <f t="shared" si="166"/>
        <v>-2.2512130334868541E-3</v>
      </c>
      <c r="D500" s="11">
        <f t="shared" si="176"/>
        <v>19947.753499999999</v>
      </c>
      <c r="E500" s="11">
        <f t="shared" ref="E500:E563" si="180">AVERAGE(B451:B500)</f>
        <v>19454.6358</v>
      </c>
      <c r="F500" s="11">
        <f t="shared" si="178"/>
        <v>17912.828062499986</v>
      </c>
      <c r="G500" s="12">
        <f t="shared" si="167"/>
        <v>-2.2537508229998589E-3</v>
      </c>
      <c r="H500" s="19">
        <f t="shared" si="172"/>
        <v>0.14168568616091276</v>
      </c>
      <c r="I500" s="11">
        <f t="shared" si="173"/>
        <v>20233.5</v>
      </c>
      <c r="J500" s="11">
        <f t="shared" si="174"/>
        <v>19521.3</v>
      </c>
      <c r="K500" s="12">
        <f>(B500-MAX($B$2:B500))/MAX($B$2:B500)</f>
        <v>-1.9992092322138947E-2</v>
      </c>
      <c r="L500" s="12">
        <f t="shared" si="175"/>
        <v>-2.7499953479411809E-3</v>
      </c>
      <c r="M500" s="15">
        <f t="shared" si="169"/>
        <v>45.379089949069815</v>
      </c>
      <c r="N500" s="11">
        <f t="shared" si="162"/>
        <v>19907.91672964831</v>
      </c>
      <c r="O500" s="11">
        <f t="shared" si="163"/>
        <v>19796.752197013102</v>
      </c>
      <c r="P500" s="11">
        <f t="shared" si="159"/>
        <v>111.16453263520816</v>
      </c>
      <c r="Q500" s="11">
        <f t="shared" si="164"/>
        <v>180.94003827699083</v>
      </c>
      <c r="R500" s="11">
        <f t="shared" si="160"/>
        <v>-69.775505641782672</v>
      </c>
      <c r="S500" s="9">
        <f t="shared" si="161"/>
        <v>60</v>
      </c>
      <c r="T500" s="14">
        <f t="shared" si="168"/>
        <v>0</v>
      </c>
      <c r="U500" s="14">
        <f t="shared" si="165"/>
        <v>2.2512130334868541E-3</v>
      </c>
      <c r="V500" s="14">
        <f t="shared" si="179"/>
        <v>2.5076078835703747E-3</v>
      </c>
      <c r="W500" s="14">
        <f t="shared" si="179"/>
        <v>3.0183025883776765E-3</v>
      </c>
      <c r="X500" s="16">
        <f t="shared" si="171"/>
        <v>0.83080069348454633</v>
      </c>
    </row>
    <row r="501" spans="1:24" x14ac:dyDescent="0.25">
      <c r="A501" s="10">
        <v>45915</v>
      </c>
      <c r="B501" s="11">
        <v>19609.77</v>
      </c>
      <c r="C501" s="12">
        <f t="shared" si="166"/>
        <v>-1.1055530311932182E-2</v>
      </c>
      <c r="D501" s="11">
        <f t="shared" si="176"/>
        <v>19934.058499999999</v>
      </c>
      <c r="E501" s="11">
        <f t="shared" si="180"/>
        <v>19480.8992</v>
      </c>
      <c r="F501" s="11">
        <f t="shared" si="178"/>
        <v>17935.582749999987</v>
      </c>
      <c r="G501" s="12">
        <f t="shared" si="167"/>
        <v>-1.1117096875043574E-2</v>
      </c>
      <c r="H501" s="19">
        <f t="shared" si="172"/>
        <v>0.1467390637863609</v>
      </c>
      <c r="I501" s="11">
        <f t="shared" si="173"/>
        <v>20233.5</v>
      </c>
      <c r="J501" s="11">
        <f t="shared" si="174"/>
        <v>19521.3</v>
      </c>
      <c r="K501" s="12">
        <f>(B501-MAX($B$2:B501))/MAX($B$2:B501)</f>
        <v>-3.0826599451404826E-2</v>
      </c>
      <c r="L501" s="12">
        <f t="shared" si="175"/>
        <v>-1.2531579469480025E-2</v>
      </c>
      <c r="M501" s="15">
        <f t="shared" si="169"/>
        <v>39.185977142399167</v>
      </c>
      <c r="N501" s="11">
        <f t="shared" si="162"/>
        <v>19862.048002010109</v>
      </c>
      <c r="O501" s="11">
        <f t="shared" si="163"/>
        <v>19782.901663901019</v>
      </c>
      <c r="P501" s="11">
        <f t="shared" si="159"/>
        <v>79.146338109090721</v>
      </c>
      <c r="Q501" s="11">
        <f t="shared" si="164"/>
        <v>160.5812982434108</v>
      </c>
      <c r="R501" s="11">
        <f t="shared" si="160"/>
        <v>-81.434960134320079</v>
      </c>
      <c r="S501" s="9">
        <f t="shared" si="161"/>
        <v>60</v>
      </c>
      <c r="T501" s="14">
        <f t="shared" si="168"/>
        <v>0</v>
      </c>
      <c r="U501" s="14">
        <f t="shared" si="165"/>
        <v>1.1055530311932182E-2</v>
      </c>
      <c r="V501" s="14">
        <f t="shared" si="179"/>
        <v>2.4537029539931643E-3</v>
      </c>
      <c r="W501" s="14">
        <f t="shared" si="179"/>
        <v>3.8079833249442608E-3</v>
      </c>
      <c r="X501" s="16">
        <f t="shared" si="171"/>
        <v>0.6443575889421943</v>
      </c>
    </row>
    <row r="502" spans="1:24" x14ac:dyDescent="0.25">
      <c r="A502" s="10">
        <v>45916</v>
      </c>
      <c r="B502" s="11">
        <v>19646.32</v>
      </c>
      <c r="C502" s="12">
        <f t="shared" si="166"/>
        <v>1.8638668378057055E-3</v>
      </c>
      <c r="D502" s="11">
        <f t="shared" si="176"/>
        <v>19923.443000000003</v>
      </c>
      <c r="E502" s="11">
        <f t="shared" si="180"/>
        <v>19505.6014</v>
      </c>
      <c r="F502" s="11">
        <f t="shared" si="178"/>
        <v>17959.81649999999</v>
      </c>
      <c r="G502" s="12">
        <f t="shared" si="167"/>
        <v>1.862131993356036E-3</v>
      </c>
      <c r="H502" s="19">
        <f t="shared" si="172"/>
        <v>0.14699747810154959</v>
      </c>
      <c r="I502" s="11">
        <f t="shared" si="173"/>
        <v>20233.5</v>
      </c>
      <c r="J502" s="11">
        <f t="shared" si="174"/>
        <v>19521.3</v>
      </c>
      <c r="K502" s="12">
        <f>(B502-MAX($B$2:B502))/MAX($B$2:B502)</f>
        <v>-2.9020189290038811E-2</v>
      </c>
      <c r="L502" s="12">
        <f t="shared" si="175"/>
        <v>-1.001607954410888E-2</v>
      </c>
      <c r="M502" s="15">
        <f t="shared" si="169"/>
        <v>38.100640777265134</v>
      </c>
      <c r="N502" s="11">
        <f t="shared" si="162"/>
        <v>19828.859078623937</v>
      </c>
      <c r="O502" s="11">
        <f t="shared" si="163"/>
        <v>19772.784503612056</v>
      </c>
      <c r="P502" s="11">
        <f t="shared" si="159"/>
        <v>56.07457501188037</v>
      </c>
      <c r="Q502" s="11">
        <f t="shared" si="164"/>
        <v>139.67995359710471</v>
      </c>
      <c r="R502" s="11">
        <f t="shared" si="160"/>
        <v>-83.605378585224344</v>
      </c>
      <c r="S502" s="9">
        <f t="shared" si="161"/>
        <v>60</v>
      </c>
      <c r="T502" s="14">
        <f t="shared" si="168"/>
        <v>1.8638668378057055E-3</v>
      </c>
      <c r="U502" s="14">
        <f t="shared" si="165"/>
        <v>0</v>
      </c>
      <c r="V502" s="14">
        <f t="shared" si="179"/>
        <v>2.3439112548394275E-3</v>
      </c>
      <c r="W502" s="14">
        <f t="shared" si="179"/>
        <v>3.8079833249442608E-3</v>
      </c>
      <c r="X502" s="16">
        <f t="shared" si="171"/>
        <v>0.61552560891892472</v>
      </c>
    </row>
    <row r="503" spans="1:24" x14ac:dyDescent="0.25">
      <c r="A503" s="10">
        <v>45917</v>
      </c>
      <c r="B503" s="11">
        <v>19586.47</v>
      </c>
      <c r="C503" s="12">
        <f t="shared" si="166"/>
        <v>-3.04637204321212E-3</v>
      </c>
      <c r="D503" s="11">
        <f t="shared" si="176"/>
        <v>19910.511999999999</v>
      </c>
      <c r="E503" s="11">
        <f t="shared" si="180"/>
        <v>19526.981799999998</v>
      </c>
      <c r="F503" s="11">
        <f t="shared" si="178"/>
        <v>17983.634249999992</v>
      </c>
      <c r="G503" s="12">
        <f t="shared" si="167"/>
        <v>-3.0510216799416621E-3</v>
      </c>
      <c r="H503" s="19">
        <f t="shared" si="172"/>
        <v>0.14726865907131287</v>
      </c>
      <c r="I503" s="11">
        <f t="shared" si="173"/>
        <v>20233.5</v>
      </c>
      <c r="J503" s="11">
        <f t="shared" si="174"/>
        <v>19521.3</v>
      </c>
      <c r="K503" s="12">
        <f>(B503-MAX($B$2:B503))/MAX($B$2:B503)</f>
        <v>-3.1978155039909001E-2</v>
      </c>
      <c r="L503" s="12">
        <f t="shared" si="175"/>
        <v>-8.0333895667226152E-3</v>
      </c>
      <c r="M503" s="15">
        <f t="shared" si="169"/>
        <v>30.244027629662185</v>
      </c>
      <c r="N503" s="11">
        <f t="shared" si="162"/>
        <v>19791.568451143328</v>
      </c>
      <c r="O503" s="11">
        <f t="shared" si="163"/>
        <v>19758.983429270422</v>
      </c>
      <c r="P503" s="11">
        <f t="shared" si="159"/>
        <v>32.585021872906509</v>
      </c>
      <c r="Q503" s="11">
        <f t="shared" si="164"/>
        <v>118.26096725226508</v>
      </c>
      <c r="R503" s="11">
        <f t="shared" si="160"/>
        <v>-85.675945379358566</v>
      </c>
      <c r="S503" s="9">
        <f t="shared" si="161"/>
        <v>60</v>
      </c>
      <c r="T503" s="14">
        <f t="shared" si="168"/>
        <v>0</v>
      </c>
      <c r="U503" s="14">
        <f t="shared" si="165"/>
        <v>3.04637204321212E-3</v>
      </c>
      <c r="V503" s="14">
        <f t="shared" si="179"/>
        <v>1.7453672964952943E-3</v>
      </c>
      <c r="W503" s="14">
        <f t="shared" si="179"/>
        <v>4.0255813280308406E-3</v>
      </c>
      <c r="X503" s="16">
        <f t="shared" si="171"/>
        <v>0.43356900637977192</v>
      </c>
    </row>
    <row r="504" spans="1:24" x14ac:dyDescent="0.25">
      <c r="A504" s="10">
        <v>45918</v>
      </c>
      <c r="B504" s="11">
        <v>19799.080000000002</v>
      </c>
      <c r="C504" s="12">
        <f t="shared" si="166"/>
        <v>1.0854942212660035E-2</v>
      </c>
      <c r="D504" s="11">
        <f t="shared" si="176"/>
        <v>19913.211500000001</v>
      </c>
      <c r="E504" s="11">
        <f t="shared" si="180"/>
        <v>19551.154399999996</v>
      </c>
      <c r="F504" s="11">
        <f t="shared" si="178"/>
        <v>18008.453312499994</v>
      </c>
      <c r="G504" s="12">
        <f t="shared" si="167"/>
        <v>1.0796450231464139E-2</v>
      </c>
      <c r="H504" s="19">
        <f t="shared" si="172"/>
        <v>0.15167313899030646</v>
      </c>
      <c r="I504" s="11">
        <f t="shared" si="173"/>
        <v>20233.5</v>
      </c>
      <c r="J504" s="11">
        <f t="shared" si="174"/>
        <v>19521.3</v>
      </c>
      <c r="K504" s="12">
        <f>(B504-MAX($B$2:B504))/MAX($B$2:B504)</f>
        <v>-2.1470333852274606E-2</v>
      </c>
      <c r="L504" s="12">
        <f t="shared" si="175"/>
        <v>9.1500522947507434E-3</v>
      </c>
      <c r="M504" s="15">
        <f t="shared" si="169"/>
        <v>40.591682512600045</v>
      </c>
      <c r="N504" s="11">
        <f t="shared" si="162"/>
        <v>19792.724074044356</v>
      </c>
      <c r="O504" s="11">
        <f t="shared" si="163"/>
        <v>19761.953545620763</v>
      </c>
      <c r="P504" s="11">
        <f t="shared" si="159"/>
        <v>30.770528423592623</v>
      </c>
      <c r="Q504" s="11">
        <f t="shared" si="164"/>
        <v>100.76287948653059</v>
      </c>
      <c r="R504" s="11">
        <f t="shared" si="160"/>
        <v>-69.992351062937971</v>
      </c>
      <c r="S504" s="9">
        <f t="shared" si="161"/>
        <v>60</v>
      </c>
      <c r="T504" s="14">
        <f t="shared" si="168"/>
        <v>1.0854942212660035E-2</v>
      </c>
      <c r="U504" s="14">
        <f t="shared" si="165"/>
        <v>0</v>
      </c>
      <c r="V504" s="14">
        <f t="shared" si="179"/>
        <v>2.5207203116852967E-3</v>
      </c>
      <c r="W504" s="14">
        <f t="shared" si="179"/>
        <v>3.6892226018730196E-3</v>
      </c>
      <c r="X504" s="16">
        <f t="shared" si="171"/>
        <v>0.68326598411424844</v>
      </c>
    </row>
    <row r="505" spans="1:24" x14ac:dyDescent="0.25">
      <c r="A505" s="10">
        <v>45919</v>
      </c>
      <c r="B505" s="11">
        <v>19944.13</v>
      </c>
      <c r="C505" s="12">
        <f t="shared" si="166"/>
        <v>7.3260979803102533E-3</v>
      </c>
      <c r="D505" s="11">
        <f t="shared" si="176"/>
        <v>19929.439999999999</v>
      </c>
      <c r="E505" s="11">
        <f t="shared" si="180"/>
        <v>19577.064799999996</v>
      </c>
      <c r="F505" s="11">
        <f t="shared" si="178"/>
        <v>18033.841374999993</v>
      </c>
      <c r="G505" s="12">
        <f t="shared" si="167"/>
        <v>7.2993924766064176E-3</v>
      </c>
      <c r="H505" s="19">
        <f t="shared" si="172"/>
        <v>0.15165199477127278</v>
      </c>
      <c r="I505" s="11">
        <f t="shared" si="173"/>
        <v>20233.5</v>
      </c>
      <c r="J505" s="11">
        <f t="shared" si="174"/>
        <v>19521.3</v>
      </c>
      <c r="K505" s="12">
        <f>(B505-MAX($B$2:B505))/MAX($B$2:B505)</f>
        <v>-1.4301529641436182E-2</v>
      </c>
      <c r="L505" s="12">
        <f t="shared" si="175"/>
        <v>-1.908692055507144E-3</v>
      </c>
      <c r="M505" s="15">
        <f t="shared" si="169"/>
        <v>47.284642763603422</v>
      </c>
      <c r="N505" s="11">
        <f t="shared" si="162"/>
        <v>19816.017293422148</v>
      </c>
      <c r="O505" s="11">
        <f t="shared" si="163"/>
        <v>19775.448097797005</v>
      </c>
      <c r="P505" s="11">
        <f t="shared" si="159"/>
        <v>40.569195625143038</v>
      </c>
      <c r="Q505" s="11">
        <f t="shared" si="164"/>
        <v>88.724142714253091</v>
      </c>
      <c r="R505" s="11">
        <f t="shared" si="160"/>
        <v>-48.154947089110053</v>
      </c>
      <c r="S505" s="9">
        <f t="shared" si="161"/>
        <v>60</v>
      </c>
      <c r="T505" s="14">
        <f t="shared" si="168"/>
        <v>7.3260979803102533E-3</v>
      </c>
      <c r="U505" s="14">
        <f t="shared" si="165"/>
        <v>0</v>
      </c>
      <c r="V505" s="14">
        <f t="shared" si="179"/>
        <v>3.0440130245646007E-3</v>
      </c>
      <c r="W505" s="14">
        <f t="shared" si="179"/>
        <v>3.3936226360936628E-3</v>
      </c>
      <c r="X505" s="16">
        <f t="shared" si="171"/>
        <v>0.8969804103111797</v>
      </c>
    </row>
    <row r="506" spans="1:24" x14ac:dyDescent="0.25">
      <c r="A506" s="10">
        <v>45922</v>
      </c>
      <c r="B506" s="11">
        <v>19956.63</v>
      </c>
      <c r="C506" s="12">
        <f t="shared" si="166"/>
        <v>6.2675082843921537E-4</v>
      </c>
      <c r="D506" s="11">
        <f t="shared" si="176"/>
        <v>19928.158000000003</v>
      </c>
      <c r="E506" s="11">
        <f t="shared" si="180"/>
        <v>19600.027399999999</v>
      </c>
      <c r="F506" s="11">
        <f t="shared" si="178"/>
        <v>18059.28112499999</v>
      </c>
      <c r="G506" s="12">
        <f t="shared" si="167"/>
        <v>6.265545021662272E-4</v>
      </c>
      <c r="H506" s="19">
        <f t="shared" si="172"/>
        <v>0.13685891310349441</v>
      </c>
      <c r="I506" s="11">
        <f t="shared" si="173"/>
        <v>20233.5</v>
      </c>
      <c r="J506" s="11">
        <f t="shared" si="174"/>
        <v>19521.3</v>
      </c>
      <c r="K506" s="12">
        <f>(B506-MAX($B$2:B506))/MAX($B$2:B506)</f>
        <v>-1.3683742308547655E-2</v>
      </c>
      <c r="L506" s="12">
        <f t="shared" si="175"/>
        <v>-2.0362698057491135E-3</v>
      </c>
      <c r="M506" s="15">
        <f t="shared" si="169"/>
        <v>47.156279274706712</v>
      </c>
      <c r="N506" s="11">
        <f t="shared" si="162"/>
        <v>19837.650017511049</v>
      </c>
      <c r="O506" s="11">
        <f t="shared" si="163"/>
        <v>19788.868979441671</v>
      </c>
      <c r="P506" s="11">
        <f t="shared" si="159"/>
        <v>48.781038069377246</v>
      </c>
      <c r="Q506" s="11">
        <f t="shared" si="164"/>
        <v>80.735521785277925</v>
      </c>
      <c r="R506" s="11">
        <f t="shared" si="160"/>
        <v>-31.954483715900679</v>
      </c>
      <c r="S506" s="9">
        <f t="shared" si="161"/>
        <v>60</v>
      </c>
      <c r="T506" s="14">
        <f t="shared" si="168"/>
        <v>6.2675082843921537E-4</v>
      </c>
      <c r="U506" s="14">
        <f t="shared" si="165"/>
        <v>0</v>
      </c>
      <c r="V506" s="14">
        <f t="shared" si="179"/>
        <v>3.0283752654835594E-3</v>
      </c>
      <c r="W506" s="14">
        <f t="shared" si="179"/>
        <v>3.3936226360936628E-3</v>
      </c>
      <c r="X506" s="16">
        <f t="shared" si="171"/>
        <v>0.8923724262310635</v>
      </c>
    </row>
    <row r="507" spans="1:24" x14ac:dyDescent="0.25">
      <c r="A507" s="10">
        <v>45923</v>
      </c>
      <c r="B507" s="11">
        <v>19770.150000000001</v>
      </c>
      <c r="C507" s="12">
        <f t="shared" si="166"/>
        <v>-9.3442630343900657E-3</v>
      </c>
      <c r="D507" s="11">
        <f t="shared" si="176"/>
        <v>19916.798000000003</v>
      </c>
      <c r="E507" s="11">
        <f t="shared" si="180"/>
        <v>19618.560999999998</v>
      </c>
      <c r="F507" s="11">
        <f t="shared" si="178"/>
        <v>18083.389999999992</v>
      </c>
      <c r="G507" s="12">
        <f t="shared" si="167"/>
        <v>-9.3881945461256437E-3</v>
      </c>
      <c r="H507" s="19">
        <f t="shared" si="172"/>
        <v>0.1407349011634316</v>
      </c>
      <c r="I507" s="11">
        <f t="shared" si="173"/>
        <v>20233.5</v>
      </c>
      <c r="J507" s="11">
        <f t="shared" si="174"/>
        <v>19521.3</v>
      </c>
      <c r="K507" s="12">
        <f>(B507-MAX($B$2:B507))/MAX($B$2:B507)</f>
        <v>-2.2900140855511827E-2</v>
      </c>
      <c r="L507" s="12">
        <f t="shared" si="175"/>
        <v>-1.4712419812054178E-2</v>
      </c>
      <c r="M507" s="15">
        <f t="shared" si="169"/>
        <v>41.341923079694965</v>
      </c>
      <c r="N507" s="11">
        <f t="shared" si="162"/>
        <v>19827.265399432425</v>
      </c>
      <c r="O507" s="11">
        <f t="shared" si="163"/>
        <v>19787.482388371918</v>
      </c>
      <c r="P507" s="11">
        <f t="shared" si="159"/>
        <v>39.783011060506396</v>
      </c>
      <c r="Q507" s="11">
        <f t="shared" si="164"/>
        <v>72.545019640323616</v>
      </c>
      <c r="R507" s="11">
        <f t="shared" si="160"/>
        <v>-32.76200857981722</v>
      </c>
      <c r="S507" s="9">
        <f t="shared" si="161"/>
        <v>60</v>
      </c>
      <c r="T507" s="14">
        <f t="shared" si="168"/>
        <v>0</v>
      </c>
      <c r="U507" s="14">
        <f t="shared" si="165"/>
        <v>9.3442630343900657E-3</v>
      </c>
      <c r="V507" s="14">
        <f t="shared" si="179"/>
        <v>2.8622220876981679E-3</v>
      </c>
      <c r="W507" s="14">
        <f t="shared" si="179"/>
        <v>4.0610699956929531E-3</v>
      </c>
      <c r="X507" s="16">
        <f t="shared" si="171"/>
        <v>0.70479506404315939</v>
      </c>
    </row>
    <row r="508" spans="1:24" x14ac:dyDescent="0.25">
      <c r="A508" s="10">
        <v>45924</v>
      </c>
      <c r="B508" s="11">
        <v>19617.53</v>
      </c>
      <c r="C508" s="12">
        <f t="shared" si="166"/>
        <v>-7.7197188691032759E-3</v>
      </c>
      <c r="D508" s="11">
        <f t="shared" si="176"/>
        <v>19894.406500000001</v>
      </c>
      <c r="E508" s="11">
        <f t="shared" si="180"/>
        <v>19634.367799999996</v>
      </c>
      <c r="F508" s="11">
        <f t="shared" si="178"/>
        <v>18105.333249999989</v>
      </c>
      <c r="G508" s="12">
        <f t="shared" si="167"/>
        <v>-7.7496701419889928E-3</v>
      </c>
      <c r="H508" s="19">
        <f t="shared" si="172"/>
        <v>0.14212214292504649</v>
      </c>
      <c r="I508" s="11">
        <f t="shared" si="173"/>
        <v>20233.5</v>
      </c>
      <c r="J508" s="11">
        <f t="shared" si="174"/>
        <v>19521.3</v>
      </c>
      <c r="K508" s="12">
        <f>(B508-MAX($B$2:B508))/MAX($B$2:B508)</f>
        <v>-3.044307707514771E-2</v>
      </c>
      <c r="L508" s="12">
        <f t="shared" si="175"/>
        <v>-3.0443077075147706E-2</v>
      </c>
      <c r="M508" s="15">
        <f t="shared" si="169"/>
        <v>37.472415794746119</v>
      </c>
      <c r="N508" s="11">
        <f t="shared" si="162"/>
        <v>19794.998414904359</v>
      </c>
      <c r="O508" s="11">
        <f t="shared" si="163"/>
        <v>19774.893322566593</v>
      </c>
      <c r="P508" s="11">
        <f t="shared" si="159"/>
        <v>20.105092337766109</v>
      </c>
      <c r="Q508" s="11">
        <f t="shared" si="164"/>
        <v>62.057034179812113</v>
      </c>
      <c r="R508" s="11">
        <f t="shared" si="160"/>
        <v>-41.951941842046004</v>
      </c>
      <c r="S508" s="9">
        <f t="shared" si="161"/>
        <v>60</v>
      </c>
      <c r="T508" s="14">
        <f t="shared" si="168"/>
        <v>0</v>
      </c>
      <c r="U508" s="14">
        <f t="shared" si="165"/>
        <v>7.7197188691032759E-3</v>
      </c>
      <c r="V508" s="14">
        <f t="shared" si="179"/>
        <v>2.7642314009318492E-3</v>
      </c>
      <c r="W508" s="14">
        <f t="shared" si="179"/>
        <v>4.6124784863431868E-3</v>
      </c>
      <c r="X508" s="16">
        <f t="shared" si="171"/>
        <v>0.59929415586789125</v>
      </c>
    </row>
    <row r="509" spans="1:24" x14ac:dyDescent="0.25">
      <c r="A509" s="10">
        <v>45925</v>
      </c>
      <c r="B509" s="11">
        <v>19430.04</v>
      </c>
      <c r="C509" s="12">
        <f t="shared" si="166"/>
        <v>-9.557268422681009E-3</v>
      </c>
      <c r="D509" s="11">
        <f t="shared" si="176"/>
        <v>19854.233499999998</v>
      </c>
      <c r="E509" s="11">
        <f t="shared" si="180"/>
        <v>19646.142999999996</v>
      </c>
      <c r="F509" s="11">
        <f t="shared" si="178"/>
        <v>18124.617624999992</v>
      </c>
      <c r="G509" s="12">
        <f t="shared" si="167"/>
        <v>-9.6032322057816102E-3</v>
      </c>
      <c r="H509" s="19">
        <f t="shared" si="172"/>
        <v>0.1405253236905758</v>
      </c>
      <c r="I509" s="11">
        <f t="shared" si="173"/>
        <v>20146.13</v>
      </c>
      <c r="J509" s="11">
        <f t="shared" si="174"/>
        <v>19430.04</v>
      </c>
      <c r="K509" s="12">
        <f>(B509-MAX($B$2:B509))/MAX($B$2:B509)</f>
        <v>-3.9709392838609192E-2</v>
      </c>
      <c r="L509" s="12">
        <f t="shared" si="175"/>
        <v>-3.5165967995185232E-2</v>
      </c>
      <c r="M509" s="15">
        <f t="shared" si="169"/>
        <v>35.196090139467586</v>
      </c>
      <c r="N509" s="11">
        <f t="shared" si="162"/>
        <v>19738.850966457532</v>
      </c>
      <c r="O509" s="11">
        <f t="shared" si="163"/>
        <v>19749.348632006106</v>
      </c>
      <c r="P509" s="11">
        <f t="shared" si="159"/>
        <v>-10.497665548573423</v>
      </c>
      <c r="Q509" s="11">
        <f t="shared" si="164"/>
        <v>47.546094234135012</v>
      </c>
      <c r="R509" s="11">
        <f t="shared" si="160"/>
        <v>-58.043759782708435</v>
      </c>
      <c r="S509" s="9">
        <f t="shared" si="161"/>
        <v>60</v>
      </c>
      <c r="T509" s="14">
        <f t="shared" si="168"/>
        <v>0</v>
      </c>
      <c r="U509" s="14">
        <f t="shared" si="165"/>
        <v>9.557268422681009E-3</v>
      </c>
      <c r="V509" s="14">
        <f t="shared" si="179"/>
        <v>2.7642314009318492E-3</v>
      </c>
      <c r="W509" s="14">
        <f t="shared" si="179"/>
        <v>5.0895710810436789E-3</v>
      </c>
      <c r="X509" s="16">
        <f t="shared" si="171"/>
        <v>0.54311676896061933</v>
      </c>
    </row>
    <row r="510" spans="1:24" x14ac:dyDescent="0.25">
      <c r="A510" s="10">
        <v>45926</v>
      </c>
      <c r="B510" s="11">
        <v>19342.98</v>
      </c>
      <c r="C510" s="12">
        <f t="shared" si="166"/>
        <v>-4.4806907242600502E-3</v>
      </c>
      <c r="D510" s="11">
        <f t="shared" si="176"/>
        <v>19814.4715</v>
      </c>
      <c r="E510" s="11">
        <f t="shared" si="180"/>
        <v>19653.028399999999</v>
      </c>
      <c r="F510" s="11">
        <f t="shared" si="178"/>
        <v>18143.959999999992</v>
      </c>
      <c r="G510" s="12">
        <f t="shared" si="167"/>
        <v>-4.4907591057357886E-3</v>
      </c>
      <c r="H510" s="19">
        <f t="shared" si="172"/>
        <v>0.14046934248510048</v>
      </c>
      <c r="I510" s="11">
        <f t="shared" si="173"/>
        <v>20146.13</v>
      </c>
      <c r="J510" s="11">
        <f t="shared" si="174"/>
        <v>19342.98</v>
      </c>
      <c r="K510" s="12">
        <f>(B510-MAX($B$2:B510))/MAX($B$2:B510)</f>
        <v>-4.4012158054711266E-2</v>
      </c>
      <c r="L510" s="12">
        <f t="shared" si="175"/>
        <v>-3.5497594600416571E-2</v>
      </c>
      <c r="M510" s="15">
        <f t="shared" si="169"/>
        <v>34.53442614073515</v>
      </c>
      <c r="N510" s="11">
        <f t="shared" si="162"/>
        <v>19677.947740848682</v>
      </c>
      <c r="O510" s="11">
        <f t="shared" si="163"/>
        <v>19719.247251857505</v>
      </c>
      <c r="P510" s="11">
        <f t="shared" si="159"/>
        <v>-41.299511008823174</v>
      </c>
      <c r="Q510" s="11">
        <f t="shared" si="164"/>
        <v>29.776973185543373</v>
      </c>
      <c r="R510" s="11">
        <f t="shared" si="160"/>
        <v>-71.076484194366543</v>
      </c>
      <c r="S510" s="9">
        <f t="shared" si="161"/>
        <v>60</v>
      </c>
      <c r="T510" s="14">
        <f t="shared" si="168"/>
        <v>0</v>
      </c>
      <c r="U510" s="14">
        <f t="shared" si="165"/>
        <v>4.4806907242600502E-3</v>
      </c>
      <c r="V510" s="14">
        <f t="shared" si="179"/>
        <v>2.7642314009318492E-3</v>
      </c>
      <c r="W510" s="14">
        <f t="shared" si="179"/>
        <v>5.240046387461149E-3</v>
      </c>
      <c r="X510" s="16">
        <f t="shared" si="171"/>
        <v>0.52752040660295463</v>
      </c>
    </row>
    <row r="511" spans="1:24" x14ac:dyDescent="0.25">
      <c r="A511" s="10">
        <v>45929</v>
      </c>
      <c r="B511" s="11">
        <v>18980.22</v>
      </c>
      <c r="C511" s="12">
        <f t="shared" si="166"/>
        <v>-1.8754090631329712E-2</v>
      </c>
      <c r="D511" s="11">
        <f t="shared" si="176"/>
        <v>19760.738499999999</v>
      </c>
      <c r="E511" s="11">
        <f t="shared" si="180"/>
        <v>19654.227999999999</v>
      </c>
      <c r="F511" s="11">
        <f t="shared" si="178"/>
        <v>18161.280937499992</v>
      </c>
      <c r="G511" s="12">
        <f t="shared" si="167"/>
        <v>-1.8932178690467899E-2</v>
      </c>
      <c r="H511" s="19">
        <f t="shared" si="172"/>
        <v>0.15271665114729535</v>
      </c>
      <c r="I511" s="11">
        <f t="shared" si="173"/>
        <v>20146.13</v>
      </c>
      <c r="J511" s="11">
        <f t="shared" si="174"/>
        <v>18980.22</v>
      </c>
      <c r="K511" s="12">
        <f>(B511-MAX($B$2:B511))/MAX($B$2:B511)</f>
        <v>-6.1940840685002538E-2</v>
      </c>
      <c r="L511" s="12">
        <f t="shared" si="175"/>
        <v>-5.4385646756849315E-2</v>
      </c>
      <c r="M511" s="15">
        <f t="shared" si="169"/>
        <v>36.888604273193167</v>
      </c>
      <c r="N511" s="11">
        <f t="shared" si="162"/>
        <v>19570.605011487343</v>
      </c>
      <c r="O511" s="11">
        <f t="shared" si="163"/>
        <v>19664.504492460655</v>
      </c>
      <c r="P511" s="11">
        <f t="shared" si="159"/>
        <v>-93.899480973312166</v>
      </c>
      <c r="Q511" s="11">
        <f t="shared" si="164"/>
        <v>5.0416823537722664</v>
      </c>
      <c r="R511" s="11">
        <f t="shared" si="160"/>
        <v>-98.941163327084439</v>
      </c>
      <c r="S511" s="9">
        <f t="shared" si="161"/>
        <v>60</v>
      </c>
      <c r="T511" s="14">
        <f t="shared" si="168"/>
        <v>0</v>
      </c>
      <c r="U511" s="14">
        <f t="shared" si="165"/>
        <v>1.8754090631329712E-2</v>
      </c>
      <c r="V511" s="14">
        <f t="shared" si="179"/>
        <v>2.7642314009318492E-3</v>
      </c>
      <c r="W511" s="14">
        <f t="shared" si="179"/>
        <v>4.729224790742519E-3</v>
      </c>
      <c r="X511" s="16">
        <f t="shared" si="171"/>
        <v>0.58449989654601442</v>
      </c>
    </row>
    <row r="512" spans="1:24" x14ac:dyDescent="0.25">
      <c r="A512" s="10">
        <v>45930</v>
      </c>
      <c r="B512" s="11">
        <v>19024.82</v>
      </c>
      <c r="C512" s="12">
        <f t="shared" si="166"/>
        <v>2.3498147018317095E-3</v>
      </c>
      <c r="D512" s="11">
        <f t="shared" si="176"/>
        <v>19708.387500000004</v>
      </c>
      <c r="E512" s="11">
        <f t="shared" si="180"/>
        <v>19658.238799999996</v>
      </c>
      <c r="F512" s="11">
        <f t="shared" si="178"/>
        <v>18178.646499999992</v>
      </c>
      <c r="G512" s="12">
        <f t="shared" si="167"/>
        <v>2.3470582045925456E-3</v>
      </c>
      <c r="H512" s="19">
        <f t="shared" si="172"/>
        <v>0.15327805581884069</v>
      </c>
      <c r="I512" s="11">
        <f t="shared" si="173"/>
        <v>20146.13</v>
      </c>
      <c r="J512" s="11">
        <f t="shared" si="174"/>
        <v>18980.22</v>
      </c>
      <c r="K512" s="12">
        <f>(B512-MAX($B$2:B512))/MAX($B$2:B512)</f>
        <v>-5.9736575481256347E-2</v>
      </c>
      <c r="L512" s="12">
        <f t="shared" si="175"/>
        <v>-5.4363315808858781E-2</v>
      </c>
      <c r="M512" s="15">
        <f t="shared" si="169"/>
        <v>27.093356962389848</v>
      </c>
      <c r="N512" s="11">
        <f t="shared" si="162"/>
        <v>19486.638086643135</v>
      </c>
      <c r="O512" s="11">
        <f t="shared" si="163"/>
        <v>19617.120455982091</v>
      </c>
      <c r="P512" s="11">
        <f t="shared" si="159"/>
        <v>-130.48236933895532</v>
      </c>
      <c r="Q512" s="11">
        <f t="shared" si="164"/>
        <v>-22.063127984773253</v>
      </c>
      <c r="R512" s="11">
        <f t="shared" si="160"/>
        <v>-108.41924135418208</v>
      </c>
      <c r="S512" s="9">
        <f t="shared" si="161"/>
        <v>60</v>
      </c>
      <c r="T512" s="14">
        <f t="shared" si="168"/>
        <v>2.3498147018317095E-3</v>
      </c>
      <c r="U512" s="14">
        <f t="shared" si="165"/>
        <v>0</v>
      </c>
      <c r="V512" s="14">
        <f t="shared" ref="V512:W527" si="181">AVERAGE(T499:T512)</f>
        <v>1.7574609126478663E-3</v>
      </c>
      <c r="W512" s="14">
        <f t="shared" si="181"/>
        <v>4.729224790742519E-3</v>
      </c>
      <c r="X512" s="16">
        <f t="shared" si="171"/>
        <v>0.37161712340003478</v>
      </c>
    </row>
    <row r="513" spans="1:24" x14ac:dyDescent="0.25">
      <c r="A513" s="10">
        <v>45931</v>
      </c>
      <c r="B513" s="11">
        <v>18371.2</v>
      </c>
      <c r="C513" s="12">
        <f t="shared" si="166"/>
        <v>-3.435617262081847E-2</v>
      </c>
      <c r="D513" s="11">
        <f t="shared" si="176"/>
        <v>19621.021000000001</v>
      </c>
      <c r="E513" s="11">
        <f t="shared" si="180"/>
        <v>19649.301799999997</v>
      </c>
      <c r="F513" s="11">
        <f t="shared" si="178"/>
        <v>18192.106187499994</v>
      </c>
      <c r="G513" s="12">
        <f t="shared" si="167"/>
        <v>-3.4960221476594305E-2</v>
      </c>
      <c r="H513" s="19">
        <f t="shared" si="172"/>
        <v>0.18989993200330768</v>
      </c>
      <c r="I513" s="11">
        <f t="shared" si="173"/>
        <v>20146.13</v>
      </c>
      <c r="J513" s="11">
        <f t="shared" si="174"/>
        <v>18371.2</v>
      </c>
      <c r="K513" s="12">
        <f>(B513-MAX($B$2:B513))/MAX($B$2:B513)</f>
        <v>-9.2040428003064195E-2</v>
      </c>
      <c r="L513" s="12">
        <f t="shared" si="175"/>
        <v>-8.8102777059415383E-2</v>
      </c>
      <c r="M513" s="15">
        <f t="shared" si="169"/>
        <v>18.62777740363741</v>
      </c>
      <c r="N513" s="11">
        <f t="shared" si="162"/>
        <v>19315.032227159576</v>
      </c>
      <c r="O513" s="11">
        <f t="shared" si="163"/>
        <v>19524.83005183527</v>
      </c>
      <c r="P513" s="11">
        <f t="shared" si="159"/>
        <v>-209.79782467569385</v>
      </c>
      <c r="Q513" s="11">
        <f t="shared" si="164"/>
        <v>-59.610067322957377</v>
      </c>
      <c r="R513" s="11">
        <f t="shared" si="160"/>
        <v>-150.18775735273647</v>
      </c>
      <c r="S513" s="9">
        <f t="shared" si="161"/>
        <v>20</v>
      </c>
      <c r="T513" s="14">
        <f t="shared" si="168"/>
        <v>0</v>
      </c>
      <c r="U513" s="14">
        <f t="shared" si="165"/>
        <v>3.435617262081847E-2</v>
      </c>
      <c r="V513" s="14">
        <f t="shared" si="181"/>
        <v>1.6443908972176371E-3</v>
      </c>
      <c r="W513" s="14">
        <f t="shared" si="181"/>
        <v>7.1832371208009815E-3</v>
      </c>
      <c r="X513" s="16">
        <f t="shared" si="171"/>
        <v>0.22892059242425175</v>
      </c>
    </row>
    <row r="514" spans="1:24" x14ac:dyDescent="0.25">
      <c r="A514" s="10">
        <v>45932</v>
      </c>
      <c r="B514" s="11">
        <v>18460.09</v>
      </c>
      <c r="C514" s="12">
        <f t="shared" si="166"/>
        <v>4.838551646054734E-3</v>
      </c>
      <c r="D514" s="11">
        <f t="shared" si="176"/>
        <v>19536.719000000005</v>
      </c>
      <c r="E514" s="11">
        <f t="shared" si="180"/>
        <v>19640.053199999995</v>
      </c>
      <c r="F514" s="11">
        <f t="shared" si="178"/>
        <v>18205.443499999987</v>
      </c>
      <c r="G514" s="12">
        <f t="shared" si="167"/>
        <v>4.8268834779246206E-3</v>
      </c>
      <c r="H514" s="19">
        <f t="shared" si="172"/>
        <v>0.19171492442138563</v>
      </c>
      <c r="I514" s="11">
        <f t="shared" si="173"/>
        <v>20088.150000000001</v>
      </c>
      <c r="J514" s="11">
        <f t="shared" si="174"/>
        <v>18371.2</v>
      </c>
      <c r="K514" s="12">
        <f>(B514-MAX($B$2:B514))/MAX($B$2:B514)</f>
        <v>-8.7647218721427333E-2</v>
      </c>
      <c r="L514" s="12">
        <f t="shared" si="175"/>
        <v>-8.1045790677588547E-2</v>
      </c>
      <c r="M514" s="15">
        <f t="shared" si="169"/>
        <v>22.080615111942677</v>
      </c>
      <c r="N514" s="11">
        <f t="shared" si="162"/>
        <v>19183.502653750409</v>
      </c>
      <c r="O514" s="11">
        <f t="shared" si="163"/>
        <v>19445.96041836599</v>
      </c>
      <c r="P514" s="11">
        <f t="shared" ref="P514:P577" si="182">N514-O514</f>
        <v>-262.45776461558125</v>
      </c>
      <c r="Q514" s="11">
        <f t="shared" si="164"/>
        <v>-100.17960678148216</v>
      </c>
      <c r="R514" s="11">
        <f t="shared" ref="R514:R577" si="183">P514-Q514</f>
        <v>-162.27815783409909</v>
      </c>
      <c r="S514" s="9">
        <f t="shared" ref="S514:S577" si="184">IF(AND(D514&gt;E514,P514&gt;Q514),100,IF(OR(D514&gt;E514,P514&gt;Q514),60,20))</f>
        <v>20</v>
      </c>
      <c r="T514" s="14">
        <f t="shared" si="168"/>
        <v>4.838551646054734E-3</v>
      </c>
      <c r="U514" s="14">
        <f t="shared" si="165"/>
        <v>0</v>
      </c>
      <c r="V514" s="14">
        <f t="shared" si="181"/>
        <v>1.9900017290786893E-3</v>
      </c>
      <c r="W514" s="14">
        <f t="shared" si="181"/>
        <v>7.0224361898376343E-3</v>
      </c>
      <c r="X514" s="16">
        <f t="shared" si="171"/>
        <v>0.28337768764043408</v>
      </c>
    </row>
    <row r="515" spans="1:24" x14ac:dyDescent="0.25">
      <c r="A515" s="10">
        <v>45933</v>
      </c>
      <c r="B515" s="11">
        <v>18820.18</v>
      </c>
      <c r="C515" s="12">
        <f t="shared" si="166"/>
        <v>1.9506405440060215E-2</v>
      </c>
      <c r="D515" s="11">
        <f t="shared" si="176"/>
        <v>19473.320500000002</v>
      </c>
      <c r="E515" s="11">
        <f t="shared" si="180"/>
        <v>19633.080199999997</v>
      </c>
      <c r="F515" s="11">
        <f t="shared" si="178"/>
        <v>18221.033562499993</v>
      </c>
      <c r="G515" s="12">
        <f t="shared" si="167"/>
        <v>1.931859393569587E-2</v>
      </c>
      <c r="H515" s="19">
        <f t="shared" si="172"/>
        <v>0.20938253377879668</v>
      </c>
      <c r="I515" s="11">
        <f t="shared" si="173"/>
        <v>20040.46</v>
      </c>
      <c r="J515" s="11">
        <f t="shared" si="174"/>
        <v>18371.2</v>
      </c>
      <c r="K515" s="12">
        <f>(B515-MAX($B$2:B515))/MAX($B$2:B515)</f>
        <v>-6.9850495465440962E-2</v>
      </c>
      <c r="L515" s="12">
        <f t="shared" si="175"/>
        <v>-6.089081787543793E-2</v>
      </c>
      <c r="M515" s="15">
        <f t="shared" si="169"/>
        <v>35.183975887540555</v>
      </c>
      <c r="N515" s="11">
        <f t="shared" ref="N515:N578" si="185">(B515*(2/13))+N514*(1-2/13)</f>
        <v>19127.60686086573</v>
      </c>
      <c r="O515" s="11">
        <f t="shared" ref="O515:O578" si="186">(B515*(2/27))+O514*(1-2/27)</f>
        <v>19399.606313301843</v>
      </c>
      <c r="P515" s="11">
        <f t="shared" si="182"/>
        <v>-271.99945243611364</v>
      </c>
      <c r="Q515" s="11">
        <f t="shared" ref="Q515:Q578" si="187">(P515*(2/10))+Q514*(1-2/10)</f>
        <v>-134.54357591240847</v>
      </c>
      <c r="R515" s="11">
        <f t="shared" si="183"/>
        <v>-137.45587652370517</v>
      </c>
      <c r="S515" s="9">
        <f t="shared" si="184"/>
        <v>20</v>
      </c>
      <c r="T515" s="14">
        <f t="shared" si="168"/>
        <v>1.9506405440060215E-2</v>
      </c>
      <c r="U515" s="14">
        <f t="shared" ref="U515:U578" si="188">ABS(MIN(C515,0))</f>
        <v>0</v>
      </c>
      <c r="V515" s="14">
        <f t="shared" si="181"/>
        <v>3.3833164033687047E-3</v>
      </c>
      <c r="W515" s="14">
        <f t="shared" si="181"/>
        <v>6.2327554532710504E-3</v>
      </c>
      <c r="X515" s="16">
        <f t="shared" si="171"/>
        <v>0.5428283571743675</v>
      </c>
    </row>
    <row r="516" spans="1:24" x14ac:dyDescent="0.25">
      <c r="A516" s="10">
        <v>45936</v>
      </c>
      <c r="B516" s="11">
        <v>19084.25</v>
      </c>
      <c r="C516" s="12">
        <f t="shared" ref="C516:C579" si="189">(B516/B515)-1</f>
        <v>1.403121542939556E-2</v>
      </c>
      <c r="D516" s="11">
        <f t="shared" si="176"/>
        <v>19425.510000000002</v>
      </c>
      <c r="E516" s="11">
        <f t="shared" si="180"/>
        <v>19631.244399999996</v>
      </c>
      <c r="F516" s="11">
        <f t="shared" si="178"/>
        <v>18238.130624999991</v>
      </c>
      <c r="G516" s="12">
        <f t="shared" ref="G516:G579" si="190">LN(B516/B515)</f>
        <v>1.3933689142295714E-2</v>
      </c>
      <c r="H516" s="19">
        <f t="shared" si="172"/>
        <v>0.2181173554287493</v>
      </c>
      <c r="I516" s="11">
        <f t="shared" si="173"/>
        <v>19956.63</v>
      </c>
      <c r="J516" s="11">
        <f t="shared" si="174"/>
        <v>18371.2</v>
      </c>
      <c r="K516" s="12">
        <f>(B516-MAX($B$2:B516))/MAX($B$2:B516)</f>
        <v>-5.679936738577112E-2</v>
      </c>
      <c r="L516" s="12">
        <f t="shared" si="175"/>
        <v>-2.2388365528934973E-2</v>
      </c>
      <c r="M516" s="15">
        <f t="shared" si="169"/>
        <v>40.556457049309529</v>
      </c>
      <c r="N516" s="11">
        <f t="shared" si="185"/>
        <v>19120.936574578696</v>
      </c>
      <c r="O516" s="11">
        <f t="shared" si="186"/>
        <v>19376.246586390596</v>
      </c>
      <c r="P516" s="11">
        <f t="shared" si="182"/>
        <v>-255.31001181190004</v>
      </c>
      <c r="Q516" s="11">
        <f t="shared" si="187"/>
        <v>-158.69686309230678</v>
      </c>
      <c r="R516" s="11">
        <f t="shared" si="183"/>
        <v>-96.613148719593255</v>
      </c>
      <c r="S516" s="9">
        <f t="shared" si="184"/>
        <v>20</v>
      </c>
      <c r="T516" s="14">
        <f t="shared" ref="T516:T579" si="191">MAX(C516,0)</f>
        <v>1.403121542939556E-2</v>
      </c>
      <c r="U516" s="14">
        <f t="shared" si="188"/>
        <v>0</v>
      </c>
      <c r="V516" s="14">
        <f t="shared" si="181"/>
        <v>4.2524127313394089E-3</v>
      </c>
      <c r="W516" s="14">
        <f t="shared" si="181"/>
        <v>6.2327554532710504E-3</v>
      </c>
      <c r="X516" s="16">
        <f t="shared" si="171"/>
        <v>0.68226850278678497</v>
      </c>
    </row>
    <row r="517" spans="1:24" x14ac:dyDescent="0.25">
      <c r="A517" s="10">
        <v>45937</v>
      </c>
      <c r="B517" s="11">
        <v>18983.55</v>
      </c>
      <c r="C517" s="12">
        <f t="shared" si="189"/>
        <v>-5.276602433944233E-3</v>
      </c>
      <c r="D517" s="11">
        <f t="shared" si="176"/>
        <v>19398.622500000001</v>
      </c>
      <c r="E517" s="11">
        <f t="shared" si="180"/>
        <v>19627.064200000001</v>
      </c>
      <c r="F517" s="11">
        <f t="shared" si="178"/>
        <v>18255.07193749999</v>
      </c>
      <c r="G517" s="12">
        <f t="shared" si="190"/>
        <v>-5.2905728665167866E-3</v>
      </c>
      <c r="H517" s="19">
        <f t="shared" si="172"/>
        <v>0.19969219555164688</v>
      </c>
      <c r="I517" s="11">
        <f t="shared" si="173"/>
        <v>19956.63</v>
      </c>
      <c r="J517" s="11">
        <f t="shared" si="174"/>
        <v>18371.2</v>
      </c>
      <c r="K517" s="12">
        <f>(B517-MAX($B$2:B517))/MAX($B$2:B517)</f>
        <v>-6.1776262139521129E-2</v>
      </c>
      <c r="L517" s="12">
        <f t="shared" si="175"/>
        <v>-4.3279717291123232E-2</v>
      </c>
      <c r="M517" s="15">
        <f t="shared" si="169"/>
        <v>39.9495004388951</v>
      </c>
      <c r="N517" s="11">
        <f t="shared" si="185"/>
        <v>19099.800178489666</v>
      </c>
      <c r="O517" s="11">
        <f t="shared" si="186"/>
        <v>19347.157950361663</v>
      </c>
      <c r="P517" s="11">
        <f t="shared" si="182"/>
        <v>-247.3577718719971</v>
      </c>
      <c r="Q517" s="11">
        <f t="shared" si="187"/>
        <v>-176.42904484824487</v>
      </c>
      <c r="R517" s="11">
        <f t="shared" si="183"/>
        <v>-70.928727023752231</v>
      </c>
      <c r="S517" s="9">
        <f t="shared" si="184"/>
        <v>20</v>
      </c>
      <c r="T517" s="14">
        <f t="shared" si="191"/>
        <v>0</v>
      </c>
      <c r="U517" s="14">
        <f t="shared" si="188"/>
        <v>5.276602433944233E-3</v>
      </c>
      <c r="V517" s="14">
        <f t="shared" si="181"/>
        <v>4.2524127313394089E-3</v>
      </c>
      <c r="W517" s="14">
        <f t="shared" si="181"/>
        <v>6.3920576240376293E-3</v>
      </c>
      <c r="X517" s="16">
        <f t="shared" si="171"/>
        <v>0.66526508073832336</v>
      </c>
    </row>
    <row r="518" spans="1:24" x14ac:dyDescent="0.25">
      <c r="A518" s="10">
        <v>45938</v>
      </c>
      <c r="B518" s="11">
        <v>18862.919999999998</v>
      </c>
      <c r="C518" s="12">
        <f t="shared" si="189"/>
        <v>-6.3544489834620466E-3</v>
      </c>
      <c r="D518" s="11">
        <f t="shared" si="176"/>
        <v>19349.6525</v>
      </c>
      <c r="E518" s="11">
        <f t="shared" si="180"/>
        <v>19622.617200000001</v>
      </c>
      <c r="F518" s="11">
        <f t="shared" si="178"/>
        <v>18270.508124999989</v>
      </c>
      <c r="G518" s="12">
        <f t="shared" si="190"/>
        <v>-6.3747244329148047E-3</v>
      </c>
      <c r="H518" s="19">
        <f t="shared" si="172"/>
        <v>0.18895929817603785</v>
      </c>
      <c r="I518" s="11">
        <f t="shared" si="173"/>
        <v>19956.63</v>
      </c>
      <c r="J518" s="11">
        <f t="shared" si="174"/>
        <v>18371.2</v>
      </c>
      <c r="K518" s="12">
        <f>(B518-MAX($B$2:B518))/MAX($B$2:B518)</f>
        <v>-6.7738157016828615E-2</v>
      </c>
      <c r="L518" s="12">
        <f t="shared" si="175"/>
        <v>-5.0861614805071897E-2</v>
      </c>
      <c r="M518" s="15">
        <f t="shared" si="169"/>
        <v>33.682626260086536</v>
      </c>
      <c r="N518" s="11">
        <f t="shared" si="185"/>
        <v>19063.35707410664</v>
      </c>
      <c r="O518" s="11">
        <f t="shared" si="186"/>
        <v>19311.288472557095</v>
      </c>
      <c r="P518" s="11">
        <f t="shared" si="182"/>
        <v>-247.93139845045516</v>
      </c>
      <c r="Q518" s="11">
        <f t="shared" si="187"/>
        <v>-190.72951556868694</v>
      </c>
      <c r="R518" s="11">
        <f t="shared" si="183"/>
        <v>-57.201882881768228</v>
      </c>
      <c r="S518" s="9">
        <f t="shared" si="184"/>
        <v>20</v>
      </c>
      <c r="T518" s="14">
        <f t="shared" si="191"/>
        <v>0</v>
      </c>
      <c r="U518" s="14">
        <f t="shared" si="188"/>
        <v>6.3544489834620466E-3</v>
      </c>
      <c r="V518" s="14">
        <f t="shared" si="181"/>
        <v>3.4770597161494061E-3</v>
      </c>
      <c r="W518" s="14">
        <f t="shared" si="181"/>
        <v>6.8459468371420617E-3</v>
      </c>
      <c r="X518" s="16">
        <f t="shared" si="171"/>
        <v>0.50790048460279225</v>
      </c>
    </row>
    <row r="519" spans="1:24" x14ac:dyDescent="0.25">
      <c r="A519" s="10">
        <v>45939</v>
      </c>
      <c r="B519" s="11">
        <v>18599.490000000002</v>
      </c>
      <c r="C519" s="12">
        <f t="shared" si="189"/>
        <v>-1.3965494207683449E-2</v>
      </c>
      <c r="D519" s="11">
        <f t="shared" si="176"/>
        <v>19285.940500000001</v>
      </c>
      <c r="E519" s="11">
        <f t="shared" si="180"/>
        <v>19609.2804</v>
      </c>
      <c r="F519" s="11">
        <f t="shared" si="178"/>
        <v>18284.270312499993</v>
      </c>
      <c r="G519" s="12">
        <f t="shared" si="190"/>
        <v>-1.4063929259265431E-2</v>
      </c>
      <c r="H519" s="19">
        <f t="shared" si="172"/>
        <v>0.19256967098635361</v>
      </c>
      <c r="I519" s="11">
        <f t="shared" si="173"/>
        <v>19956.63</v>
      </c>
      <c r="J519" s="11">
        <f t="shared" si="174"/>
        <v>18371.2</v>
      </c>
      <c r="K519" s="12">
        <f>(B519-MAX($B$2:B519))/MAX($B$2:B519)</f>
        <v>-8.0757654385054403E-2</v>
      </c>
      <c r="L519" s="12">
        <f t="shared" si="175"/>
        <v>-6.200517525098348E-2</v>
      </c>
      <c r="M519" s="15">
        <f t="shared" si="169"/>
        <v>27.356662467521886</v>
      </c>
      <c r="N519" s="11">
        <f t="shared" si="185"/>
        <v>18991.992908859465</v>
      </c>
      <c r="O519" s="11">
        <f t="shared" si="186"/>
        <v>19258.562659775089</v>
      </c>
      <c r="P519" s="11">
        <f t="shared" si="182"/>
        <v>-266.56975091562344</v>
      </c>
      <c r="Q519" s="11">
        <f t="shared" si="187"/>
        <v>-205.89756263807425</v>
      </c>
      <c r="R519" s="11">
        <f t="shared" si="183"/>
        <v>-60.672188277549196</v>
      </c>
      <c r="S519" s="9">
        <f t="shared" si="184"/>
        <v>20</v>
      </c>
      <c r="T519" s="14">
        <f t="shared" si="191"/>
        <v>0</v>
      </c>
      <c r="U519" s="14">
        <f t="shared" si="188"/>
        <v>1.3965494207683449E-2</v>
      </c>
      <c r="V519" s="14">
        <f t="shared" si="181"/>
        <v>2.9537670032701024E-3</v>
      </c>
      <c r="W519" s="14">
        <f t="shared" si="181"/>
        <v>7.8434821376908801E-3</v>
      </c>
      <c r="X519" s="16">
        <f t="shared" si="171"/>
        <v>0.37658873334792742</v>
      </c>
    </row>
    <row r="520" spans="1:24" x14ac:dyDescent="0.25">
      <c r="A520" s="10">
        <v>45940</v>
      </c>
      <c r="B520" s="11">
        <v>18549.37</v>
      </c>
      <c r="C520" s="12">
        <f t="shared" si="189"/>
        <v>-2.6946975427821762E-3</v>
      </c>
      <c r="D520" s="11">
        <f t="shared" si="176"/>
        <v>19221.959500000001</v>
      </c>
      <c r="E520" s="11">
        <f t="shared" si="180"/>
        <v>19592.171799999996</v>
      </c>
      <c r="F520" s="11">
        <f t="shared" si="178"/>
        <v>18297.377437499996</v>
      </c>
      <c r="G520" s="12">
        <f t="shared" si="190"/>
        <v>-2.6983347758371095E-3</v>
      </c>
      <c r="H520" s="19">
        <f t="shared" si="172"/>
        <v>0.19254369377854641</v>
      </c>
      <c r="I520" s="11">
        <f t="shared" si="173"/>
        <v>19956.63</v>
      </c>
      <c r="J520" s="11">
        <f t="shared" si="174"/>
        <v>18371.2</v>
      </c>
      <c r="K520" s="12">
        <f>(B520-MAX($B$2:B520))/MAX($B$2:B520)</f>
        <v>-8.3234734475004374E-2</v>
      </c>
      <c r="L520" s="12">
        <f t="shared" si="175"/>
        <v>-5.407508604129474E-2</v>
      </c>
      <c r="M520" s="15">
        <f t="shared" si="169"/>
        <v>26.578435990657397</v>
      </c>
      <c r="N520" s="11">
        <f t="shared" si="185"/>
        <v>18923.89707672724</v>
      </c>
      <c r="O520" s="11">
        <f t="shared" si="186"/>
        <v>19206.029870162121</v>
      </c>
      <c r="P520" s="11">
        <f t="shared" si="182"/>
        <v>-282.13279343488102</v>
      </c>
      <c r="Q520" s="11">
        <f t="shared" si="187"/>
        <v>-221.14460879743564</v>
      </c>
      <c r="R520" s="11">
        <f t="shared" si="183"/>
        <v>-60.988184637445386</v>
      </c>
      <c r="S520" s="9">
        <f t="shared" si="184"/>
        <v>20</v>
      </c>
      <c r="T520" s="14">
        <f t="shared" si="191"/>
        <v>0</v>
      </c>
      <c r="U520" s="14">
        <f t="shared" si="188"/>
        <v>2.6946975427821762E-3</v>
      </c>
      <c r="V520" s="14">
        <f t="shared" si="181"/>
        <v>2.9089990869530158E-3</v>
      </c>
      <c r="W520" s="14">
        <f t="shared" si="181"/>
        <v>8.035960533603892E-3</v>
      </c>
      <c r="X520" s="16">
        <f t="shared" si="171"/>
        <v>0.36199768214247502</v>
      </c>
    </row>
    <row r="521" spans="1:24" x14ac:dyDescent="0.25">
      <c r="A521" s="10">
        <v>45943</v>
      </c>
      <c r="B521" s="11">
        <v>18666.189999999999</v>
      </c>
      <c r="C521" s="12">
        <f t="shared" si="189"/>
        <v>6.297788011129235E-3</v>
      </c>
      <c r="D521" s="11">
        <f t="shared" si="176"/>
        <v>19174.780500000001</v>
      </c>
      <c r="E521" s="11">
        <f t="shared" si="180"/>
        <v>19579.226599999998</v>
      </c>
      <c r="F521" s="11">
        <f t="shared" si="178"/>
        <v>18310.012249999992</v>
      </c>
      <c r="G521" s="12">
        <f t="shared" si="190"/>
        <v>6.27803981414949E-3</v>
      </c>
      <c r="H521" s="19">
        <f t="shared" si="172"/>
        <v>0.19311925169754121</v>
      </c>
      <c r="I521" s="11">
        <f t="shared" si="173"/>
        <v>19956.63</v>
      </c>
      <c r="J521" s="11">
        <f t="shared" si="174"/>
        <v>18371.2</v>
      </c>
      <c r="K521" s="12">
        <f>(B521-MAX($B$2:B521))/MAX($B$2:B521)</f>
        <v>-7.7461141176761381E-2</v>
      </c>
      <c r="L521" s="12">
        <f t="shared" si="175"/>
        <v>-4.9888732342749265E-2</v>
      </c>
      <c r="M521" s="15">
        <f t="shared" si="169"/>
        <v>31.310992494427197</v>
      </c>
      <c r="N521" s="11">
        <f t="shared" si="185"/>
        <v>18884.249834153819</v>
      </c>
      <c r="O521" s="11">
        <f t="shared" si="186"/>
        <v>19166.041731631594</v>
      </c>
      <c r="P521" s="11">
        <f t="shared" si="182"/>
        <v>-281.79189747777491</v>
      </c>
      <c r="Q521" s="11">
        <f t="shared" si="187"/>
        <v>-233.27406653350351</v>
      </c>
      <c r="R521" s="11">
        <f t="shared" si="183"/>
        <v>-48.517830944271395</v>
      </c>
      <c r="S521" s="9">
        <f t="shared" si="184"/>
        <v>20</v>
      </c>
      <c r="T521" s="14">
        <f t="shared" si="191"/>
        <v>6.297788011129235E-3</v>
      </c>
      <c r="U521" s="14">
        <f t="shared" si="188"/>
        <v>0</v>
      </c>
      <c r="V521" s="14">
        <f t="shared" si="181"/>
        <v>3.3588410877479608E-3</v>
      </c>
      <c r="W521" s="14">
        <f t="shared" si="181"/>
        <v>7.3685131740046017E-3</v>
      </c>
      <c r="X521" s="16">
        <f t="shared" si="171"/>
        <v>0.45583702009214366</v>
      </c>
    </row>
    <row r="522" spans="1:24" x14ac:dyDescent="0.25">
      <c r="A522" s="10">
        <v>45944</v>
      </c>
      <c r="B522" s="11">
        <v>18296.61</v>
      </c>
      <c r="C522" s="12">
        <f t="shared" si="189"/>
        <v>-1.9799434164122331E-2</v>
      </c>
      <c r="D522" s="11">
        <f t="shared" si="176"/>
        <v>19107.294999999998</v>
      </c>
      <c r="E522" s="11">
        <f t="shared" si="180"/>
        <v>19556.235399999998</v>
      </c>
      <c r="F522" s="11">
        <f t="shared" si="178"/>
        <v>18319.949187499995</v>
      </c>
      <c r="G522" s="12">
        <f t="shared" si="190"/>
        <v>-1.9998069241117238E-2</v>
      </c>
      <c r="H522" s="19">
        <f t="shared" si="172"/>
        <v>0.20200644379582769</v>
      </c>
      <c r="I522" s="11">
        <f t="shared" si="173"/>
        <v>19956.63</v>
      </c>
      <c r="J522" s="11">
        <f t="shared" si="174"/>
        <v>18296.61</v>
      </c>
      <c r="K522" s="12">
        <f>(B522-MAX($B$2:B522))/MAX($B$2:B522)</f>
        <v>-9.5726888575876606E-2</v>
      </c>
      <c r="L522" s="12">
        <f t="shared" si="175"/>
        <v>-6.5854643537094804E-2</v>
      </c>
      <c r="M522" s="15">
        <f t="shared" si="169"/>
        <v>28.980032062328831</v>
      </c>
      <c r="N522" s="11">
        <f t="shared" si="185"/>
        <v>18793.843705822463</v>
      </c>
      <c r="O522" s="11">
        <f t="shared" si="186"/>
        <v>19101.639381140365</v>
      </c>
      <c r="P522" s="11">
        <f t="shared" si="182"/>
        <v>-307.79567531790235</v>
      </c>
      <c r="Q522" s="11">
        <f t="shared" si="187"/>
        <v>-248.17838829038328</v>
      </c>
      <c r="R522" s="11">
        <f t="shared" si="183"/>
        <v>-59.617287027519069</v>
      </c>
      <c r="S522" s="9">
        <f t="shared" si="184"/>
        <v>20</v>
      </c>
      <c r="T522" s="14">
        <f t="shared" si="191"/>
        <v>0</v>
      </c>
      <c r="U522" s="14">
        <f t="shared" si="188"/>
        <v>1.9799434164122331E-2</v>
      </c>
      <c r="V522" s="14">
        <f t="shared" si="181"/>
        <v>3.3588410877479608E-3</v>
      </c>
      <c r="W522" s="14">
        <f t="shared" si="181"/>
        <v>8.2313499807916777E-3</v>
      </c>
      <c r="X522" s="16">
        <f t="shared" si="171"/>
        <v>0.40805470494949275</v>
      </c>
    </row>
    <row r="523" spans="1:24" x14ac:dyDescent="0.25">
      <c r="A523" s="10">
        <v>45945</v>
      </c>
      <c r="B523" s="11">
        <v>18199.3</v>
      </c>
      <c r="C523" s="12">
        <f t="shared" si="189"/>
        <v>-5.3184715638581181E-3</v>
      </c>
      <c r="D523" s="11">
        <f t="shared" si="176"/>
        <v>19037.9365</v>
      </c>
      <c r="E523" s="11">
        <f t="shared" si="180"/>
        <v>19527.523999999998</v>
      </c>
      <c r="F523" s="11">
        <f t="shared" si="178"/>
        <v>18328.25974999999</v>
      </c>
      <c r="G523" s="12">
        <f t="shared" si="190"/>
        <v>-5.332664980970534E-3</v>
      </c>
      <c r="H523" s="19">
        <f t="shared" si="172"/>
        <v>0.20209272714606938</v>
      </c>
      <c r="I523" s="11">
        <f t="shared" si="173"/>
        <v>19956.63</v>
      </c>
      <c r="J523" s="11">
        <f t="shared" si="174"/>
        <v>18199.3</v>
      </c>
      <c r="K523" s="12">
        <f>(B523-MAX($B$2:B523))/MAX($B$2:B523)</f>
        <v>-0.10053623940494728</v>
      </c>
      <c r="L523" s="12">
        <f t="shared" si="175"/>
        <v>-8.0800724074048036E-2</v>
      </c>
      <c r="M523" s="15">
        <f t="shared" si="169"/>
        <v>29.757385904993569</v>
      </c>
      <c r="N523" s="11">
        <f t="shared" si="185"/>
        <v>18702.375443388239</v>
      </c>
      <c r="O523" s="11">
        <f t="shared" si="186"/>
        <v>19034.799426981819</v>
      </c>
      <c r="P523" s="11">
        <f t="shared" si="182"/>
        <v>-332.42398359358049</v>
      </c>
      <c r="Q523" s="11">
        <f t="shared" si="187"/>
        <v>-265.02750735102273</v>
      </c>
      <c r="R523" s="11">
        <f t="shared" si="183"/>
        <v>-67.396476242557753</v>
      </c>
      <c r="S523" s="9">
        <f t="shared" si="184"/>
        <v>20</v>
      </c>
      <c r="T523" s="14">
        <f t="shared" si="191"/>
        <v>0</v>
      </c>
      <c r="U523" s="14">
        <f t="shared" si="188"/>
        <v>5.3184715638581181E-3</v>
      </c>
      <c r="V523" s="14">
        <f t="shared" si="181"/>
        <v>3.3588410877479608E-3</v>
      </c>
      <c r="W523" s="14">
        <f t="shared" si="181"/>
        <v>7.9285787765900426E-3</v>
      </c>
      <c r="X523" s="16">
        <f t="shared" si="171"/>
        <v>0.42363722205362836</v>
      </c>
    </row>
    <row r="524" spans="1:24" x14ac:dyDescent="0.25">
      <c r="A524" s="10">
        <v>45946</v>
      </c>
      <c r="B524" s="11">
        <v>18438.259999999998</v>
      </c>
      <c r="C524" s="12">
        <f t="shared" si="189"/>
        <v>1.3130175336413918E-2</v>
      </c>
      <c r="D524" s="11">
        <f t="shared" si="176"/>
        <v>18969.895499999999</v>
      </c>
      <c r="E524" s="11">
        <f t="shared" si="180"/>
        <v>19504.876599999996</v>
      </c>
      <c r="F524" s="11">
        <f t="shared" si="178"/>
        <v>18337.544812499989</v>
      </c>
      <c r="G524" s="12">
        <f t="shared" si="190"/>
        <v>1.3044721784862502E-2</v>
      </c>
      <c r="H524" s="19">
        <f t="shared" si="172"/>
        <v>0.20437240993721412</v>
      </c>
      <c r="I524" s="11">
        <f t="shared" si="173"/>
        <v>19956.63</v>
      </c>
      <c r="J524" s="11">
        <f t="shared" si="174"/>
        <v>18199.3</v>
      </c>
      <c r="K524" s="12">
        <f>(B524-MAX($B$2:B524))/MAX($B$2:B524)</f>
        <v>-8.8726122519583936E-2</v>
      </c>
      <c r="L524" s="12">
        <f t="shared" si="175"/>
        <v>-7.5504421601744642E-2</v>
      </c>
      <c r="M524" s="15">
        <f t="shared" si="169"/>
        <v>36.090920340107061</v>
      </c>
      <c r="N524" s="11">
        <f t="shared" si="185"/>
        <v>18661.742298251585</v>
      </c>
      <c r="O524" s="11">
        <f t="shared" si="186"/>
        <v>18990.611321279463</v>
      </c>
      <c r="P524" s="11">
        <f t="shared" si="182"/>
        <v>-328.86902302787712</v>
      </c>
      <c r="Q524" s="11">
        <f t="shared" si="187"/>
        <v>-277.79581048639363</v>
      </c>
      <c r="R524" s="11">
        <f t="shared" si="183"/>
        <v>-51.073212541483485</v>
      </c>
      <c r="S524" s="9">
        <f t="shared" si="184"/>
        <v>20</v>
      </c>
      <c r="T524" s="14">
        <f t="shared" si="191"/>
        <v>1.3130175336413918E-2</v>
      </c>
      <c r="U524" s="14">
        <f t="shared" si="188"/>
        <v>0</v>
      </c>
      <c r="V524" s="14">
        <f t="shared" si="181"/>
        <v>4.2967107546346694E-3</v>
      </c>
      <c r="W524" s="14">
        <f t="shared" si="181"/>
        <v>7.6085294391428958E-3</v>
      </c>
      <c r="X524" s="16">
        <f t="shared" si="171"/>
        <v>0.56472289277475618</v>
      </c>
    </row>
    <row r="525" spans="1:24" x14ac:dyDescent="0.25">
      <c r="A525" s="10">
        <v>45947</v>
      </c>
      <c r="B525" s="11">
        <v>18457.86</v>
      </c>
      <c r="C525" s="12">
        <f t="shared" si="189"/>
        <v>1.0630070299475491E-3</v>
      </c>
      <c r="D525" s="11">
        <f t="shared" si="176"/>
        <v>18895.581999999999</v>
      </c>
      <c r="E525" s="11">
        <f t="shared" si="180"/>
        <v>19483.088</v>
      </c>
      <c r="F525" s="11">
        <f t="shared" si="178"/>
        <v>18347.63749999999</v>
      </c>
      <c r="G525" s="12">
        <f t="shared" si="190"/>
        <v>1.0624424380493715E-3</v>
      </c>
      <c r="H525" s="19">
        <f t="shared" si="172"/>
        <v>0.20115053915982814</v>
      </c>
      <c r="I525" s="11">
        <f t="shared" si="173"/>
        <v>19956.63</v>
      </c>
      <c r="J525" s="11">
        <f t="shared" si="174"/>
        <v>18199.3</v>
      </c>
      <c r="K525" s="12">
        <f>(B525-MAX($B$2:B525))/MAX($B$2:B525)</f>
        <v>-8.775743198161462E-2</v>
      </c>
      <c r="L525" s="12">
        <f t="shared" si="175"/>
        <v>-7.5101357293290483E-2</v>
      </c>
      <c r="M525" s="15">
        <f t="shared" si="169"/>
        <v>41.090093372122418</v>
      </c>
      <c r="N525" s="11">
        <f t="shared" si="185"/>
        <v>18630.375790828264</v>
      </c>
      <c r="O525" s="11">
        <f t="shared" si="186"/>
        <v>18951.148260443944</v>
      </c>
      <c r="P525" s="11">
        <f t="shared" si="182"/>
        <v>-320.77246961568017</v>
      </c>
      <c r="Q525" s="11">
        <f t="shared" si="187"/>
        <v>-286.39114231225096</v>
      </c>
      <c r="R525" s="11">
        <f t="shared" si="183"/>
        <v>-34.381327303429202</v>
      </c>
      <c r="S525" s="9">
        <f t="shared" si="184"/>
        <v>20</v>
      </c>
      <c r="T525" s="14">
        <f t="shared" si="191"/>
        <v>1.0630070299475491E-3</v>
      </c>
      <c r="U525" s="14">
        <f t="shared" si="188"/>
        <v>0</v>
      </c>
      <c r="V525" s="14">
        <f t="shared" si="181"/>
        <v>4.3726398282023515E-3</v>
      </c>
      <c r="W525" s="14">
        <f t="shared" si="181"/>
        <v>6.2689515369050586E-3</v>
      </c>
      <c r="X525" s="16">
        <f t="shared" si="171"/>
        <v>0.69750735868044311</v>
      </c>
    </row>
    <row r="526" spans="1:24" x14ac:dyDescent="0.25">
      <c r="A526" s="10">
        <v>45950</v>
      </c>
      <c r="B526" s="11">
        <v>18927.900000000001</v>
      </c>
      <c r="C526" s="12">
        <f t="shared" si="189"/>
        <v>2.5465574015622661E-2</v>
      </c>
      <c r="D526" s="11">
        <f t="shared" si="176"/>
        <v>18844.145499999999</v>
      </c>
      <c r="E526" s="11">
        <f t="shared" si="180"/>
        <v>19470.130799999999</v>
      </c>
      <c r="F526" s="11">
        <f t="shared" si="178"/>
        <v>18360.229437499987</v>
      </c>
      <c r="G526" s="12">
        <f t="shared" si="190"/>
        <v>2.5146728016178729E-2</v>
      </c>
      <c r="H526" s="19">
        <f t="shared" si="172"/>
        <v>0.22575050926403292</v>
      </c>
      <c r="I526" s="11">
        <f t="shared" si="173"/>
        <v>19770.150000000001</v>
      </c>
      <c r="J526" s="11">
        <f t="shared" si="174"/>
        <v>18199.3</v>
      </c>
      <c r="K526" s="12">
        <f>(B526-MAX($B$2:B526))/MAX($B$2:B526)</f>
        <v>-6.4526651345540739E-2</v>
      </c>
      <c r="L526" s="12">
        <f t="shared" si="175"/>
        <v>-4.2602104688128306E-2</v>
      </c>
      <c r="M526" s="15">
        <f t="shared" si="169"/>
        <v>49.00271826470091</v>
      </c>
      <c r="N526" s="11">
        <f t="shared" si="185"/>
        <v>18676.148746085455</v>
      </c>
      <c r="O526" s="11">
        <f t="shared" si="186"/>
        <v>18949.426167077727</v>
      </c>
      <c r="P526" s="11">
        <f t="shared" si="182"/>
        <v>-273.2774209922718</v>
      </c>
      <c r="Q526" s="11">
        <f t="shared" si="187"/>
        <v>-283.76839804825511</v>
      </c>
      <c r="R526" s="11">
        <f t="shared" si="183"/>
        <v>10.490977055983308</v>
      </c>
      <c r="S526" s="9">
        <f t="shared" si="184"/>
        <v>60</v>
      </c>
      <c r="T526" s="14">
        <f t="shared" si="191"/>
        <v>2.5465574015622661E-2</v>
      </c>
      <c r="U526" s="14">
        <f t="shared" si="188"/>
        <v>0</v>
      </c>
      <c r="V526" s="14">
        <f t="shared" si="181"/>
        <v>6.0237654934731334E-3</v>
      </c>
      <c r="W526" s="14">
        <f t="shared" si="181"/>
        <v>6.2689515369050586E-3</v>
      </c>
      <c r="X526" s="16">
        <f t="shared" si="171"/>
        <v>0.96088882774280115</v>
      </c>
    </row>
    <row r="527" spans="1:24" x14ac:dyDescent="0.25">
      <c r="A527" s="10">
        <v>45951</v>
      </c>
      <c r="B527" s="11">
        <v>19339.45</v>
      </c>
      <c r="C527" s="12">
        <f t="shared" si="189"/>
        <v>2.1743035413331668E-2</v>
      </c>
      <c r="D527" s="11">
        <f t="shared" si="176"/>
        <v>18822.610499999999</v>
      </c>
      <c r="E527" s="11">
        <f t="shared" si="180"/>
        <v>19463.220599999997</v>
      </c>
      <c r="F527" s="11">
        <f t="shared" si="178"/>
        <v>18375.240562499992</v>
      </c>
      <c r="G527" s="12">
        <f t="shared" si="190"/>
        <v>2.1510027107559247E-2</v>
      </c>
      <c r="H527" s="19">
        <f t="shared" si="172"/>
        <v>0.23972209617300411</v>
      </c>
      <c r="I527" s="11">
        <f t="shared" si="173"/>
        <v>19617.53</v>
      </c>
      <c r="J527" s="11">
        <f t="shared" si="174"/>
        <v>18199.3</v>
      </c>
      <c r="K527" s="12">
        <f>(B527-MAX($B$2:B527))/MAX($B$2:B527)</f>
        <v>-4.4186621197518927E-2</v>
      </c>
      <c r="L527" s="12">
        <f t="shared" si="175"/>
        <v>-1.4175077086666765E-2</v>
      </c>
      <c r="M527" s="15">
        <f t="shared" si="169"/>
        <v>66.511470058904393</v>
      </c>
      <c r="N527" s="11">
        <f t="shared" si="185"/>
        <v>18778.195092841539</v>
      </c>
      <c r="O527" s="11">
        <f t="shared" si="186"/>
        <v>18978.316821368266</v>
      </c>
      <c r="P527" s="11">
        <f t="shared" si="182"/>
        <v>-200.12172852672666</v>
      </c>
      <c r="Q527" s="11">
        <f t="shared" si="187"/>
        <v>-267.03906414394942</v>
      </c>
      <c r="R527" s="11">
        <f t="shared" si="183"/>
        <v>66.917335617222761</v>
      </c>
      <c r="S527" s="9">
        <f t="shared" si="184"/>
        <v>60</v>
      </c>
      <c r="T527" s="14">
        <f t="shared" si="191"/>
        <v>2.1743035413331668E-2</v>
      </c>
      <c r="U527" s="14">
        <f t="shared" si="188"/>
        <v>0</v>
      </c>
      <c r="V527" s="14">
        <f t="shared" si="181"/>
        <v>7.5768394515682526E-3</v>
      </c>
      <c r="W527" s="14">
        <f t="shared" si="181"/>
        <v>3.8149392068465965E-3</v>
      </c>
      <c r="X527" s="16">
        <f t="shared" si="171"/>
        <v>1.9860970360865116</v>
      </c>
    </row>
    <row r="528" spans="1:24" x14ac:dyDescent="0.25">
      <c r="A528" s="10">
        <v>45952</v>
      </c>
      <c r="B528" s="11">
        <v>19452.84</v>
      </c>
      <c r="C528" s="12">
        <f t="shared" si="189"/>
        <v>5.8631450222212944E-3</v>
      </c>
      <c r="D528" s="11">
        <f t="shared" si="176"/>
        <v>18814.376</v>
      </c>
      <c r="E528" s="11">
        <f t="shared" si="180"/>
        <v>19456.697199999999</v>
      </c>
      <c r="F528" s="11">
        <f t="shared" si="178"/>
        <v>18390.029249999992</v>
      </c>
      <c r="G528" s="12">
        <f t="shared" si="190"/>
        <v>5.8460236781311993E-3</v>
      </c>
      <c r="H528" s="19">
        <f t="shared" si="172"/>
        <v>0.2395788269975839</v>
      </c>
      <c r="I528" s="11">
        <f t="shared" si="173"/>
        <v>19452.84</v>
      </c>
      <c r="J528" s="11">
        <f t="shared" si="174"/>
        <v>18199.3</v>
      </c>
      <c r="K528" s="12">
        <f>(B528-MAX($B$2:B528))/MAX($B$2:B528)</f>
        <v>-3.8582548743420556E-2</v>
      </c>
      <c r="L528" s="12">
        <f t="shared" si="175"/>
        <v>1.1734407134518232E-3</v>
      </c>
      <c r="M528" s="15">
        <f t="shared" ref="M528:M591" si="192">IF(X528=0,100,100-(100/(1+X528)))</f>
        <v>66.725240129279342</v>
      </c>
      <c r="N528" s="11">
        <f t="shared" si="185"/>
        <v>18881.986617019764</v>
      </c>
      <c r="O528" s="11">
        <f t="shared" si="186"/>
        <v>19013.466686452095</v>
      </c>
      <c r="P528" s="11">
        <f t="shared" si="182"/>
        <v>-131.48006943233122</v>
      </c>
      <c r="Q528" s="11">
        <f t="shared" si="187"/>
        <v>-239.9272652016258</v>
      </c>
      <c r="R528" s="11">
        <f t="shared" si="183"/>
        <v>108.44719576929458</v>
      </c>
      <c r="S528" s="9">
        <f t="shared" si="184"/>
        <v>60</v>
      </c>
      <c r="T528" s="14">
        <f t="shared" si="191"/>
        <v>5.8631450222212944E-3</v>
      </c>
      <c r="U528" s="14">
        <f t="shared" si="188"/>
        <v>0</v>
      </c>
      <c r="V528" s="14">
        <f t="shared" ref="V528:W543" si="193">AVERAGE(T515:T528)</f>
        <v>7.6500246927230075E-3</v>
      </c>
      <c r="W528" s="14">
        <f t="shared" si="193"/>
        <v>3.8149392068465965E-3</v>
      </c>
      <c r="X528" s="16">
        <f t="shared" ref="X528:X591" si="194">IF(W528=0,0,V528/W528)</f>
        <v>2.0052808912377054</v>
      </c>
    </row>
    <row r="529" spans="1:24" x14ac:dyDescent="0.25">
      <c r="A529" s="10">
        <v>45953</v>
      </c>
      <c r="B529" s="11">
        <v>19384.53</v>
      </c>
      <c r="C529" s="12">
        <f t="shared" si="189"/>
        <v>-3.5115695188980833E-3</v>
      </c>
      <c r="D529" s="11">
        <f t="shared" si="176"/>
        <v>18812.1005</v>
      </c>
      <c r="E529" s="11">
        <f t="shared" si="180"/>
        <v>19448.012600000002</v>
      </c>
      <c r="F529" s="11">
        <f t="shared" si="178"/>
        <v>18405.387062499991</v>
      </c>
      <c r="G529" s="12">
        <f t="shared" si="190"/>
        <v>-3.5177495511246261E-3</v>
      </c>
      <c r="H529" s="19">
        <f t="shared" si="172"/>
        <v>0.23744993188543284</v>
      </c>
      <c r="I529" s="11">
        <f t="shared" si="173"/>
        <v>19452.84</v>
      </c>
      <c r="J529" s="11">
        <f t="shared" si="174"/>
        <v>18199.3</v>
      </c>
      <c r="K529" s="12">
        <f>(B529-MAX($B$2:B529))/MAX($B$2:B529)</f>
        <v>-4.195863296018984E-2</v>
      </c>
      <c r="L529" s="12">
        <f t="shared" si="175"/>
        <v>2.1480661201116469E-3</v>
      </c>
      <c r="M529" s="15">
        <f t="shared" si="192"/>
        <v>60.612494997049751</v>
      </c>
      <c r="N529" s="11">
        <f t="shared" si="185"/>
        <v>18959.300983632107</v>
      </c>
      <c r="O529" s="11">
        <f t="shared" si="186"/>
        <v>19040.952857826014</v>
      </c>
      <c r="P529" s="11">
        <f t="shared" si="182"/>
        <v>-81.651874193907133</v>
      </c>
      <c r="Q529" s="11">
        <f t="shared" si="187"/>
        <v>-208.27218700008208</v>
      </c>
      <c r="R529" s="11">
        <f t="shared" si="183"/>
        <v>126.62031280617495</v>
      </c>
      <c r="S529" s="9">
        <f t="shared" si="184"/>
        <v>60</v>
      </c>
      <c r="T529" s="14">
        <f t="shared" si="191"/>
        <v>0</v>
      </c>
      <c r="U529" s="14">
        <f t="shared" si="188"/>
        <v>3.5115695188980833E-3</v>
      </c>
      <c r="V529" s="14">
        <f t="shared" si="193"/>
        <v>6.2567100184329916E-3</v>
      </c>
      <c r="W529" s="14">
        <f t="shared" si="193"/>
        <v>4.0657656010536026E-3</v>
      </c>
      <c r="X529" s="16">
        <f t="shared" si="194"/>
        <v>1.5388762246430605</v>
      </c>
    </row>
    <row r="530" spans="1:24" x14ac:dyDescent="0.25">
      <c r="A530" s="10">
        <v>45954</v>
      </c>
      <c r="B530" s="11">
        <v>19443.32</v>
      </c>
      <c r="C530" s="12">
        <f t="shared" si="189"/>
        <v>3.0328308192151265E-3</v>
      </c>
      <c r="D530" s="11">
        <f t="shared" si="176"/>
        <v>18817.1175</v>
      </c>
      <c r="E530" s="11">
        <f t="shared" si="180"/>
        <v>19440.010399999999</v>
      </c>
      <c r="F530" s="11">
        <f t="shared" si="178"/>
        <v>18422.38412499999</v>
      </c>
      <c r="G530" s="12">
        <f t="shared" si="190"/>
        <v>3.0282410654489918E-3</v>
      </c>
      <c r="H530" s="19">
        <f t="shared" si="172"/>
        <v>0.23711287039199563</v>
      </c>
      <c r="I530" s="11">
        <f t="shared" si="173"/>
        <v>19452.84</v>
      </c>
      <c r="J530" s="11">
        <f t="shared" si="174"/>
        <v>18199.3</v>
      </c>
      <c r="K530" s="12">
        <f>(B530-MAX($B$2:B530))/MAX($B$2:B530)</f>
        <v>-3.9053055576148479E-2</v>
      </c>
      <c r="L530" s="12">
        <f t="shared" si="175"/>
        <v>2.4399084942113403E-2</v>
      </c>
      <c r="M530" s="15">
        <f t="shared" si="192"/>
        <v>57.367954719849976</v>
      </c>
      <c r="N530" s="11">
        <f t="shared" si="185"/>
        <v>19033.765447688707</v>
      </c>
      <c r="O530" s="11">
        <f t="shared" si="186"/>
        <v>19070.757831320385</v>
      </c>
      <c r="P530" s="11">
        <f t="shared" si="182"/>
        <v>-36.992383631677512</v>
      </c>
      <c r="Q530" s="11">
        <f t="shared" si="187"/>
        <v>-174.01622632640118</v>
      </c>
      <c r="R530" s="11">
        <f t="shared" si="183"/>
        <v>137.02384269472367</v>
      </c>
      <c r="S530" s="9">
        <f t="shared" si="184"/>
        <v>60</v>
      </c>
      <c r="T530" s="14">
        <f t="shared" si="191"/>
        <v>3.0328308192151265E-3</v>
      </c>
      <c r="U530" s="14">
        <f t="shared" si="188"/>
        <v>0</v>
      </c>
      <c r="V530" s="14">
        <f t="shared" si="193"/>
        <v>5.471111117705818E-3</v>
      </c>
      <c r="W530" s="14">
        <f t="shared" si="193"/>
        <v>4.0657656010536026E-3</v>
      </c>
      <c r="X530" s="16">
        <f t="shared" si="194"/>
        <v>1.345653354017269</v>
      </c>
    </row>
    <row r="531" spans="1:24" x14ac:dyDescent="0.25">
      <c r="A531" s="10">
        <v>45957</v>
      </c>
      <c r="B531" s="11">
        <v>19374.330000000002</v>
      </c>
      <c r="C531" s="12">
        <f t="shared" si="189"/>
        <v>-3.5482623337989017E-3</v>
      </c>
      <c r="D531" s="11">
        <f t="shared" si="176"/>
        <v>18836.823000000004</v>
      </c>
      <c r="E531" s="11">
        <f t="shared" si="180"/>
        <v>19429.823599999996</v>
      </c>
      <c r="F531" s="11">
        <f t="shared" si="178"/>
        <v>18438.52299999999</v>
      </c>
      <c r="G531" s="12">
        <f t="shared" si="190"/>
        <v>-3.5545723474046317E-3</v>
      </c>
      <c r="H531" s="19">
        <f t="shared" si="172"/>
        <v>0.22665804610471638</v>
      </c>
      <c r="I531" s="11">
        <f t="shared" si="173"/>
        <v>19452.84</v>
      </c>
      <c r="J531" s="11">
        <f t="shared" si="174"/>
        <v>18199.3</v>
      </c>
      <c r="K531" s="12">
        <f>(B531-MAX($B$2:B531))/MAX($B$2:B531)</f>
        <v>-4.2462747423826733E-2</v>
      </c>
      <c r="L531" s="12">
        <f t="shared" si="175"/>
        <v>1.8371264485025351E-2</v>
      </c>
      <c r="M531" s="15">
        <f t="shared" si="192"/>
        <v>58.120309913716667</v>
      </c>
      <c r="N531" s="11">
        <f t="shared" si="185"/>
        <v>19086.159994198137</v>
      </c>
      <c r="O531" s="11">
        <f t="shared" si="186"/>
        <v>19093.244658629988</v>
      </c>
      <c r="P531" s="11">
        <f t="shared" si="182"/>
        <v>-7.0846644318517065</v>
      </c>
      <c r="Q531" s="11">
        <f t="shared" si="187"/>
        <v>-140.6299139474913</v>
      </c>
      <c r="R531" s="11">
        <f t="shared" si="183"/>
        <v>133.5452495156396</v>
      </c>
      <c r="S531" s="9">
        <f t="shared" si="184"/>
        <v>60</v>
      </c>
      <c r="T531" s="14">
        <f t="shared" si="191"/>
        <v>0</v>
      </c>
      <c r="U531" s="14">
        <f t="shared" si="188"/>
        <v>3.5482623337989017E-3</v>
      </c>
      <c r="V531" s="14">
        <f t="shared" si="193"/>
        <v>5.471111117705818E-3</v>
      </c>
      <c r="W531" s="14">
        <f t="shared" si="193"/>
        <v>3.9423127367575073E-3</v>
      </c>
      <c r="X531" s="16">
        <f t="shared" si="194"/>
        <v>1.3877922638389475</v>
      </c>
    </row>
    <row r="532" spans="1:24" x14ac:dyDescent="0.25">
      <c r="A532" s="10">
        <v>45958</v>
      </c>
      <c r="B532" s="11">
        <v>19410.189999999999</v>
      </c>
      <c r="C532" s="12">
        <f t="shared" si="189"/>
        <v>1.8509027150872548E-3</v>
      </c>
      <c r="D532" s="11">
        <f t="shared" si="176"/>
        <v>18856.091500000002</v>
      </c>
      <c r="E532" s="11">
        <f t="shared" si="180"/>
        <v>19420.854799999997</v>
      </c>
      <c r="F532" s="11">
        <f t="shared" si="178"/>
        <v>18455.416062499989</v>
      </c>
      <c r="G532" s="12">
        <f t="shared" si="190"/>
        <v>1.8491919053598544E-3</v>
      </c>
      <c r="H532" s="19">
        <f t="shared" si="172"/>
        <v>0.22662649288386466</v>
      </c>
      <c r="I532" s="11">
        <f t="shared" si="173"/>
        <v>19452.84</v>
      </c>
      <c r="J532" s="11">
        <f t="shared" si="174"/>
        <v>18199.3</v>
      </c>
      <c r="K532" s="12">
        <f>(B532-MAX($B$2:B532))/MAX($B$2:B532)</f>
        <v>-4.0690439123236284E-2</v>
      </c>
      <c r="L532" s="12">
        <f t="shared" si="175"/>
        <v>5.6555369273645573E-2</v>
      </c>
      <c r="M532" s="15">
        <f t="shared" si="192"/>
        <v>61.630856528524333</v>
      </c>
      <c r="N532" s="11">
        <f t="shared" si="185"/>
        <v>19136.010764321501</v>
      </c>
      <c r="O532" s="11">
        <f t="shared" si="186"/>
        <v>19116.722091324064</v>
      </c>
      <c r="P532" s="11">
        <f t="shared" si="182"/>
        <v>19.28867299743797</v>
      </c>
      <c r="Q532" s="11">
        <f t="shared" si="187"/>
        <v>-108.64619655850545</v>
      </c>
      <c r="R532" s="11">
        <f t="shared" si="183"/>
        <v>127.93486955594342</v>
      </c>
      <c r="S532" s="9">
        <f t="shared" si="184"/>
        <v>60</v>
      </c>
      <c r="T532" s="14">
        <f t="shared" si="191"/>
        <v>1.8509027150872548E-3</v>
      </c>
      <c r="U532" s="14">
        <f t="shared" si="188"/>
        <v>0</v>
      </c>
      <c r="V532" s="14">
        <f t="shared" si="193"/>
        <v>5.6033184544977644E-3</v>
      </c>
      <c r="W532" s="14">
        <f t="shared" si="193"/>
        <v>3.4884235236530758E-3</v>
      </c>
      <c r="X532" s="16">
        <f t="shared" si="194"/>
        <v>1.6062609417992835</v>
      </c>
    </row>
    <row r="533" spans="1:24" x14ac:dyDescent="0.25">
      <c r="A533" s="10">
        <v>45959</v>
      </c>
      <c r="B533" s="11">
        <v>19501.7</v>
      </c>
      <c r="C533" s="12">
        <f t="shared" si="189"/>
        <v>4.7145339638614558E-3</v>
      </c>
      <c r="D533" s="11">
        <f t="shared" si="176"/>
        <v>18912.616500000004</v>
      </c>
      <c r="E533" s="11">
        <f t="shared" si="180"/>
        <v>19413.986999999994</v>
      </c>
      <c r="F533" s="11">
        <f t="shared" si="178"/>
        <v>18473.401999999995</v>
      </c>
      <c r="G533" s="12">
        <f t="shared" si="190"/>
        <v>4.7034553552850206E-3</v>
      </c>
      <c r="H533" s="19">
        <f t="shared" ref="H533:H596" si="195">STDEV(G514:G533)*SQRT(252)</f>
        <v>0.18260416180122793</v>
      </c>
      <c r="I533" s="11">
        <f t="shared" ref="I533:I596" si="196">MAX(B514:B533)</f>
        <v>19501.7</v>
      </c>
      <c r="J533" s="11">
        <f t="shared" ref="J533:J596" si="197">MIN(B514:B533)</f>
        <v>18199.3</v>
      </c>
      <c r="K533" s="12">
        <f>(B533-MAX($B$2:B533))/MAX($B$2:B533)</f>
        <v>-3.6167741616625858E-2</v>
      </c>
      <c r="L533" s="12">
        <f t="shared" ref="L533:L596" si="198">(B533/B514)-1</f>
        <v>5.6424968675667486E-2</v>
      </c>
      <c r="M533" s="15">
        <f t="shared" si="192"/>
        <v>70.455458358907464</v>
      </c>
      <c r="N533" s="11">
        <f t="shared" si="185"/>
        <v>19192.270646733577</v>
      </c>
      <c r="O533" s="11">
        <f t="shared" si="186"/>
        <v>19145.238973448206</v>
      </c>
      <c r="P533" s="11">
        <f t="shared" si="182"/>
        <v>47.031673285371653</v>
      </c>
      <c r="Q533" s="11">
        <f t="shared" si="187"/>
        <v>-77.510622589730048</v>
      </c>
      <c r="R533" s="11">
        <f t="shared" si="183"/>
        <v>124.5422958751017</v>
      </c>
      <c r="S533" s="9">
        <f t="shared" si="184"/>
        <v>60</v>
      </c>
      <c r="T533" s="14">
        <f t="shared" si="191"/>
        <v>4.7145339638614558E-3</v>
      </c>
      <c r="U533" s="14">
        <f t="shared" si="188"/>
        <v>0</v>
      </c>
      <c r="V533" s="14">
        <f t="shared" si="193"/>
        <v>5.9400708804878688E-3</v>
      </c>
      <c r="W533" s="14">
        <f t="shared" si="193"/>
        <v>2.4908882231042579E-3</v>
      </c>
      <c r="X533" s="16">
        <f t="shared" si="194"/>
        <v>2.384719966713353</v>
      </c>
    </row>
    <row r="534" spans="1:24" x14ac:dyDescent="0.25">
      <c r="A534" s="10">
        <v>45960</v>
      </c>
      <c r="B534" s="11">
        <v>19546.88</v>
      </c>
      <c r="C534" s="12">
        <f t="shared" si="189"/>
        <v>2.3167211063650495E-3</v>
      </c>
      <c r="D534" s="11">
        <f t="shared" ref="D534:D597" si="199">AVERAGE(B515:B534)</f>
        <v>18966.955999999998</v>
      </c>
      <c r="E534" s="11">
        <f t="shared" si="180"/>
        <v>19410.022799999995</v>
      </c>
      <c r="F534" s="11">
        <f t="shared" si="178"/>
        <v>18492.001999999989</v>
      </c>
      <c r="G534" s="12">
        <f t="shared" si="190"/>
        <v>2.3140416456002796E-3</v>
      </c>
      <c r="H534" s="19">
        <f t="shared" si="195"/>
        <v>0.18248596025719369</v>
      </c>
      <c r="I534" s="11">
        <f t="shared" si="196"/>
        <v>19546.88</v>
      </c>
      <c r="J534" s="11">
        <f t="shared" si="197"/>
        <v>18199.3</v>
      </c>
      <c r="K534" s="12">
        <f>(B534-MAX($B$2:B534))/MAX($B$2:B534)</f>
        <v>-3.3934811080633551E-2</v>
      </c>
      <c r="L534" s="12">
        <f t="shared" si="198"/>
        <v>3.8612808166553103E-2</v>
      </c>
      <c r="M534" s="15">
        <f t="shared" si="192"/>
        <v>72.650873968530888</v>
      </c>
      <c r="N534" s="11">
        <f t="shared" si="185"/>
        <v>19246.82593185149</v>
      </c>
      <c r="O534" s="11">
        <f t="shared" si="186"/>
        <v>19174.990160600191</v>
      </c>
      <c r="P534" s="11">
        <f t="shared" si="182"/>
        <v>71.835771251298866</v>
      </c>
      <c r="Q534" s="11">
        <f t="shared" si="187"/>
        <v>-47.641343821524266</v>
      </c>
      <c r="R534" s="11">
        <f t="shared" si="183"/>
        <v>119.47711507282312</v>
      </c>
      <c r="S534" s="9">
        <f t="shared" si="184"/>
        <v>60</v>
      </c>
      <c r="T534" s="14">
        <f t="shared" si="191"/>
        <v>2.3167211063650495E-3</v>
      </c>
      <c r="U534" s="14">
        <f t="shared" si="188"/>
        <v>0</v>
      </c>
      <c r="V534" s="14">
        <f t="shared" si="193"/>
        <v>6.1055509595139435E-3</v>
      </c>
      <c r="W534" s="14">
        <f t="shared" si="193"/>
        <v>2.2984098271912451E-3</v>
      </c>
      <c r="X534" s="16">
        <f t="shared" si="194"/>
        <v>2.6564239707307498</v>
      </c>
    </row>
    <row r="535" spans="1:24" x14ac:dyDescent="0.25">
      <c r="A535" s="10">
        <v>45961</v>
      </c>
      <c r="B535" s="11">
        <v>19636.52</v>
      </c>
      <c r="C535" s="12">
        <f t="shared" si="189"/>
        <v>4.5858981075239669E-3</v>
      </c>
      <c r="D535" s="11">
        <f t="shared" si="199"/>
        <v>19007.773000000005</v>
      </c>
      <c r="E535" s="11">
        <f t="shared" si="180"/>
        <v>19410.361999999994</v>
      </c>
      <c r="F535" s="11">
        <f t="shared" si="178"/>
        <v>18510.919124999989</v>
      </c>
      <c r="G535" s="12">
        <f t="shared" si="190"/>
        <v>4.5754149144828253E-3</v>
      </c>
      <c r="H535" s="19">
        <f t="shared" si="195"/>
        <v>0.17205610844053076</v>
      </c>
      <c r="I535" s="11">
        <f t="shared" si="196"/>
        <v>19636.52</v>
      </c>
      <c r="J535" s="11">
        <f t="shared" si="197"/>
        <v>18199.3</v>
      </c>
      <c r="K535" s="12">
        <f>(B535-MAX($B$2:B535))/MAX($B$2:B535)</f>
        <v>-2.9504534559023379E-2</v>
      </c>
      <c r="L535" s="12">
        <f t="shared" si="198"/>
        <v>2.8938522603717765E-2</v>
      </c>
      <c r="M535" s="15">
        <f t="shared" si="192"/>
        <v>72.247068079895357</v>
      </c>
      <c r="N535" s="11">
        <f t="shared" si="185"/>
        <v>19306.778865412798</v>
      </c>
      <c r="O535" s="11">
        <f t="shared" si="186"/>
        <v>19209.177556111288</v>
      </c>
      <c r="P535" s="11">
        <f t="shared" si="182"/>
        <v>97.6013093015099</v>
      </c>
      <c r="Q535" s="11">
        <f t="shared" si="187"/>
        <v>-18.59281319691743</v>
      </c>
      <c r="R535" s="11">
        <f t="shared" si="183"/>
        <v>116.19412249842733</v>
      </c>
      <c r="S535" s="9">
        <f t="shared" si="184"/>
        <v>60</v>
      </c>
      <c r="T535" s="14">
        <f t="shared" si="191"/>
        <v>4.5858981075239669E-3</v>
      </c>
      <c r="U535" s="14">
        <f t="shared" si="188"/>
        <v>0</v>
      </c>
      <c r="V535" s="14">
        <f t="shared" si="193"/>
        <v>5.983273109256425E-3</v>
      </c>
      <c r="W535" s="14">
        <f t="shared" si="193"/>
        <v>2.2984098271912451E-3</v>
      </c>
      <c r="X535" s="16">
        <f t="shared" si="194"/>
        <v>2.6032229058854313</v>
      </c>
    </row>
    <row r="536" spans="1:24" x14ac:dyDescent="0.25">
      <c r="A536" s="10">
        <v>45964</v>
      </c>
      <c r="B536" s="11">
        <v>19710.009999999998</v>
      </c>
      <c r="C536" s="12">
        <f t="shared" si="189"/>
        <v>3.7425164947759715E-3</v>
      </c>
      <c r="D536" s="11">
        <f t="shared" si="199"/>
        <v>19039.061000000002</v>
      </c>
      <c r="E536" s="11">
        <f t="shared" si="180"/>
        <v>19404.916799999999</v>
      </c>
      <c r="F536" s="11">
        <f t="shared" si="178"/>
        <v>18530.461312499989</v>
      </c>
      <c r="G536" s="12">
        <f t="shared" si="190"/>
        <v>3.7355307041185819E-3</v>
      </c>
      <c r="H536" s="19">
        <f t="shared" si="195"/>
        <v>0.16648943361494109</v>
      </c>
      <c r="I536" s="11">
        <f t="shared" si="196"/>
        <v>19710.009999999998</v>
      </c>
      <c r="J536" s="11">
        <f t="shared" si="197"/>
        <v>18199.3</v>
      </c>
      <c r="K536" s="12">
        <f>(B536-MAX($B$2:B536))/MAX($B$2:B536)</f>
        <v>-2.5872439271505256E-2</v>
      </c>
      <c r="L536" s="12">
        <f t="shared" si="198"/>
        <v>3.8267868760057944E-2</v>
      </c>
      <c r="M536" s="15">
        <f t="shared" si="192"/>
        <v>87.607649040808568</v>
      </c>
      <c r="N536" s="11">
        <f t="shared" si="185"/>
        <v>19368.814424580058</v>
      </c>
      <c r="O536" s="11">
        <f t="shared" si="186"/>
        <v>19246.276255658599</v>
      </c>
      <c r="P536" s="11">
        <f t="shared" si="182"/>
        <v>122.53816892145915</v>
      </c>
      <c r="Q536" s="11">
        <f t="shared" si="187"/>
        <v>9.6333832267578856</v>
      </c>
      <c r="R536" s="11">
        <f t="shared" si="183"/>
        <v>112.90478569470126</v>
      </c>
      <c r="S536" s="9">
        <f t="shared" si="184"/>
        <v>60</v>
      </c>
      <c r="T536" s="14">
        <f t="shared" si="191"/>
        <v>3.7425164947759715E-3</v>
      </c>
      <c r="U536" s="14">
        <f t="shared" si="188"/>
        <v>0</v>
      </c>
      <c r="V536" s="14">
        <f t="shared" si="193"/>
        <v>6.2505957160261371E-3</v>
      </c>
      <c r="W536" s="14">
        <f t="shared" si="193"/>
        <v>8.8416452975393592E-4</v>
      </c>
      <c r="X536" s="16">
        <f t="shared" si="194"/>
        <v>7.0694938619237364</v>
      </c>
    </row>
    <row r="537" spans="1:24" x14ac:dyDescent="0.25">
      <c r="A537" s="10">
        <v>45965</v>
      </c>
      <c r="B537" s="11">
        <v>19561.84</v>
      </c>
      <c r="C537" s="12">
        <f t="shared" si="189"/>
        <v>-7.5174999911211682E-3</v>
      </c>
      <c r="D537" s="11">
        <f t="shared" si="199"/>
        <v>19067.975500000004</v>
      </c>
      <c r="E537" s="11">
        <f t="shared" si="180"/>
        <v>19396.206599999998</v>
      </c>
      <c r="F537" s="11">
        <f t="shared" si="178"/>
        <v>18549.745062499987</v>
      </c>
      <c r="G537" s="12">
        <f t="shared" si="190"/>
        <v>-7.545898809108895E-3</v>
      </c>
      <c r="H537" s="19">
        <f t="shared" si="195"/>
        <v>0.16791617151190688</v>
      </c>
      <c r="I537" s="11">
        <f t="shared" si="196"/>
        <v>19710.009999999998</v>
      </c>
      <c r="J537" s="11">
        <f t="shared" si="197"/>
        <v>18199.3</v>
      </c>
      <c r="K537" s="12">
        <f>(B537-MAX($B$2:B537))/MAX($B$2:B537)</f>
        <v>-3.3195443200632606E-2</v>
      </c>
      <c r="L537" s="12">
        <f t="shared" si="198"/>
        <v>3.70525878283956E-2</v>
      </c>
      <c r="M537" s="15">
        <f t="shared" si="192"/>
        <v>85.720491840773875</v>
      </c>
      <c r="N537" s="11">
        <f t="shared" si="185"/>
        <v>19398.510666952359</v>
      </c>
      <c r="O537" s="11">
        <f t="shared" si="186"/>
        <v>19269.651347832038</v>
      </c>
      <c r="P537" s="11">
        <f t="shared" si="182"/>
        <v>128.85931912032174</v>
      </c>
      <c r="Q537" s="11">
        <f t="shared" si="187"/>
        <v>33.478570405470663</v>
      </c>
      <c r="R537" s="11">
        <f t="shared" si="183"/>
        <v>95.38074871485108</v>
      </c>
      <c r="S537" s="9">
        <f t="shared" si="184"/>
        <v>60</v>
      </c>
      <c r="T537" s="14">
        <f t="shared" si="191"/>
        <v>0</v>
      </c>
      <c r="U537" s="14">
        <f t="shared" si="188"/>
        <v>7.5174999911211682E-3</v>
      </c>
      <c r="V537" s="14">
        <f t="shared" si="193"/>
        <v>6.2505957160261371E-3</v>
      </c>
      <c r="W537" s="14">
        <f t="shared" si="193"/>
        <v>1.0412379888441539E-3</v>
      </c>
      <c r="X537" s="16">
        <f t="shared" si="194"/>
        <v>6.0030423236523767</v>
      </c>
    </row>
    <row r="538" spans="1:24" x14ac:dyDescent="0.25">
      <c r="A538" s="10">
        <v>45966</v>
      </c>
      <c r="B538" s="11">
        <v>19406.21</v>
      </c>
      <c r="C538" s="12">
        <f t="shared" si="189"/>
        <v>-7.9557955693330129E-3</v>
      </c>
      <c r="D538" s="11">
        <f t="shared" si="199"/>
        <v>19095.140000000007</v>
      </c>
      <c r="E538" s="11">
        <f t="shared" si="180"/>
        <v>19383.023599999997</v>
      </c>
      <c r="F538" s="11">
        <f t="shared" si="178"/>
        <v>18569.195499999991</v>
      </c>
      <c r="G538" s="12">
        <f t="shared" si="190"/>
        <v>-7.9876117720613961E-3</v>
      </c>
      <c r="H538" s="19">
        <f t="shared" si="195"/>
        <v>0.16901345267054324</v>
      </c>
      <c r="I538" s="11">
        <f t="shared" si="196"/>
        <v>19710.009999999998</v>
      </c>
      <c r="J538" s="11">
        <f t="shared" si="197"/>
        <v>18199.3</v>
      </c>
      <c r="K538" s="12">
        <f>(B538-MAX($B$2:B538))/MAX($B$2:B538)</f>
        <v>-4.0887142610027967E-2</v>
      </c>
      <c r="L538" s="12">
        <f t="shared" si="198"/>
        <v>4.337323227679879E-2</v>
      </c>
      <c r="M538" s="15">
        <f t="shared" si="192"/>
        <v>76.748708097253129</v>
      </c>
      <c r="N538" s="11">
        <f t="shared" si="185"/>
        <v>19399.695179728918</v>
      </c>
      <c r="O538" s="11">
        <f t="shared" si="186"/>
        <v>19279.76680354818</v>
      </c>
      <c r="P538" s="11">
        <f t="shared" si="182"/>
        <v>119.92837618073827</v>
      </c>
      <c r="Q538" s="11">
        <f t="shared" si="187"/>
        <v>50.768531560524188</v>
      </c>
      <c r="R538" s="11">
        <f t="shared" si="183"/>
        <v>69.159844620214074</v>
      </c>
      <c r="S538" s="9">
        <f t="shared" si="184"/>
        <v>60</v>
      </c>
      <c r="T538" s="14">
        <f t="shared" si="191"/>
        <v>0</v>
      </c>
      <c r="U538" s="14">
        <f t="shared" si="188"/>
        <v>7.9557955693330129E-3</v>
      </c>
      <c r="V538" s="14">
        <f t="shared" si="193"/>
        <v>5.312726049139428E-3</v>
      </c>
      <c r="W538" s="14">
        <f t="shared" si="193"/>
        <v>1.6095091009393689E-3</v>
      </c>
      <c r="X538" s="16">
        <f t="shared" si="194"/>
        <v>3.3008362897971346</v>
      </c>
    </row>
    <row r="539" spans="1:24" x14ac:dyDescent="0.25">
      <c r="A539" s="10">
        <v>45968</v>
      </c>
      <c r="B539" s="11">
        <v>19268.400000000001</v>
      </c>
      <c r="C539" s="12">
        <f t="shared" si="189"/>
        <v>-7.1013350880979598E-3</v>
      </c>
      <c r="D539" s="11">
        <f t="shared" si="199"/>
        <v>19128.585500000008</v>
      </c>
      <c r="E539" s="11">
        <f t="shared" si="180"/>
        <v>19363.721599999997</v>
      </c>
      <c r="F539" s="11">
        <f t="shared" si="178"/>
        <v>18586.560499999989</v>
      </c>
      <c r="G539" s="12">
        <f t="shared" si="190"/>
        <v>-7.1266695784991596E-3</v>
      </c>
      <c r="H539" s="19">
        <f t="shared" si="195"/>
        <v>0.16224248331016455</v>
      </c>
      <c r="I539" s="11">
        <f t="shared" si="196"/>
        <v>19710.009999999998</v>
      </c>
      <c r="J539" s="11">
        <f t="shared" si="197"/>
        <v>18199.3</v>
      </c>
      <c r="K539" s="12">
        <f>(B539-MAX($B$2:B539))/MAX($B$2:B539)</f>
        <v>-4.7698124397657277E-2</v>
      </c>
      <c r="L539" s="12">
        <f t="shared" si="198"/>
        <v>3.8763041548041999E-2</v>
      </c>
      <c r="M539" s="15">
        <f t="shared" si="192"/>
        <v>71.21459753284438</v>
      </c>
      <c r="N539" s="11">
        <f t="shared" si="185"/>
        <v>19379.495921309088</v>
      </c>
      <c r="O539" s="11">
        <f t="shared" si="186"/>
        <v>19278.924818100168</v>
      </c>
      <c r="P539" s="11">
        <f t="shared" si="182"/>
        <v>100.57110320892025</v>
      </c>
      <c r="Q539" s="11">
        <f t="shared" si="187"/>
        <v>60.729045890203402</v>
      </c>
      <c r="R539" s="11">
        <f t="shared" si="183"/>
        <v>39.842057318716847</v>
      </c>
      <c r="S539" s="9">
        <f t="shared" si="184"/>
        <v>60</v>
      </c>
      <c r="T539" s="14">
        <f t="shared" si="191"/>
        <v>0</v>
      </c>
      <c r="U539" s="14">
        <f t="shared" si="188"/>
        <v>7.1013350880979598E-3</v>
      </c>
      <c r="V539" s="14">
        <f t="shared" si="193"/>
        <v>5.2367969755717459E-3</v>
      </c>
      <c r="W539" s="14">
        <f t="shared" si="193"/>
        <v>2.1167473215177946E-3</v>
      </c>
      <c r="X539" s="16">
        <f t="shared" si="194"/>
        <v>2.4739830410257695</v>
      </c>
    </row>
    <row r="540" spans="1:24" x14ac:dyDescent="0.25">
      <c r="A540" s="10">
        <v>45971</v>
      </c>
      <c r="B540" s="11">
        <v>19064.05</v>
      </c>
      <c r="C540" s="12">
        <f t="shared" si="189"/>
        <v>-1.0605447260800149E-2</v>
      </c>
      <c r="D540" s="11">
        <f t="shared" si="199"/>
        <v>19154.319500000005</v>
      </c>
      <c r="E540" s="11">
        <f t="shared" si="180"/>
        <v>19342.2382</v>
      </c>
      <c r="F540" s="11">
        <f t="shared" si="178"/>
        <v>18601.875187499987</v>
      </c>
      <c r="G540" s="12">
        <f t="shared" si="190"/>
        <v>-1.0662085824060953E-2</v>
      </c>
      <c r="H540" s="19">
        <f t="shared" si="195"/>
        <v>0.16752596243322601</v>
      </c>
      <c r="I540" s="11">
        <f t="shared" si="196"/>
        <v>19710.009999999998</v>
      </c>
      <c r="J540" s="11">
        <f t="shared" si="197"/>
        <v>18199.3</v>
      </c>
      <c r="K540" s="12">
        <f>(B540-MAX($B$2:B540))/MAX($B$2:B540)</f>
        <v>-5.7797711715719013E-2</v>
      </c>
      <c r="L540" s="12">
        <f t="shared" si="198"/>
        <v>2.1314472851717392E-2</v>
      </c>
      <c r="M540" s="15">
        <f t="shared" si="192"/>
        <v>54.319285754883083</v>
      </c>
      <c r="N540" s="11">
        <f t="shared" si="185"/>
        <v>19330.965779569229</v>
      </c>
      <c r="O540" s="11">
        <f t="shared" si="186"/>
        <v>19263.008164907566</v>
      </c>
      <c r="P540" s="11">
        <f t="shared" si="182"/>
        <v>67.957614661663683</v>
      </c>
      <c r="Q540" s="11">
        <f t="shared" si="187"/>
        <v>62.17475964449546</v>
      </c>
      <c r="R540" s="11">
        <f t="shared" si="183"/>
        <v>5.7828550171682238</v>
      </c>
      <c r="S540" s="9">
        <f t="shared" si="184"/>
        <v>60</v>
      </c>
      <c r="T540" s="14">
        <f t="shared" si="191"/>
        <v>0</v>
      </c>
      <c r="U540" s="14">
        <f t="shared" si="188"/>
        <v>1.0605447260800149E-2</v>
      </c>
      <c r="V540" s="14">
        <f t="shared" si="193"/>
        <v>3.4178274030272704E-3</v>
      </c>
      <c r="W540" s="14">
        <f t="shared" si="193"/>
        <v>2.8742792687178054E-3</v>
      </c>
      <c r="X540" s="16">
        <f t="shared" si="194"/>
        <v>1.1891076278582833</v>
      </c>
    </row>
    <row r="541" spans="1:24" x14ac:dyDescent="0.25">
      <c r="A541" s="10">
        <v>45972</v>
      </c>
      <c r="B541" s="11">
        <v>18624.84</v>
      </c>
      <c r="C541" s="12">
        <f t="shared" si="189"/>
        <v>-2.3038651283436629E-2</v>
      </c>
      <c r="D541" s="11">
        <f t="shared" si="199"/>
        <v>19152.252000000008</v>
      </c>
      <c r="E541" s="11">
        <f t="shared" si="180"/>
        <v>19313.637399999996</v>
      </c>
      <c r="F541" s="11">
        <f t="shared" si="178"/>
        <v>18614.053562499987</v>
      </c>
      <c r="G541" s="12">
        <f t="shared" si="190"/>
        <v>-2.3308188912744478E-2</v>
      </c>
      <c r="H541" s="19">
        <f t="shared" si="195"/>
        <v>0.18772629792399162</v>
      </c>
      <c r="I541" s="11">
        <f t="shared" si="196"/>
        <v>19710.009999999998</v>
      </c>
      <c r="J541" s="11">
        <f t="shared" si="197"/>
        <v>18199.3</v>
      </c>
      <c r="K541" s="12">
        <f>(B541-MAX($B$2:B541))/MAX($B$2:B541)</f>
        <v>-7.9504781673956554E-2</v>
      </c>
      <c r="L541" s="12">
        <f t="shared" si="198"/>
        <v>1.7939388772018505E-2</v>
      </c>
      <c r="M541" s="15">
        <f t="shared" si="192"/>
        <v>29.206820286885673</v>
      </c>
      <c r="N541" s="11">
        <f t="shared" si="185"/>
        <v>19222.331044250885</v>
      </c>
      <c r="O541" s="11">
        <f t="shared" si="186"/>
        <v>19215.736448988486</v>
      </c>
      <c r="P541" s="11">
        <f t="shared" si="182"/>
        <v>6.5945952623987978</v>
      </c>
      <c r="Q541" s="11">
        <f t="shared" si="187"/>
        <v>51.058726768076127</v>
      </c>
      <c r="R541" s="11">
        <f t="shared" si="183"/>
        <v>-44.464131505677329</v>
      </c>
      <c r="S541" s="9">
        <f t="shared" si="184"/>
        <v>20</v>
      </c>
      <c r="T541" s="14">
        <f t="shared" si="191"/>
        <v>0</v>
      </c>
      <c r="U541" s="14">
        <f t="shared" si="188"/>
        <v>2.3038651283436629E-2</v>
      </c>
      <c r="V541" s="14">
        <f t="shared" si="193"/>
        <v>1.8647534449321515E-3</v>
      </c>
      <c r="W541" s="14">
        <f t="shared" si="193"/>
        <v>4.5198972175347074E-3</v>
      </c>
      <c r="X541" s="16">
        <f t="shared" si="194"/>
        <v>0.41256545341295303</v>
      </c>
    </row>
    <row r="542" spans="1:24" x14ac:dyDescent="0.25">
      <c r="A542" s="10">
        <v>45973</v>
      </c>
      <c r="B542" s="11">
        <v>18668.96</v>
      </c>
      <c r="C542" s="12">
        <f t="shared" si="189"/>
        <v>2.3688794105076738E-3</v>
      </c>
      <c r="D542" s="11">
        <f t="shared" si="199"/>
        <v>19170.869500000008</v>
      </c>
      <c r="E542" s="11">
        <f t="shared" si="180"/>
        <v>19285.579799999996</v>
      </c>
      <c r="F542" s="11">
        <f t="shared" si="178"/>
        <v>18625.489999999983</v>
      </c>
      <c r="G542" s="12">
        <f t="shared" si="190"/>
        <v>2.3660780388790516E-3</v>
      </c>
      <c r="H542" s="19">
        <f t="shared" si="195"/>
        <v>0.17246818472271902</v>
      </c>
      <c r="I542" s="11">
        <f t="shared" si="196"/>
        <v>19710.009999999998</v>
      </c>
      <c r="J542" s="11">
        <f t="shared" si="197"/>
        <v>18199.3</v>
      </c>
      <c r="K542" s="12">
        <f>(B542-MAX($B$2:B542))/MAX($B$2:B542)</f>
        <v>-7.732423950379326E-2</v>
      </c>
      <c r="L542" s="12">
        <f t="shared" si="198"/>
        <v>2.5806487062689287E-2</v>
      </c>
      <c r="M542" s="15">
        <f t="shared" si="192"/>
        <v>26.326767386410197</v>
      </c>
      <c r="N542" s="11">
        <f t="shared" si="185"/>
        <v>19137.197037443057</v>
      </c>
      <c r="O542" s="11">
        <f t="shared" si="186"/>
        <v>19175.234489804156</v>
      </c>
      <c r="P542" s="11">
        <f t="shared" si="182"/>
        <v>-38.037452361098985</v>
      </c>
      <c r="Q542" s="11">
        <f t="shared" si="187"/>
        <v>33.239490942241105</v>
      </c>
      <c r="R542" s="11">
        <f t="shared" si="183"/>
        <v>-71.27694330334009</v>
      </c>
      <c r="S542" s="9">
        <f t="shared" si="184"/>
        <v>20</v>
      </c>
      <c r="T542" s="14">
        <f t="shared" si="191"/>
        <v>2.3688794105076738E-3</v>
      </c>
      <c r="U542" s="14">
        <f t="shared" si="188"/>
        <v>0</v>
      </c>
      <c r="V542" s="14">
        <f t="shared" si="193"/>
        <v>1.6151630440954642E-3</v>
      </c>
      <c r="W542" s="14">
        <f t="shared" si="193"/>
        <v>4.5198972175347074E-3</v>
      </c>
      <c r="X542" s="16">
        <f t="shared" si="194"/>
        <v>0.35734508250088581</v>
      </c>
    </row>
    <row r="543" spans="1:24" x14ac:dyDescent="0.25">
      <c r="A543" s="10">
        <v>45974</v>
      </c>
      <c r="B543" s="11">
        <v>18754.43</v>
      </c>
      <c r="C543" s="12">
        <f t="shared" si="189"/>
        <v>4.5781875369597103E-3</v>
      </c>
      <c r="D543" s="11">
        <f t="shared" si="199"/>
        <v>19198.626000000004</v>
      </c>
      <c r="E543" s="11">
        <f t="shared" si="180"/>
        <v>19258.297799999997</v>
      </c>
      <c r="F543" s="11">
        <f t="shared" si="178"/>
        <v>18635.248874999987</v>
      </c>
      <c r="G543" s="12">
        <f t="shared" si="190"/>
        <v>4.5677395129370916E-3</v>
      </c>
      <c r="H543" s="19">
        <f t="shared" si="195"/>
        <v>0.17121707308884701</v>
      </c>
      <c r="I543" s="11">
        <f t="shared" si="196"/>
        <v>19710.009999999998</v>
      </c>
      <c r="J543" s="11">
        <f t="shared" si="197"/>
        <v>18438.259999999998</v>
      </c>
      <c r="K543" s="12">
        <f>(B543-MAX($B$2:B543))/MAX($B$2:B543)</f>
        <v>-7.3100056836434613E-2</v>
      </c>
      <c r="L543" s="12">
        <f t="shared" si="198"/>
        <v>1.7147496564209552E-2</v>
      </c>
      <c r="M543" s="15">
        <f t="shared" si="192"/>
        <v>31.268702683709449</v>
      </c>
      <c r="N543" s="11">
        <f t="shared" si="185"/>
        <v>19078.309800913354</v>
      </c>
      <c r="O543" s="11">
        <f t="shared" si="186"/>
        <v>19144.063786855699</v>
      </c>
      <c r="P543" s="11">
        <f t="shared" si="182"/>
        <v>-65.753985942345025</v>
      </c>
      <c r="Q543" s="11">
        <f t="shared" si="187"/>
        <v>13.440795565323878</v>
      </c>
      <c r="R543" s="11">
        <f t="shared" si="183"/>
        <v>-79.194781507668907</v>
      </c>
      <c r="S543" s="9">
        <f t="shared" si="184"/>
        <v>20</v>
      </c>
      <c r="T543" s="14">
        <f t="shared" si="191"/>
        <v>4.5781875369597103E-3</v>
      </c>
      <c r="U543" s="14">
        <f t="shared" si="188"/>
        <v>0</v>
      </c>
      <c r="V543" s="14">
        <f t="shared" si="193"/>
        <v>1.9421764395925864E-3</v>
      </c>
      <c r="W543" s="14">
        <f t="shared" si="193"/>
        <v>4.2690708233277018E-3</v>
      </c>
      <c r="X543" s="16">
        <f t="shared" si="194"/>
        <v>0.45494125536167085</v>
      </c>
    </row>
    <row r="544" spans="1:24" x14ac:dyDescent="0.25">
      <c r="A544" s="10">
        <v>45975</v>
      </c>
      <c r="B544" s="11">
        <v>18645.53</v>
      </c>
      <c r="C544" s="12">
        <f t="shared" si="189"/>
        <v>-5.8066280873373399E-3</v>
      </c>
      <c r="D544" s="11">
        <f t="shared" si="199"/>
        <v>19208.989500000003</v>
      </c>
      <c r="E544" s="11">
        <f t="shared" si="180"/>
        <v>19228.285799999998</v>
      </c>
      <c r="F544" s="11">
        <f t="shared" si="178"/>
        <v>18643.245124999987</v>
      </c>
      <c r="G544" s="12">
        <f t="shared" si="190"/>
        <v>-5.8235520983012483E-3</v>
      </c>
      <c r="H544" s="19">
        <f t="shared" si="195"/>
        <v>0.16740372409323265</v>
      </c>
      <c r="I544" s="11">
        <f t="shared" si="196"/>
        <v>19710.009999999998</v>
      </c>
      <c r="J544" s="11">
        <f t="shared" si="197"/>
        <v>18457.86</v>
      </c>
      <c r="K544" s="12">
        <f>(B544-MAX($B$2:B544))/MAX($B$2:B544)</f>
        <v>-7.8482220080559523E-2</v>
      </c>
      <c r="L544" s="12">
        <f t="shared" si="198"/>
        <v>1.0167484204560928E-2</v>
      </c>
      <c r="M544" s="15">
        <f t="shared" si="192"/>
        <v>26.922211521416116</v>
      </c>
      <c r="N544" s="11">
        <f t="shared" si="185"/>
        <v>19011.72829308053</v>
      </c>
      <c r="O544" s="11">
        <f t="shared" si="186"/>
        <v>19107.135358199721</v>
      </c>
      <c r="P544" s="11">
        <f t="shared" si="182"/>
        <v>-95.40706511919052</v>
      </c>
      <c r="Q544" s="11">
        <f t="shared" si="187"/>
        <v>-8.3287765715790023</v>
      </c>
      <c r="R544" s="11">
        <f t="shared" si="183"/>
        <v>-87.078288547611521</v>
      </c>
      <c r="S544" s="9">
        <f t="shared" si="184"/>
        <v>20</v>
      </c>
      <c r="T544" s="14">
        <f t="shared" si="191"/>
        <v>0</v>
      </c>
      <c r="U544" s="14">
        <f t="shared" si="188"/>
        <v>5.8066280873373399E-3</v>
      </c>
      <c r="V544" s="14">
        <f t="shared" ref="V544:W559" si="200">AVERAGE(T531:T544)</f>
        <v>1.7255456667915059E-3</v>
      </c>
      <c r="W544" s="14">
        <f t="shared" si="200"/>
        <v>4.6838299724232257E-3</v>
      </c>
      <c r="X544" s="16">
        <f t="shared" si="194"/>
        <v>0.36840484751814717</v>
      </c>
    </row>
    <row r="545" spans="1:24" x14ac:dyDescent="0.25">
      <c r="A545" s="10">
        <v>45978</v>
      </c>
      <c r="B545" s="11">
        <v>18496.11</v>
      </c>
      <c r="C545" s="12">
        <f t="shared" si="189"/>
        <v>-8.0137169605797309E-3</v>
      </c>
      <c r="D545" s="11">
        <f t="shared" si="199"/>
        <v>19210.902000000002</v>
      </c>
      <c r="E545" s="11">
        <f t="shared" si="180"/>
        <v>19196.444999999996</v>
      </c>
      <c r="F545" s="11">
        <f t="shared" ref="F545:F608" si="201">AVERAGE(B386:B545)</f>
        <v>18648.712062499988</v>
      </c>
      <c r="G545" s="12">
        <f t="shared" si="190"/>
        <v>-8.0459993740957091E-3</v>
      </c>
      <c r="H545" s="19">
        <f t="shared" si="195"/>
        <v>0.17014021889378392</v>
      </c>
      <c r="I545" s="11">
        <f t="shared" si="196"/>
        <v>19710.009999999998</v>
      </c>
      <c r="J545" s="11">
        <f t="shared" si="197"/>
        <v>18496.11</v>
      </c>
      <c r="K545" s="12">
        <f>(B545-MAX($B$2:B545))/MAX($B$2:B545)</f>
        <v>-8.5867002742975734E-2</v>
      </c>
      <c r="L545" s="12">
        <f t="shared" si="198"/>
        <v>-2.2812356362829522E-2</v>
      </c>
      <c r="M545" s="15">
        <f t="shared" si="192"/>
        <v>25.645947101588391</v>
      </c>
      <c r="N545" s="11">
        <f t="shared" si="185"/>
        <v>18932.402401837371</v>
      </c>
      <c r="O545" s="11">
        <f t="shared" si="186"/>
        <v>19061.874220555299</v>
      </c>
      <c r="P545" s="11">
        <f t="shared" si="182"/>
        <v>-129.47181871792782</v>
      </c>
      <c r="Q545" s="11">
        <f t="shared" si="187"/>
        <v>-32.557385000848768</v>
      </c>
      <c r="R545" s="11">
        <f t="shared" si="183"/>
        <v>-96.914433717079049</v>
      </c>
      <c r="S545" s="9">
        <f t="shared" si="184"/>
        <v>60</v>
      </c>
      <c r="T545" s="14">
        <f t="shared" si="191"/>
        <v>0</v>
      </c>
      <c r="U545" s="14">
        <f t="shared" si="188"/>
        <v>8.0137169605797309E-3</v>
      </c>
      <c r="V545" s="14">
        <f t="shared" si="200"/>
        <v>1.7255456667915059E-3</v>
      </c>
      <c r="W545" s="14">
        <f t="shared" si="200"/>
        <v>5.0027910171932853E-3</v>
      </c>
      <c r="X545" s="16">
        <f t="shared" si="194"/>
        <v>0.34491659972628408</v>
      </c>
    </row>
    <row r="546" spans="1:24" x14ac:dyDescent="0.25">
      <c r="A546" s="10">
        <v>45980</v>
      </c>
      <c r="B546" s="11">
        <v>18207.75</v>
      </c>
      <c r="C546" s="12">
        <f t="shared" si="189"/>
        <v>-1.5590305204716048E-2</v>
      </c>
      <c r="D546" s="11">
        <f t="shared" si="199"/>
        <v>19174.894500000002</v>
      </c>
      <c r="E546" s="11">
        <f t="shared" si="180"/>
        <v>19159.790799999995</v>
      </c>
      <c r="F546" s="11">
        <f t="shared" si="201"/>
        <v>18650.892374999989</v>
      </c>
      <c r="G546" s="12">
        <f t="shared" si="190"/>
        <v>-1.5713112082927229E-2</v>
      </c>
      <c r="H546" s="19">
        <f t="shared" si="195"/>
        <v>0.15113026660852028</v>
      </c>
      <c r="I546" s="11">
        <f t="shared" si="196"/>
        <v>19710.009999999998</v>
      </c>
      <c r="J546" s="11">
        <f t="shared" si="197"/>
        <v>18207.75</v>
      </c>
      <c r="K546" s="12">
        <f>(B546-MAX($B$2:B546))/MAX($B$2:B546)</f>
        <v>-0.10011861516791459</v>
      </c>
      <c r="L546" s="12">
        <f t="shared" si="198"/>
        <v>-5.8517693109162883E-2</v>
      </c>
      <c r="M546" s="15">
        <f t="shared" si="192"/>
        <v>20.666610429519793</v>
      </c>
      <c r="N546" s="11">
        <f t="shared" si="185"/>
        <v>18820.917416939315</v>
      </c>
      <c r="O546" s="11">
        <f t="shared" si="186"/>
        <v>18998.605759773425</v>
      </c>
      <c r="P546" s="11">
        <f t="shared" si="182"/>
        <v>-177.68834283410979</v>
      </c>
      <c r="Q546" s="11">
        <f t="shared" si="187"/>
        <v>-61.58357656750097</v>
      </c>
      <c r="R546" s="11">
        <f t="shared" si="183"/>
        <v>-116.10476626660882</v>
      </c>
      <c r="S546" s="9">
        <f t="shared" si="184"/>
        <v>60</v>
      </c>
      <c r="T546" s="14">
        <f t="shared" si="191"/>
        <v>0</v>
      </c>
      <c r="U546" s="14">
        <f t="shared" si="188"/>
        <v>1.5590305204716048E-2</v>
      </c>
      <c r="V546" s="14">
        <f t="shared" si="200"/>
        <v>1.5933383299995591E-3</v>
      </c>
      <c r="W546" s="14">
        <f t="shared" si="200"/>
        <v>6.1163842461015739E-3</v>
      </c>
      <c r="X546" s="16">
        <f t="shared" si="194"/>
        <v>0.2605033081456764</v>
      </c>
    </row>
    <row r="547" spans="1:24" x14ac:dyDescent="0.25">
      <c r="A547" s="10">
        <v>45981</v>
      </c>
      <c r="B547" s="11">
        <v>18112.939999999999</v>
      </c>
      <c r="C547" s="12">
        <f t="shared" si="189"/>
        <v>-5.2071233403359063E-3</v>
      </c>
      <c r="D547" s="11">
        <f t="shared" si="199"/>
        <v>19113.568999999996</v>
      </c>
      <c r="E547" s="11">
        <f t="shared" si="180"/>
        <v>19131.623599999995</v>
      </c>
      <c r="F547" s="11">
        <f t="shared" si="201"/>
        <v>18653.611812499985</v>
      </c>
      <c r="G547" s="12">
        <f t="shared" si="190"/>
        <v>-5.2207276538521032E-3</v>
      </c>
      <c r="H547" s="19">
        <f t="shared" si="195"/>
        <v>0.12335383068844234</v>
      </c>
      <c r="I547" s="11">
        <f t="shared" si="196"/>
        <v>19710.009999999998</v>
      </c>
      <c r="J547" s="11">
        <f t="shared" si="197"/>
        <v>18112.939999999999</v>
      </c>
      <c r="K547" s="12">
        <f>(B547-MAX($B$2:B547))/MAX($B$2:B547)</f>
        <v>-0.10480440853040755</v>
      </c>
      <c r="L547" s="12">
        <f t="shared" si="198"/>
        <v>-6.8879402699040471E-2</v>
      </c>
      <c r="M547" s="15">
        <f t="shared" si="192"/>
        <v>16.224672778704786</v>
      </c>
      <c r="N547" s="11">
        <f t="shared" si="185"/>
        <v>18711.997814333266</v>
      </c>
      <c r="O547" s="11">
        <f t="shared" si="186"/>
        <v>18933.000888679097</v>
      </c>
      <c r="P547" s="11">
        <f t="shared" si="182"/>
        <v>-221.0030743458301</v>
      </c>
      <c r="Q547" s="11">
        <f t="shared" si="187"/>
        <v>-93.467476123166804</v>
      </c>
      <c r="R547" s="11">
        <f t="shared" si="183"/>
        <v>-127.5355982226633</v>
      </c>
      <c r="S547" s="9">
        <f t="shared" si="184"/>
        <v>20</v>
      </c>
      <c r="T547" s="14">
        <f t="shared" si="191"/>
        <v>0</v>
      </c>
      <c r="U547" s="14">
        <f t="shared" si="188"/>
        <v>5.2071233403359063E-3</v>
      </c>
      <c r="V547" s="14">
        <f t="shared" si="200"/>
        <v>1.2565859040094551E-3</v>
      </c>
      <c r="W547" s="14">
        <f t="shared" si="200"/>
        <v>6.4883216275541389E-3</v>
      </c>
      <c r="X547" s="16">
        <f t="shared" si="194"/>
        <v>0.19366886787379287</v>
      </c>
    </row>
    <row r="548" spans="1:24" x14ac:dyDescent="0.25">
      <c r="A548" s="10">
        <v>45982</v>
      </c>
      <c r="B548" s="11">
        <v>18205.28</v>
      </c>
      <c r="C548" s="12">
        <f t="shared" si="189"/>
        <v>5.0980128018973669E-3</v>
      </c>
      <c r="D548" s="11">
        <f t="shared" si="199"/>
        <v>19051.190999999999</v>
      </c>
      <c r="E548" s="11">
        <f t="shared" si="180"/>
        <v>19098.882799999992</v>
      </c>
      <c r="F548" s="11">
        <f t="shared" si="201"/>
        <v>18657.595124999985</v>
      </c>
      <c r="G548" s="12">
        <f t="shared" si="190"/>
        <v>5.0850619317855455E-3</v>
      </c>
      <c r="H548" s="19">
        <f t="shared" si="195"/>
        <v>0.12263494838956031</v>
      </c>
      <c r="I548" s="11">
        <f t="shared" si="196"/>
        <v>19710.009999999998</v>
      </c>
      <c r="J548" s="11">
        <f t="shared" si="197"/>
        <v>18112.939999999999</v>
      </c>
      <c r="K548" s="12">
        <f>(B548-MAX($B$2:B548))/MAX($B$2:B548)</f>
        <v>-0.10024068994489342</v>
      </c>
      <c r="L548" s="12">
        <f t="shared" si="198"/>
        <v>-6.0834593358724764E-2</v>
      </c>
      <c r="M548" s="15">
        <f t="shared" si="192"/>
        <v>18.319840730225977</v>
      </c>
      <c r="N548" s="11">
        <f t="shared" si="185"/>
        <v>18634.041227512764</v>
      </c>
      <c r="O548" s="11">
        <f t="shared" si="186"/>
        <v>18879.095637665829</v>
      </c>
      <c r="P548" s="11">
        <f t="shared" si="182"/>
        <v>-245.05441015306496</v>
      </c>
      <c r="Q548" s="11">
        <f t="shared" si="187"/>
        <v>-123.78486292914644</v>
      </c>
      <c r="R548" s="11">
        <f t="shared" si="183"/>
        <v>-121.26954722391852</v>
      </c>
      <c r="S548" s="9">
        <f t="shared" si="184"/>
        <v>20</v>
      </c>
      <c r="T548" s="14">
        <f t="shared" si="191"/>
        <v>5.0980128018973669E-3</v>
      </c>
      <c r="U548" s="14">
        <f t="shared" si="188"/>
        <v>0</v>
      </c>
      <c r="V548" s="14">
        <f t="shared" si="200"/>
        <v>1.4552495965474779E-3</v>
      </c>
      <c r="W548" s="14">
        <f t="shared" si="200"/>
        <v>6.4883216275541389E-3</v>
      </c>
      <c r="X548" s="16">
        <f t="shared" si="194"/>
        <v>0.22428752458377346</v>
      </c>
    </row>
    <row r="549" spans="1:24" x14ac:dyDescent="0.25">
      <c r="A549" s="10">
        <v>45985</v>
      </c>
      <c r="B549" s="11">
        <v>18337.560000000001</v>
      </c>
      <c r="C549" s="12">
        <f t="shared" si="189"/>
        <v>7.2660239227302359E-3</v>
      </c>
      <c r="D549" s="11">
        <f t="shared" si="199"/>
        <v>18998.842499999995</v>
      </c>
      <c r="E549" s="11">
        <f t="shared" si="180"/>
        <v>19068.159399999997</v>
      </c>
      <c r="F549" s="11">
        <f t="shared" si="201"/>
        <v>18662.260374999987</v>
      </c>
      <c r="G549" s="12">
        <f t="shared" si="190"/>
        <v>7.2397535482648569E-3</v>
      </c>
      <c r="H549" s="19">
        <f t="shared" si="195"/>
        <v>0.12821595134655436</v>
      </c>
      <c r="I549" s="11">
        <f t="shared" si="196"/>
        <v>19710.009999999998</v>
      </c>
      <c r="J549" s="11">
        <f t="shared" si="197"/>
        <v>18112.939999999999</v>
      </c>
      <c r="K549" s="12">
        <f>(B549-MAX($B$2:B549))/MAX($B$2:B549)</f>
        <v>-9.3703017273333758E-2</v>
      </c>
      <c r="L549" s="12">
        <f t="shared" si="198"/>
        <v>-5.6870945908414683E-2</v>
      </c>
      <c r="M549" s="15">
        <f t="shared" si="192"/>
        <v>20.24198373765897</v>
      </c>
      <c r="N549" s="11">
        <f t="shared" si="185"/>
        <v>18588.428730972337</v>
      </c>
      <c r="O549" s="11">
        <f t="shared" si="186"/>
        <v>18838.981886727619</v>
      </c>
      <c r="P549" s="11">
        <f t="shared" si="182"/>
        <v>-250.55315575528221</v>
      </c>
      <c r="Q549" s="11">
        <f t="shared" si="187"/>
        <v>-149.13852149437361</v>
      </c>
      <c r="R549" s="11">
        <f t="shared" si="183"/>
        <v>-101.4146342609086</v>
      </c>
      <c r="S549" s="9">
        <f t="shared" si="184"/>
        <v>20</v>
      </c>
      <c r="T549" s="14">
        <f t="shared" si="191"/>
        <v>7.2660239227302359E-3</v>
      </c>
      <c r="U549" s="14">
        <f t="shared" si="188"/>
        <v>0</v>
      </c>
      <c r="V549" s="14">
        <f t="shared" si="200"/>
        <v>1.6466871547764969E-3</v>
      </c>
      <c r="W549" s="14">
        <f t="shared" si="200"/>
        <v>6.4883216275541389E-3</v>
      </c>
      <c r="X549" s="16">
        <f t="shared" si="194"/>
        <v>0.25379246734370625</v>
      </c>
    </row>
    <row r="550" spans="1:24" x14ac:dyDescent="0.25">
      <c r="A550" s="10">
        <v>45986</v>
      </c>
      <c r="B550" s="11">
        <v>18382.71</v>
      </c>
      <c r="C550" s="12">
        <f t="shared" si="189"/>
        <v>2.4621596330154372E-3</v>
      </c>
      <c r="D550" s="11">
        <f t="shared" si="199"/>
        <v>18945.811999999998</v>
      </c>
      <c r="E550" s="11">
        <f t="shared" si="180"/>
        <v>19039.233799999998</v>
      </c>
      <c r="F550" s="11">
        <f t="shared" si="201"/>
        <v>18666.177187499987</v>
      </c>
      <c r="G550" s="12">
        <f t="shared" si="190"/>
        <v>2.4591334842093255E-3</v>
      </c>
      <c r="H550" s="19">
        <f t="shared" si="195"/>
        <v>0.12788973937064482</v>
      </c>
      <c r="I550" s="11">
        <f t="shared" si="196"/>
        <v>19710.009999999998</v>
      </c>
      <c r="J550" s="11">
        <f t="shared" si="197"/>
        <v>18112.939999999999</v>
      </c>
      <c r="K550" s="12">
        <f>(B550-MAX($B$2:B550))/MAX($B$2:B550)</f>
        <v>-9.1471569426940513E-2</v>
      </c>
      <c r="L550" s="12">
        <f t="shared" si="198"/>
        <v>-5.1182157008784479E-2</v>
      </c>
      <c r="M550" s="15">
        <f t="shared" si="192"/>
        <v>19.335146551624035</v>
      </c>
      <c r="N550" s="11">
        <f t="shared" si="185"/>
        <v>18556.77969543813</v>
      </c>
      <c r="O550" s="11">
        <f t="shared" si="186"/>
        <v>18805.18396919224</v>
      </c>
      <c r="P550" s="11">
        <f t="shared" si="182"/>
        <v>-248.40427375410945</v>
      </c>
      <c r="Q550" s="11">
        <f t="shared" si="187"/>
        <v>-168.99167194632076</v>
      </c>
      <c r="R550" s="11">
        <f t="shared" si="183"/>
        <v>-79.41260180778869</v>
      </c>
      <c r="S550" s="9">
        <f t="shared" si="184"/>
        <v>20</v>
      </c>
      <c r="T550" s="14">
        <f t="shared" si="191"/>
        <v>2.4621596330154372E-3</v>
      </c>
      <c r="U550" s="14">
        <f t="shared" si="188"/>
        <v>0</v>
      </c>
      <c r="V550" s="14">
        <f t="shared" si="200"/>
        <v>1.5552330932221731E-3</v>
      </c>
      <c r="W550" s="14">
        <f t="shared" si="200"/>
        <v>6.4883216275541389E-3</v>
      </c>
      <c r="X550" s="16">
        <f t="shared" si="194"/>
        <v>0.23969728729499487</v>
      </c>
    </row>
    <row r="551" spans="1:24" x14ac:dyDescent="0.25">
      <c r="A551" s="10">
        <v>45987</v>
      </c>
      <c r="B551" s="11">
        <v>18535.59</v>
      </c>
      <c r="C551" s="12">
        <f t="shared" si="189"/>
        <v>8.3165104601008455E-3</v>
      </c>
      <c r="D551" s="11">
        <f t="shared" si="199"/>
        <v>18903.875000000004</v>
      </c>
      <c r="E551" s="11">
        <f t="shared" si="180"/>
        <v>19017.750199999995</v>
      </c>
      <c r="F551" s="11">
        <f t="shared" si="201"/>
        <v>18671.553624999986</v>
      </c>
      <c r="G551" s="12">
        <f t="shared" si="190"/>
        <v>8.2821188342959654E-3</v>
      </c>
      <c r="H551" s="19">
        <f t="shared" si="195"/>
        <v>0.13373733094246432</v>
      </c>
      <c r="I551" s="11">
        <f t="shared" si="196"/>
        <v>19710.009999999998</v>
      </c>
      <c r="J551" s="11">
        <f t="shared" si="197"/>
        <v>18112.939999999999</v>
      </c>
      <c r="K551" s="12">
        <f>(B551-MAX($B$2:B551))/MAX($B$2:B551)</f>
        <v>-8.3915783230780625E-2</v>
      </c>
      <c r="L551" s="12">
        <f t="shared" si="198"/>
        <v>-4.5058806740170931E-2</v>
      </c>
      <c r="M551" s="15">
        <f t="shared" si="192"/>
        <v>26.532138585704885</v>
      </c>
      <c r="N551" s="11">
        <f t="shared" si="185"/>
        <v>18553.5197422938</v>
      </c>
      <c r="O551" s="11">
        <f t="shared" si="186"/>
        <v>18785.214045548371</v>
      </c>
      <c r="P551" s="11">
        <f t="shared" si="182"/>
        <v>-231.69430325457142</v>
      </c>
      <c r="Q551" s="11">
        <f t="shared" si="187"/>
        <v>-181.53219820797091</v>
      </c>
      <c r="R551" s="11">
        <f t="shared" si="183"/>
        <v>-50.162105046600516</v>
      </c>
      <c r="S551" s="9">
        <f t="shared" si="184"/>
        <v>20</v>
      </c>
      <c r="T551" s="14">
        <f t="shared" si="191"/>
        <v>8.3165104601008455E-3</v>
      </c>
      <c r="U551" s="14">
        <f t="shared" si="188"/>
        <v>0</v>
      </c>
      <c r="V551" s="14">
        <f t="shared" si="200"/>
        <v>2.1492695546579477E-3</v>
      </c>
      <c r="W551" s="14">
        <f t="shared" si="200"/>
        <v>5.9513573424740552E-3</v>
      </c>
      <c r="X551" s="16">
        <f t="shared" si="194"/>
        <v>0.36113938904641019</v>
      </c>
    </row>
    <row r="552" spans="1:24" x14ac:dyDescent="0.25">
      <c r="A552" s="10">
        <v>45988</v>
      </c>
      <c r="B552" s="11">
        <v>18640.63</v>
      </c>
      <c r="C552" s="12">
        <f t="shared" si="189"/>
        <v>5.6669358784910973E-3</v>
      </c>
      <c r="D552" s="11">
        <f t="shared" si="199"/>
        <v>18865.397000000001</v>
      </c>
      <c r="E552" s="11">
        <f t="shared" si="180"/>
        <v>18997.636399999996</v>
      </c>
      <c r="F552" s="11">
        <f t="shared" si="201"/>
        <v>18680.192749999984</v>
      </c>
      <c r="G552" s="12">
        <f t="shared" si="190"/>
        <v>5.6509392036652581E-3</v>
      </c>
      <c r="H552" s="19">
        <f t="shared" si="195"/>
        <v>0.13593168779655238</v>
      </c>
      <c r="I552" s="11">
        <f t="shared" si="196"/>
        <v>19710.009999999998</v>
      </c>
      <c r="J552" s="11">
        <f t="shared" si="197"/>
        <v>18112.939999999999</v>
      </c>
      <c r="K552" s="12">
        <f>(B552-MAX($B$2:B552))/MAX($B$2:B552)</f>
        <v>-7.8724392715051716E-2</v>
      </c>
      <c r="L552" s="12">
        <f t="shared" si="198"/>
        <v>-4.4153586610398032E-2</v>
      </c>
      <c r="M552" s="15">
        <f t="shared" si="192"/>
        <v>32.178488475521632</v>
      </c>
      <c r="N552" s="11">
        <f t="shared" si="185"/>
        <v>18566.921320402445</v>
      </c>
      <c r="O552" s="11">
        <f t="shared" si="186"/>
        <v>18774.504116248492</v>
      </c>
      <c r="P552" s="11">
        <f t="shared" si="182"/>
        <v>-207.58279584604679</v>
      </c>
      <c r="Q552" s="11">
        <f t="shared" si="187"/>
        <v>-186.74231773558608</v>
      </c>
      <c r="R552" s="11">
        <f t="shared" si="183"/>
        <v>-20.840478110460708</v>
      </c>
      <c r="S552" s="9">
        <f t="shared" si="184"/>
        <v>20</v>
      </c>
      <c r="T552" s="14">
        <f t="shared" si="191"/>
        <v>5.6669358784910973E-3</v>
      </c>
      <c r="U552" s="14">
        <f t="shared" si="188"/>
        <v>0</v>
      </c>
      <c r="V552" s="14">
        <f t="shared" si="200"/>
        <v>2.5540506888358833E-3</v>
      </c>
      <c r="W552" s="14">
        <f t="shared" si="200"/>
        <v>5.3830862303788406E-3</v>
      </c>
      <c r="X552" s="16">
        <f t="shared" si="194"/>
        <v>0.47445843880827804</v>
      </c>
    </row>
    <row r="553" spans="1:24" x14ac:dyDescent="0.25">
      <c r="A553" s="10">
        <v>45989</v>
      </c>
      <c r="B553" s="11">
        <v>18603.59</v>
      </c>
      <c r="C553" s="12">
        <f t="shared" si="189"/>
        <v>-1.9870573043937467E-3</v>
      </c>
      <c r="D553" s="11">
        <f t="shared" si="199"/>
        <v>18820.491500000004</v>
      </c>
      <c r="E553" s="11">
        <f t="shared" si="180"/>
        <v>18977.978799999997</v>
      </c>
      <c r="F553" s="11">
        <f t="shared" si="201"/>
        <v>18688.762124999983</v>
      </c>
      <c r="G553" s="12">
        <f t="shared" si="190"/>
        <v>-1.9890341218930722E-3</v>
      </c>
      <c r="H553" s="19">
        <f t="shared" si="195"/>
        <v>0.13359524864360936</v>
      </c>
      <c r="I553" s="11">
        <f t="shared" si="196"/>
        <v>19710.009999999998</v>
      </c>
      <c r="J553" s="11">
        <f t="shared" si="197"/>
        <v>18112.939999999999</v>
      </c>
      <c r="K553" s="12">
        <f>(B553-MAX($B$2:B553))/MAX($B$2:B553)</f>
        <v>-8.055502013986704E-2</v>
      </c>
      <c r="L553" s="12">
        <f t="shared" si="198"/>
        <v>-4.8257829382489681E-2</v>
      </c>
      <c r="M553" s="15">
        <f t="shared" si="192"/>
        <v>33.730950496821421</v>
      </c>
      <c r="N553" s="11">
        <f t="shared" si="185"/>
        <v>18572.562655725145</v>
      </c>
      <c r="O553" s="11">
        <f t="shared" si="186"/>
        <v>18761.843811341198</v>
      </c>
      <c r="P553" s="11">
        <f t="shared" si="182"/>
        <v>-189.28115561605227</v>
      </c>
      <c r="Q553" s="11">
        <f t="shared" si="187"/>
        <v>-187.25008531167933</v>
      </c>
      <c r="R553" s="11">
        <f t="shared" si="183"/>
        <v>-2.0310703043729461</v>
      </c>
      <c r="S553" s="9">
        <f t="shared" si="184"/>
        <v>20</v>
      </c>
      <c r="T553" s="14">
        <f t="shared" si="191"/>
        <v>0</v>
      </c>
      <c r="U553" s="14">
        <f t="shared" si="188"/>
        <v>1.9870573043937467E-3</v>
      </c>
      <c r="V553" s="14">
        <f t="shared" si="200"/>
        <v>2.5540506888358833E-3</v>
      </c>
      <c r="W553" s="14">
        <f t="shared" si="200"/>
        <v>5.0177806743999676E-3</v>
      </c>
      <c r="X553" s="16">
        <f t="shared" si="194"/>
        <v>0.50900006488252891</v>
      </c>
    </row>
    <row r="554" spans="1:24" x14ac:dyDescent="0.25">
      <c r="A554" s="10">
        <v>45992</v>
      </c>
      <c r="B554" s="11">
        <v>18434.919999999998</v>
      </c>
      <c r="C554" s="12">
        <f t="shared" si="189"/>
        <v>-9.0665296321840172E-3</v>
      </c>
      <c r="D554" s="11">
        <f t="shared" si="199"/>
        <v>18764.893500000002</v>
      </c>
      <c r="E554" s="11">
        <f t="shared" si="180"/>
        <v>18950.695599999999</v>
      </c>
      <c r="F554" s="11">
        <f t="shared" si="201"/>
        <v>18702.353499999983</v>
      </c>
      <c r="G554" s="12">
        <f t="shared" si="190"/>
        <v>-9.1078807424403874E-3</v>
      </c>
      <c r="H554" s="19">
        <f t="shared" si="195"/>
        <v>0.13444755111461335</v>
      </c>
      <c r="I554" s="11">
        <f t="shared" si="196"/>
        <v>19710.009999999998</v>
      </c>
      <c r="J554" s="11">
        <f t="shared" si="197"/>
        <v>18112.939999999999</v>
      </c>
      <c r="K554" s="12">
        <f>(B554-MAX($B$2:B554))/MAX($B$2:B554)</f>
        <v>-8.8891195294931766E-2</v>
      </c>
      <c r="L554" s="12">
        <f t="shared" si="198"/>
        <v>-6.1192105322124379E-2</v>
      </c>
      <c r="M554" s="15">
        <f t="shared" si="192"/>
        <v>34.227847055129317</v>
      </c>
      <c r="N554" s="11">
        <f t="shared" si="185"/>
        <v>18551.386862536659</v>
      </c>
      <c r="O554" s="11">
        <f t="shared" si="186"/>
        <v>18737.627232723331</v>
      </c>
      <c r="P554" s="11">
        <f t="shared" si="182"/>
        <v>-186.2403701866715</v>
      </c>
      <c r="Q554" s="11">
        <f t="shared" si="187"/>
        <v>-187.04814228667777</v>
      </c>
      <c r="R554" s="11">
        <f t="shared" si="183"/>
        <v>0.8077721000062752</v>
      </c>
      <c r="S554" s="9">
        <f t="shared" si="184"/>
        <v>60</v>
      </c>
      <c r="T554" s="14">
        <f t="shared" si="191"/>
        <v>0</v>
      </c>
      <c r="U554" s="14">
        <f t="shared" si="188"/>
        <v>9.0665296321840172E-3</v>
      </c>
      <c r="V554" s="14">
        <f t="shared" si="200"/>
        <v>2.5540506888358833E-3</v>
      </c>
      <c r="W554" s="14">
        <f t="shared" si="200"/>
        <v>4.9078579866416727E-3</v>
      </c>
      <c r="X554" s="16">
        <f t="shared" si="194"/>
        <v>0.52040028374650626</v>
      </c>
    </row>
    <row r="555" spans="1:24" x14ac:dyDescent="0.25">
      <c r="A555" s="10">
        <v>45993</v>
      </c>
      <c r="B555" s="11">
        <v>18350.34</v>
      </c>
      <c r="C555" s="12">
        <f t="shared" si="189"/>
        <v>-4.5880318439135426E-3</v>
      </c>
      <c r="D555" s="11">
        <f t="shared" si="199"/>
        <v>18700.584500000004</v>
      </c>
      <c r="E555" s="11">
        <f t="shared" si="180"/>
        <v>18918.819800000001</v>
      </c>
      <c r="F555" s="11">
        <f t="shared" si="201"/>
        <v>18714.048999999981</v>
      </c>
      <c r="G555" s="12">
        <f t="shared" si="190"/>
        <v>-4.5985891659435551E-3</v>
      </c>
      <c r="H555" s="19">
        <f t="shared" si="195"/>
        <v>0.13156939320078995</v>
      </c>
      <c r="I555" s="11">
        <f t="shared" si="196"/>
        <v>19710.009999999998</v>
      </c>
      <c r="J555" s="11">
        <f t="shared" si="197"/>
        <v>18112.939999999999</v>
      </c>
      <c r="K555" s="12">
        <f>(B555-MAX($B$2:B555))/MAX($B$2:B555)</f>
        <v>-9.3071391504188597E-2</v>
      </c>
      <c r="L555" s="12">
        <f t="shared" si="198"/>
        <v>-6.8983729587148823E-2</v>
      </c>
      <c r="M555" s="15">
        <f t="shared" si="192"/>
        <v>41.569786127448396</v>
      </c>
      <c r="N555" s="11">
        <f t="shared" si="185"/>
        <v>18520.456575992561</v>
      </c>
      <c r="O555" s="11">
        <f t="shared" si="186"/>
        <v>18708.939289558642</v>
      </c>
      <c r="P555" s="11">
        <f t="shared" si="182"/>
        <v>-188.48271356608166</v>
      </c>
      <c r="Q555" s="11">
        <f t="shared" si="187"/>
        <v>-187.33505654255856</v>
      </c>
      <c r="R555" s="11">
        <f t="shared" si="183"/>
        <v>-1.1476570235230952</v>
      </c>
      <c r="S555" s="9">
        <f t="shared" si="184"/>
        <v>20</v>
      </c>
      <c r="T555" s="14">
        <f t="shared" si="191"/>
        <v>0</v>
      </c>
      <c r="U555" s="14">
        <f t="shared" si="188"/>
        <v>4.5880318439135426E-3</v>
      </c>
      <c r="V555" s="14">
        <f t="shared" si="200"/>
        <v>2.5540506888358833E-3</v>
      </c>
      <c r="W555" s="14">
        <f t="shared" si="200"/>
        <v>3.5899565981043096E-3</v>
      </c>
      <c r="X555" s="16">
        <f t="shared" si="194"/>
        <v>0.71144333337750087</v>
      </c>
    </row>
    <row r="556" spans="1:24" x14ac:dyDescent="0.25">
      <c r="A556" s="10">
        <v>45994</v>
      </c>
      <c r="B556" s="11">
        <v>18371.96</v>
      </c>
      <c r="C556" s="12">
        <f t="shared" si="189"/>
        <v>1.1781798048426939E-3</v>
      </c>
      <c r="D556" s="11">
        <f t="shared" si="199"/>
        <v>18633.682000000004</v>
      </c>
      <c r="E556" s="11">
        <f t="shared" si="180"/>
        <v>18887.126399999997</v>
      </c>
      <c r="F556" s="11">
        <f t="shared" si="201"/>
        <v>18728.70056249998</v>
      </c>
      <c r="G556" s="12">
        <f t="shared" si="190"/>
        <v>1.1774862956819682E-3</v>
      </c>
      <c r="H556" s="19">
        <f t="shared" si="195"/>
        <v>0.13003707731812145</v>
      </c>
      <c r="I556" s="11">
        <f t="shared" si="196"/>
        <v>19561.84</v>
      </c>
      <c r="J556" s="11">
        <f t="shared" si="197"/>
        <v>18112.939999999999</v>
      </c>
      <c r="K556" s="12">
        <f>(B556-MAX($B$2:B556))/MAX($B$2:B556)</f>
        <v>-9.2002866533224648E-2</v>
      </c>
      <c r="L556" s="12">
        <f t="shared" si="198"/>
        <v>-6.0826588909836721E-2</v>
      </c>
      <c r="M556" s="15">
        <f t="shared" si="192"/>
        <v>40.749597473589013</v>
      </c>
      <c r="N556" s="11">
        <f t="shared" si="185"/>
        <v>18497.610948916783</v>
      </c>
      <c r="O556" s="11">
        <f t="shared" si="186"/>
        <v>18683.977860702445</v>
      </c>
      <c r="P556" s="11">
        <f t="shared" si="182"/>
        <v>-186.36691178566252</v>
      </c>
      <c r="Q556" s="11">
        <f t="shared" si="187"/>
        <v>-187.14142759117937</v>
      </c>
      <c r="R556" s="11">
        <f t="shared" si="183"/>
        <v>0.77451580551684174</v>
      </c>
      <c r="S556" s="9">
        <f t="shared" si="184"/>
        <v>60</v>
      </c>
      <c r="T556" s="14">
        <f t="shared" si="191"/>
        <v>1.1781798048426939E-3</v>
      </c>
      <c r="U556" s="14">
        <f t="shared" si="188"/>
        <v>0</v>
      </c>
      <c r="V556" s="14">
        <f t="shared" si="200"/>
        <v>2.4690007170026706E-3</v>
      </c>
      <c r="W556" s="14">
        <f t="shared" si="200"/>
        <v>3.5899565981043096E-3</v>
      </c>
      <c r="X556" s="16">
        <f t="shared" si="194"/>
        <v>0.68775224700667303</v>
      </c>
    </row>
    <row r="557" spans="1:24" x14ac:dyDescent="0.25">
      <c r="A557" s="10">
        <v>45995</v>
      </c>
      <c r="B557" s="11">
        <v>18386.27</v>
      </c>
      <c r="C557" s="12">
        <f t="shared" si="189"/>
        <v>7.7890437383931754E-4</v>
      </c>
      <c r="D557" s="11">
        <f t="shared" si="199"/>
        <v>18574.9035</v>
      </c>
      <c r="E557" s="11">
        <f t="shared" si="180"/>
        <v>18859.448799999998</v>
      </c>
      <c r="F557" s="11">
        <f t="shared" si="201"/>
        <v>18741.255187499984</v>
      </c>
      <c r="G557" s="12">
        <f t="shared" si="190"/>
        <v>7.7860118525391992E-4</v>
      </c>
      <c r="H557" s="19">
        <f t="shared" si="195"/>
        <v>0.12997193023316839</v>
      </c>
      <c r="I557" s="11">
        <f t="shared" si="196"/>
        <v>19406.21</v>
      </c>
      <c r="J557" s="11">
        <f t="shared" si="197"/>
        <v>18112.939999999999</v>
      </c>
      <c r="K557" s="12">
        <f>(B557-MAX($B$2:B557))/MAX($B$2:B557)</f>
        <v>-9.129562359453379E-2</v>
      </c>
      <c r="L557" s="12">
        <f t="shared" si="198"/>
        <v>-5.2557403016869286E-2</v>
      </c>
      <c r="M557" s="15">
        <f t="shared" si="192"/>
        <v>37.971369183565024</v>
      </c>
      <c r="N557" s="11">
        <f t="shared" si="185"/>
        <v>18480.481572160355</v>
      </c>
      <c r="O557" s="11">
        <f t="shared" si="186"/>
        <v>18661.925426576341</v>
      </c>
      <c r="P557" s="11">
        <f t="shared" si="182"/>
        <v>-181.4438544159857</v>
      </c>
      <c r="Q557" s="11">
        <f t="shared" si="187"/>
        <v>-186.00191295614064</v>
      </c>
      <c r="R557" s="11">
        <f t="shared" si="183"/>
        <v>4.5580585401549456</v>
      </c>
      <c r="S557" s="9">
        <f t="shared" si="184"/>
        <v>60</v>
      </c>
      <c r="T557" s="14">
        <f t="shared" si="191"/>
        <v>7.7890437383931754E-4</v>
      </c>
      <c r="U557" s="14">
        <f t="shared" si="188"/>
        <v>0</v>
      </c>
      <c r="V557" s="14">
        <f t="shared" si="200"/>
        <v>2.1976233482083568E-3</v>
      </c>
      <c r="W557" s="14">
        <f t="shared" si="200"/>
        <v>3.5899565981043096E-3</v>
      </c>
      <c r="X557" s="16">
        <f t="shared" si="194"/>
        <v>0.61215875126981212</v>
      </c>
    </row>
    <row r="558" spans="1:24" x14ac:dyDescent="0.25">
      <c r="A558" s="10">
        <v>45996</v>
      </c>
      <c r="B558" s="11">
        <v>18469.38</v>
      </c>
      <c r="C558" s="12">
        <f t="shared" si="189"/>
        <v>4.5202207951913209E-3</v>
      </c>
      <c r="D558" s="11">
        <f t="shared" si="199"/>
        <v>18528.062000000002</v>
      </c>
      <c r="E558" s="11">
        <f t="shared" si="180"/>
        <v>18836.485800000002</v>
      </c>
      <c r="F558" s="11">
        <f t="shared" si="201"/>
        <v>18756.248249999982</v>
      </c>
      <c r="G558" s="12">
        <f t="shared" si="190"/>
        <v>4.5100352794918063E-3</v>
      </c>
      <c r="H558" s="19">
        <f t="shared" si="195"/>
        <v>0.13130117498684932</v>
      </c>
      <c r="I558" s="11">
        <f t="shared" si="196"/>
        <v>19268.400000000001</v>
      </c>
      <c r="J558" s="11">
        <f t="shared" si="197"/>
        <v>18112.939999999999</v>
      </c>
      <c r="K558" s="12">
        <f>(B558-MAX($B$2:B558))/MAX($B$2:B558)</f>
        <v>-8.718807917562453E-2</v>
      </c>
      <c r="L558" s="12">
        <f t="shared" si="198"/>
        <v>-4.1467895621847162E-2</v>
      </c>
      <c r="M558" s="15">
        <f t="shared" si="192"/>
        <v>44.252665082960327</v>
      </c>
      <c r="N558" s="11">
        <f t="shared" si="185"/>
        <v>18478.773637981838</v>
      </c>
      <c r="O558" s="11">
        <f t="shared" si="186"/>
        <v>18647.662802385501</v>
      </c>
      <c r="P558" s="11">
        <f t="shared" si="182"/>
        <v>-168.88916440366302</v>
      </c>
      <c r="Q558" s="11">
        <f t="shared" si="187"/>
        <v>-182.57936324564511</v>
      </c>
      <c r="R558" s="11">
        <f t="shared" si="183"/>
        <v>13.690198841982095</v>
      </c>
      <c r="S558" s="9">
        <f t="shared" si="184"/>
        <v>60</v>
      </c>
      <c r="T558" s="14">
        <f t="shared" si="191"/>
        <v>4.5202207951913209E-3</v>
      </c>
      <c r="U558" s="14">
        <f t="shared" si="188"/>
        <v>0</v>
      </c>
      <c r="V558" s="14">
        <f t="shared" si="200"/>
        <v>2.5204962621505939E-3</v>
      </c>
      <c r="W558" s="14">
        <f t="shared" si="200"/>
        <v>3.1751974490087853E-3</v>
      </c>
      <c r="X558" s="16">
        <f t="shared" si="194"/>
        <v>0.79380772459911986</v>
      </c>
    </row>
    <row r="559" spans="1:24" x14ac:dyDescent="0.25">
      <c r="A559" s="10">
        <v>45999</v>
      </c>
      <c r="B559" s="11">
        <v>18473.47</v>
      </c>
      <c r="C559" s="12">
        <f t="shared" si="189"/>
        <v>2.2144760679565501E-4</v>
      </c>
      <c r="D559" s="11">
        <f t="shared" si="199"/>
        <v>18488.315500000004</v>
      </c>
      <c r="E559" s="11">
        <f t="shared" si="180"/>
        <v>18817.3544</v>
      </c>
      <c r="F559" s="11">
        <f t="shared" si="201"/>
        <v>18768.083437499983</v>
      </c>
      <c r="G559" s="12">
        <f t="shared" si="190"/>
        <v>2.2142309089363569E-4</v>
      </c>
      <c r="H559" s="19">
        <f t="shared" si="195"/>
        <v>0.13043553881040812</v>
      </c>
      <c r="I559" s="11">
        <f t="shared" si="196"/>
        <v>19064.05</v>
      </c>
      <c r="J559" s="11">
        <f t="shared" si="197"/>
        <v>18112.939999999999</v>
      </c>
      <c r="K559" s="12">
        <f>(B559-MAX($B$2:B559))/MAX($B$2:B559)</f>
        <v>-8.6985939160303394E-2</v>
      </c>
      <c r="L559" s="12">
        <f t="shared" si="198"/>
        <v>-3.0978726975642523E-2</v>
      </c>
      <c r="M559" s="15">
        <f t="shared" si="192"/>
        <v>49.353241744962567</v>
      </c>
      <c r="N559" s="11">
        <f t="shared" si="185"/>
        <v>18477.957693676941</v>
      </c>
      <c r="O559" s="11">
        <f t="shared" si="186"/>
        <v>18634.759631838424</v>
      </c>
      <c r="P559" s="11">
        <f t="shared" si="182"/>
        <v>-156.80193816148312</v>
      </c>
      <c r="Q559" s="11">
        <f t="shared" si="187"/>
        <v>-177.42387822881273</v>
      </c>
      <c r="R559" s="11">
        <f t="shared" si="183"/>
        <v>20.621940067329604</v>
      </c>
      <c r="S559" s="9">
        <f t="shared" si="184"/>
        <v>60</v>
      </c>
      <c r="T559" s="14">
        <f t="shared" si="191"/>
        <v>2.2144760679565501E-4</v>
      </c>
      <c r="U559" s="14">
        <f t="shared" si="188"/>
        <v>0</v>
      </c>
      <c r="V559" s="14">
        <f t="shared" si="200"/>
        <v>2.5363139483502834E-3</v>
      </c>
      <c r="W559" s="14">
        <f t="shared" si="200"/>
        <v>2.6027890946816617E-3</v>
      </c>
      <c r="X559" s="16">
        <f t="shared" si="194"/>
        <v>0.97446003348207944</v>
      </c>
    </row>
    <row r="560" spans="1:24" x14ac:dyDescent="0.25">
      <c r="A560" s="10">
        <v>46000</v>
      </c>
      <c r="B560" s="11">
        <v>18458.7</v>
      </c>
      <c r="C560" s="12">
        <f t="shared" si="189"/>
        <v>-7.9952494036039656E-4</v>
      </c>
      <c r="D560" s="11">
        <f t="shared" si="199"/>
        <v>18458.048000000006</v>
      </c>
      <c r="E560" s="11">
        <f t="shared" si="180"/>
        <v>18799.668799999999</v>
      </c>
      <c r="F560" s="11">
        <f t="shared" si="201"/>
        <v>18776.844374999982</v>
      </c>
      <c r="G560" s="12">
        <f t="shared" si="190"/>
        <v>-7.9984473089055714E-4</v>
      </c>
      <c r="H560" s="19">
        <f t="shared" si="195"/>
        <v>0.12649405730844118</v>
      </c>
      <c r="I560" s="11">
        <f t="shared" si="196"/>
        <v>18754.43</v>
      </c>
      <c r="J560" s="11">
        <f t="shared" si="197"/>
        <v>18112.939999999999</v>
      </c>
      <c r="K560" s="12">
        <f>(B560-MAX($B$2:B560))/MAX($B$2:B560)</f>
        <v>-8.7715916672844507E-2</v>
      </c>
      <c r="L560" s="12">
        <f t="shared" si="198"/>
        <v>-8.9203450875282586E-3</v>
      </c>
      <c r="M560" s="15">
        <f t="shared" si="192"/>
        <v>62.124682975478251</v>
      </c>
      <c r="N560" s="11">
        <f t="shared" si="185"/>
        <v>18474.994971572796</v>
      </c>
      <c r="O560" s="11">
        <f t="shared" si="186"/>
        <v>18621.718177628169</v>
      </c>
      <c r="P560" s="11">
        <f t="shared" si="182"/>
        <v>-146.72320605537243</v>
      </c>
      <c r="Q560" s="11">
        <f t="shared" si="187"/>
        <v>-171.28374379412469</v>
      </c>
      <c r="R560" s="11">
        <f t="shared" si="183"/>
        <v>24.560537738752259</v>
      </c>
      <c r="S560" s="9">
        <f t="shared" si="184"/>
        <v>60</v>
      </c>
      <c r="T560" s="14">
        <f t="shared" si="191"/>
        <v>0</v>
      </c>
      <c r="U560" s="14">
        <f t="shared" si="188"/>
        <v>7.9952494036039656E-4</v>
      </c>
      <c r="V560" s="14">
        <f t="shared" ref="V560:W575" si="202">AVERAGE(T547:T560)</f>
        <v>2.5363139483502834E-3</v>
      </c>
      <c r="W560" s="14">
        <f t="shared" si="202"/>
        <v>1.5463047900848292E-3</v>
      </c>
      <c r="X560" s="16">
        <f t="shared" si="194"/>
        <v>1.6402419268268211</v>
      </c>
    </row>
    <row r="561" spans="1:24" x14ac:dyDescent="0.25">
      <c r="A561" s="10">
        <v>46001</v>
      </c>
      <c r="B561" s="11">
        <v>18520.07</v>
      </c>
      <c r="C561" s="12">
        <f t="shared" si="189"/>
        <v>3.3247195089578518E-3</v>
      </c>
      <c r="D561" s="11">
        <f t="shared" si="199"/>
        <v>18452.809500000003</v>
      </c>
      <c r="E561" s="11">
        <f t="shared" si="180"/>
        <v>18790.465800000002</v>
      </c>
      <c r="F561" s="11">
        <f t="shared" si="201"/>
        <v>18785.568999999981</v>
      </c>
      <c r="G561" s="12">
        <f t="shared" si="190"/>
        <v>3.3192048488028163E-3</v>
      </c>
      <c r="H561" s="19">
        <f t="shared" si="195"/>
        <v>9.8034619411826091E-2</v>
      </c>
      <c r="I561" s="11">
        <f t="shared" si="196"/>
        <v>18754.43</v>
      </c>
      <c r="J561" s="11">
        <f t="shared" si="197"/>
        <v>18112.939999999999</v>
      </c>
      <c r="K561" s="12">
        <f>(B561-MAX($B$2:B561))/MAX($B$2:B561)</f>
        <v>-8.4682827983295045E-2</v>
      </c>
      <c r="L561" s="12">
        <f t="shared" si="198"/>
        <v>-7.975270181092009E-3</v>
      </c>
      <c r="M561" s="15">
        <f t="shared" si="192"/>
        <v>70.255333739384696</v>
      </c>
      <c r="N561" s="11">
        <f t="shared" si="185"/>
        <v>18481.929591330827</v>
      </c>
      <c r="O561" s="11">
        <f t="shared" si="186"/>
        <v>18614.188682989043</v>
      </c>
      <c r="P561" s="11">
        <f t="shared" si="182"/>
        <v>-132.25909165821577</v>
      </c>
      <c r="Q561" s="11">
        <f t="shared" si="187"/>
        <v>-163.47881336694292</v>
      </c>
      <c r="R561" s="11">
        <f t="shared" si="183"/>
        <v>31.21972170872715</v>
      </c>
      <c r="S561" s="9">
        <f t="shared" si="184"/>
        <v>60</v>
      </c>
      <c r="T561" s="14">
        <f t="shared" si="191"/>
        <v>3.3247195089578518E-3</v>
      </c>
      <c r="U561" s="14">
        <f t="shared" si="188"/>
        <v>0</v>
      </c>
      <c r="V561" s="14">
        <f t="shared" si="202"/>
        <v>2.7737939132758444E-3</v>
      </c>
      <c r="W561" s="14">
        <f t="shared" si="202"/>
        <v>1.1743674086322645E-3</v>
      </c>
      <c r="X561" s="16">
        <f t="shared" si="194"/>
        <v>2.3619472857360404</v>
      </c>
    </row>
    <row r="562" spans="1:24" x14ac:dyDescent="0.25">
      <c r="A562" s="10">
        <v>46002</v>
      </c>
      <c r="B562" s="11">
        <v>18498.78</v>
      </c>
      <c r="C562" s="12">
        <f t="shared" si="189"/>
        <v>-1.1495636895541006E-3</v>
      </c>
      <c r="D562" s="11">
        <f t="shared" si="199"/>
        <v>18444.300500000001</v>
      </c>
      <c r="E562" s="11">
        <f t="shared" si="180"/>
        <v>18779.945</v>
      </c>
      <c r="F562" s="11">
        <f t="shared" si="201"/>
        <v>18793.839624999982</v>
      </c>
      <c r="G562" s="12">
        <f t="shared" si="190"/>
        <v>-1.1502249447107931E-3</v>
      </c>
      <c r="H562" s="19">
        <f t="shared" si="195"/>
        <v>9.7568304897492075E-2</v>
      </c>
      <c r="I562" s="11">
        <f t="shared" si="196"/>
        <v>18754.43</v>
      </c>
      <c r="J562" s="11">
        <f t="shared" si="197"/>
        <v>18112.939999999999</v>
      </c>
      <c r="K562" s="12">
        <f>(B562-MAX($B$2:B562))/MAX($B$2:B562)</f>
        <v>-8.5735043368670827E-2</v>
      </c>
      <c r="L562" s="12">
        <f t="shared" si="198"/>
        <v>-1.3631446010356041E-2</v>
      </c>
      <c r="M562" s="15">
        <f t="shared" si="192"/>
        <v>65.727364813198136</v>
      </c>
      <c r="N562" s="11">
        <f t="shared" si="185"/>
        <v>18484.521961895316</v>
      </c>
      <c r="O562" s="11">
        <f t="shared" si="186"/>
        <v>18605.639891656519</v>
      </c>
      <c r="P562" s="11">
        <f t="shared" si="182"/>
        <v>-121.11792976120341</v>
      </c>
      <c r="Q562" s="11">
        <f t="shared" si="187"/>
        <v>-155.00663664579503</v>
      </c>
      <c r="R562" s="11">
        <f t="shared" si="183"/>
        <v>33.888706884591613</v>
      </c>
      <c r="S562" s="9">
        <f t="shared" si="184"/>
        <v>60</v>
      </c>
      <c r="T562" s="14">
        <f t="shared" si="191"/>
        <v>0</v>
      </c>
      <c r="U562" s="14">
        <f t="shared" si="188"/>
        <v>1.1495636895541006E-3</v>
      </c>
      <c r="V562" s="14">
        <f t="shared" si="202"/>
        <v>2.4096501417117467E-3</v>
      </c>
      <c r="W562" s="14">
        <f t="shared" si="202"/>
        <v>1.2564791007432716E-3</v>
      </c>
      <c r="X562" s="16">
        <f t="shared" si="194"/>
        <v>1.9177797229466973</v>
      </c>
    </row>
    <row r="563" spans="1:24" x14ac:dyDescent="0.25">
      <c r="A563" s="10">
        <v>46003</v>
      </c>
      <c r="B563" s="11">
        <v>18566.509999999998</v>
      </c>
      <c r="C563" s="12">
        <f t="shared" si="189"/>
        <v>3.6613225304586994E-3</v>
      </c>
      <c r="D563" s="11">
        <f t="shared" si="199"/>
        <v>18434.904499999997</v>
      </c>
      <c r="E563" s="11">
        <f t="shared" si="180"/>
        <v>18783.851200000001</v>
      </c>
      <c r="F563" s="11">
        <f t="shared" si="201"/>
        <v>18802.107249999979</v>
      </c>
      <c r="G563" s="12">
        <f t="shared" si="190"/>
        <v>3.6546362046829565E-3</v>
      </c>
      <c r="H563" s="19">
        <f t="shared" si="195"/>
        <v>9.6996663636601074E-2</v>
      </c>
      <c r="I563" s="11">
        <f t="shared" si="196"/>
        <v>18645.53</v>
      </c>
      <c r="J563" s="11">
        <f t="shared" si="197"/>
        <v>18112.939999999999</v>
      </c>
      <c r="K563" s="12">
        <f>(B563-MAX($B$2:B563))/MAX($B$2:B563)</f>
        <v>-8.2387624484147659E-2</v>
      </c>
      <c r="L563" s="12">
        <f t="shared" si="198"/>
        <v>-4.2380130787379455E-3</v>
      </c>
      <c r="M563" s="15">
        <f t="shared" si="192"/>
        <v>63.138518473560623</v>
      </c>
      <c r="N563" s="11">
        <f t="shared" si="185"/>
        <v>18497.135506219114</v>
      </c>
      <c r="O563" s="11">
        <f t="shared" si="186"/>
        <v>18602.741381163447</v>
      </c>
      <c r="P563" s="11">
        <f t="shared" si="182"/>
        <v>-105.60587494433275</v>
      </c>
      <c r="Q563" s="11">
        <f t="shared" si="187"/>
        <v>-145.12648430550257</v>
      </c>
      <c r="R563" s="11">
        <f t="shared" si="183"/>
        <v>39.520609361169818</v>
      </c>
      <c r="S563" s="9">
        <f t="shared" si="184"/>
        <v>60</v>
      </c>
      <c r="T563" s="14">
        <f t="shared" si="191"/>
        <v>3.6613225304586994E-3</v>
      </c>
      <c r="U563" s="14">
        <f t="shared" si="188"/>
        <v>0</v>
      </c>
      <c r="V563" s="14">
        <f t="shared" si="202"/>
        <v>2.1521714708352085E-3</v>
      </c>
      <c r="W563" s="14">
        <f t="shared" si="202"/>
        <v>1.2564791007432716E-3</v>
      </c>
      <c r="X563" s="16">
        <f t="shared" si="194"/>
        <v>1.7128589481210543</v>
      </c>
    </row>
    <row r="564" spans="1:24" x14ac:dyDescent="0.25">
      <c r="A564" s="10">
        <v>46006</v>
      </c>
      <c r="B564" s="11">
        <v>18553.93</v>
      </c>
      <c r="C564" s="12">
        <f t="shared" si="189"/>
        <v>-6.7756406562125004E-4</v>
      </c>
      <c r="D564" s="11">
        <f t="shared" si="199"/>
        <v>18430.324500000002</v>
      </c>
      <c r="E564" s="11">
        <f t="shared" ref="E564:E627" si="203">AVERAGE(B515:B564)</f>
        <v>18785.727999999999</v>
      </c>
      <c r="F564" s="11">
        <f t="shared" si="201"/>
        <v>18810.138624999981</v>
      </c>
      <c r="G564" s="12">
        <f t="shared" si="190"/>
        <v>-6.7779371589380159E-4</v>
      </c>
      <c r="H564" s="19">
        <f t="shared" si="195"/>
        <v>9.4951637000235733E-2</v>
      </c>
      <c r="I564" s="11">
        <f t="shared" si="196"/>
        <v>18640.63</v>
      </c>
      <c r="J564" s="11">
        <f t="shared" si="197"/>
        <v>18112.939999999999</v>
      </c>
      <c r="K564" s="12">
        <f>(B564-MAX($B$2:B564))/MAX($B$2:B564)</f>
        <v>-8.3009365655966574E-2</v>
      </c>
      <c r="L564" s="12">
        <f t="shared" si="198"/>
        <v>3.1260627234590554E-3</v>
      </c>
      <c r="M564" s="15">
        <f t="shared" si="192"/>
        <v>60.231479257390092</v>
      </c>
      <c r="N564" s="11">
        <f t="shared" si="185"/>
        <v>18505.873120646942</v>
      </c>
      <c r="O564" s="11">
        <f t="shared" si="186"/>
        <v>18599.12572329949</v>
      </c>
      <c r="P564" s="11">
        <f t="shared" si="182"/>
        <v>-93.252602652548376</v>
      </c>
      <c r="Q564" s="11">
        <f t="shared" si="187"/>
        <v>-134.75170797491174</v>
      </c>
      <c r="R564" s="11">
        <f t="shared" si="183"/>
        <v>41.499105322363363</v>
      </c>
      <c r="S564" s="9">
        <f t="shared" si="184"/>
        <v>60</v>
      </c>
      <c r="T564" s="14">
        <f t="shared" si="191"/>
        <v>0</v>
      </c>
      <c r="U564" s="14">
        <f t="shared" si="188"/>
        <v>6.7756406562125004E-4</v>
      </c>
      <c r="V564" s="14">
        <f t="shared" si="202"/>
        <v>1.97630292561982E-3</v>
      </c>
      <c r="W564" s="14">
        <f t="shared" si="202"/>
        <v>1.3048765340019325E-3</v>
      </c>
      <c r="X564" s="16">
        <f t="shared" si="194"/>
        <v>1.5145516637951075</v>
      </c>
    </row>
    <row r="565" spans="1:24" x14ac:dyDescent="0.25">
      <c r="A565" s="10">
        <v>46007</v>
      </c>
      <c r="B565" s="11">
        <v>18583.78</v>
      </c>
      <c r="C565" s="12">
        <f t="shared" si="189"/>
        <v>1.6088235753826119E-3</v>
      </c>
      <c r="D565" s="11">
        <f t="shared" si="199"/>
        <v>18434.707999999995</v>
      </c>
      <c r="E565" s="11">
        <f t="shared" si="203"/>
        <v>18781.000000000004</v>
      </c>
      <c r="F565" s="11">
        <f t="shared" si="201"/>
        <v>18818.753312499979</v>
      </c>
      <c r="G565" s="12">
        <f t="shared" si="190"/>
        <v>1.6075308051080538E-3</v>
      </c>
      <c r="H565" s="19">
        <f t="shared" si="195"/>
        <v>9.0513596062956433E-2</v>
      </c>
      <c r="I565" s="11">
        <f t="shared" si="196"/>
        <v>18640.63</v>
      </c>
      <c r="J565" s="11">
        <f t="shared" si="197"/>
        <v>18112.939999999999</v>
      </c>
      <c r="K565" s="12">
        <f>(B565-MAX($B$2:B565))/MAX($B$2:B565)</f>
        <v>-8.1534089505028842E-2</v>
      </c>
      <c r="L565" s="12">
        <f t="shared" si="198"/>
        <v>2.0652194807156299E-2</v>
      </c>
      <c r="M565" s="15">
        <f t="shared" si="192"/>
        <v>53.431510579512022</v>
      </c>
      <c r="N565" s="11">
        <f t="shared" si="185"/>
        <v>18517.858794393564</v>
      </c>
      <c r="O565" s="11">
        <f t="shared" si="186"/>
        <v>18597.989003055081</v>
      </c>
      <c r="P565" s="11">
        <f t="shared" si="182"/>
        <v>-80.130208661517827</v>
      </c>
      <c r="Q565" s="11">
        <f t="shared" si="187"/>
        <v>-123.82740811223296</v>
      </c>
      <c r="R565" s="11">
        <f t="shared" si="183"/>
        <v>43.697199450715132</v>
      </c>
      <c r="S565" s="9">
        <f t="shared" si="184"/>
        <v>60</v>
      </c>
      <c r="T565" s="14">
        <f t="shared" si="191"/>
        <v>1.6088235753826119E-3</v>
      </c>
      <c r="U565" s="14">
        <f t="shared" si="188"/>
        <v>0</v>
      </c>
      <c r="V565" s="14">
        <f t="shared" si="202"/>
        <v>1.497182433854232E-3</v>
      </c>
      <c r="W565" s="14">
        <f t="shared" si="202"/>
        <v>1.3048765340019325E-3</v>
      </c>
      <c r="X565" s="16">
        <f t="shared" si="194"/>
        <v>1.1473747859213281</v>
      </c>
    </row>
    <row r="566" spans="1:24" x14ac:dyDescent="0.25">
      <c r="A566" s="10">
        <v>46008</v>
      </c>
      <c r="B566" s="11">
        <v>18760.080000000002</v>
      </c>
      <c r="C566" s="12">
        <f t="shared" si="189"/>
        <v>9.4867674929428603E-3</v>
      </c>
      <c r="D566" s="11">
        <f t="shared" si="199"/>
        <v>18462.324499999995</v>
      </c>
      <c r="E566" s="11">
        <f t="shared" si="203"/>
        <v>18774.516599999999</v>
      </c>
      <c r="F566" s="11">
        <f t="shared" si="201"/>
        <v>18828.354562499982</v>
      </c>
      <c r="G566" s="12">
        <f t="shared" si="190"/>
        <v>9.4420507036093951E-3</v>
      </c>
      <c r="H566" s="19">
        <f t="shared" si="195"/>
        <v>7.4317236450196153E-2</v>
      </c>
      <c r="I566" s="11">
        <f t="shared" si="196"/>
        <v>18760.080000000002</v>
      </c>
      <c r="J566" s="11">
        <f t="shared" si="197"/>
        <v>18112.939999999999</v>
      </c>
      <c r="K566" s="12">
        <f>(B566-MAX($B$2:B566))/MAX($B$2:B566)</f>
        <v>-7.2820816961968932E-2</v>
      </c>
      <c r="L566" s="12">
        <f t="shared" si="198"/>
        <v>3.572804856638423E-2</v>
      </c>
      <c r="M566" s="15">
        <f t="shared" si="192"/>
        <v>57.563667070390679</v>
      </c>
      <c r="N566" s="11">
        <f t="shared" si="185"/>
        <v>18555.123595256093</v>
      </c>
      <c r="O566" s="11">
        <f t="shared" si="186"/>
        <v>18609.995743569521</v>
      </c>
      <c r="P566" s="11">
        <f t="shared" si="182"/>
        <v>-54.872148313428625</v>
      </c>
      <c r="Q566" s="11">
        <f t="shared" si="187"/>
        <v>-110.0363561524721</v>
      </c>
      <c r="R566" s="11">
        <f t="shared" si="183"/>
        <v>55.16420783904347</v>
      </c>
      <c r="S566" s="9">
        <f t="shared" si="184"/>
        <v>60</v>
      </c>
      <c r="T566" s="14">
        <f t="shared" si="191"/>
        <v>9.4867674929428603E-3</v>
      </c>
      <c r="U566" s="14">
        <f t="shared" si="188"/>
        <v>0</v>
      </c>
      <c r="V566" s="14">
        <f t="shared" si="202"/>
        <v>1.7700275491722151E-3</v>
      </c>
      <c r="W566" s="14">
        <f t="shared" si="202"/>
        <v>1.3048765340019325E-3</v>
      </c>
      <c r="X566" s="16">
        <f t="shared" si="194"/>
        <v>1.3564712852515699</v>
      </c>
    </row>
    <row r="567" spans="1:24" x14ac:dyDescent="0.25">
      <c r="A567" s="10">
        <v>46009</v>
      </c>
      <c r="B567" s="11">
        <v>18815.95</v>
      </c>
      <c r="C567" s="12">
        <f t="shared" si="189"/>
        <v>2.9781322894144591E-3</v>
      </c>
      <c r="D567" s="11">
        <f t="shared" si="199"/>
        <v>18497.474999999999</v>
      </c>
      <c r="E567" s="11">
        <f t="shared" si="203"/>
        <v>18771.1646</v>
      </c>
      <c r="F567" s="11">
        <f t="shared" si="201"/>
        <v>18837.833124999983</v>
      </c>
      <c r="G567" s="12">
        <f t="shared" si="190"/>
        <v>2.9737064384502839E-3</v>
      </c>
      <c r="H567" s="19">
        <f t="shared" si="195"/>
        <v>7.0067937086989746E-2</v>
      </c>
      <c r="I567" s="11">
        <f t="shared" si="196"/>
        <v>18815.95</v>
      </c>
      <c r="J567" s="11">
        <f t="shared" si="197"/>
        <v>18205.28</v>
      </c>
      <c r="K567" s="12">
        <f>(B567-MAX($B$2:B567))/MAX($B$2:B567)</f>
        <v>-7.0059554698890414E-2</v>
      </c>
      <c r="L567" s="12">
        <f t="shared" si="198"/>
        <v>3.3543565383229668E-2</v>
      </c>
      <c r="M567" s="15">
        <f t="shared" si="192"/>
        <v>63.030623991128444</v>
      </c>
      <c r="N567" s="11">
        <f t="shared" si="185"/>
        <v>18595.250734447465</v>
      </c>
      <c r="O567" s="11">
        <f t="shared" si="186"/>
        <v>18625.251614416222</v>
      </c>
      <c r="P567" s="11">
        <f t="shared" si="182"/>
        <v>-30.000879968756635</v>
      </c>
      <c r="Q567" s="11">
        <f t="shared" si="187"/>
        <v>-94.029260915729012</v>
      </c>
      <c r="R567" s="11">
        <f t="shared" si="183"/>
        <v>64.028380946972376</v>
      </c>
      <c r="S567" s="9">
        <f t="shared" si="184"/>
        <v>60</v>
      </c>
      <c r="T567" s="14">
        <f t="shared" si="191"/>
        <v>2.9781322894144591E-3</v>
      </c>
      <c r="U567" s="14">
        <f t="shared" si="188"/>
        <v>0</v>
      </c>
      <c r="V567" s="14">
        <f t="shared" si="202"/>
        <v>1.9827512841303907E-3</v>
      </c>
      <c r="W567" s="14">
        <f t="shared" si="202"/>
        <v>1.1629438694023791E-3</v>
      </c>
      <c r="X567" s="16">
        <f t="shared" si="194"/>
        <v>1.7049415163513433</v>
      </c>
    </row>
    <row r="568" spans="1:24" x14ac:dyDescent="0.25">
      <c r="A568" s="10">
        <v>46010</v>
      </c>
      <c r="B568" s="11">
        <v>18938.3</v>
      </c>
      <c r="C568" s="12">
        <f t="shared" si="189"/>
        <v>6.5024620069673578E-3</v>
      </c>
      <c r="D568" s="11">
        <f t="shared" si="199"/>
        <v>18534.125999999997</v>
      </c>
      <c r="E568" s="11">
        <f t="shared" si="203"/>
        <v>18772.672200000001</v>
      </c>
      <c r="F568" s="11">
        <f t="shared" si="201"/>
        <v>18847.949437499978</v>
      </c>
      <c r="G568" s="12">
        <f t="shared" si="190"/>
        <v>6.4814122019875089E-3</v>
      </c>
      <c r="H568" s="19">
        <f t="shared" si="195"/>
        <v>7.1076810271666374E-2</v>
      </c>
      <c r="I568" s="11">
        <f t="shared" si="196"/>
        <v>18938.3</v>
      </c>
      <c r="J568" s="11">
        <f t="shared" si="197"/>
        <v>18337.560000000001</v>
      </c>
      <c r="K568" s="12">
        <f>(B568-MAX($B$2:B568))/MAX($B$2:B568)</f>
        <v>-6.4012652284577587E-2</v>
      </c>
      <c r="L568" s="12">
        <f t="shared" si="198"/>
        <v>3.2760083675254403E-2</v>
      </c>
      <c r="M568" s="15">
        <f t="shared" si="192"/>
        <v>82.605017611634935</v>
      </c>
      <c r="N568" s="11">
        <f t="shared" si="185"/>
        <v>18648.02754453247</v>
      </c>
      <c r="O568" s="11">
        <f t="shared" si="186"/>
        <v>18648.440383718724</v>
      </c>
      <c r="P568" s="11">
        <f t="shared" si="182"/>
        <v>-0.41283918625413207</v>
      </c>
      <c r="Q568" s="11">
        <f t="shared" si="187"/>
        <v>-75.30597656983403</v>
      </c>
      <c r="R568" s="11">
        <f t="shared" si="183"/>
        <v>74.893137383579898</v>
      </c>
      <c r="S568" s="9">
        <f t="shared" si="184"/>
        <v>60</v>
      </c>
      <c r="T568" s="14">
        <f t="shared" si="191"/>
        <v>6.5024620069673578E-3</v>
      </c>
      <c r="U568" s="14">
        <f t="shared" si="188"/>
        <v>0</v>
      </c>
      <c r="V568" s="14">
        <f t="shared" si="202"/>
        <v>2.4472128560566304E-3</v>
      </c>
      <c r="W568" s="14">
        <f t="shared" si="202"/>
        <v>5.1533460996066357E-4</v>
      </c>
      <c r="X568" s="16">
        <f t="shared" si="194"/>
        <v>4.7487842049720479</v>
      </c>
    </row>
    <row r="569" spans="1:24" x14ac:dyDescent="0.25">
      <c r="A569" s="10">
        <v>46013</v>
      </c>
      <c r="B569" s="11">
        <v>18941.740000000002</v>
      </c>
      <c r="C569" s="12">
        <f t="shared" si="189"/>
        <v>1.8164249167051949E-4</v>
      </c>
      <c r="D569" s="11">
        <f t="shared" si="199"/>
        <v>18564.334999999999</v>
      </c>
      <c r="E569" s="11">
        <f t="shared" si="203"/>
        <v>18779.517199999998</v>
      </c>
      <c r="F569" s="11">
        <f t="shared" si="201"/>
        <v>18857.314874999978</v>
      </c>
      <c r="G569" s="12">
        <f t="shared" si="190"/>
        <v>1.8162599667056106E-4</v>
      </c>
      <c r="H569" s="19">
        <f t="shared" si="195"/>
        <v>6.851038372974555E-2</v>
      </c>
      <c r="I569" s="11">
        <f t="shared" si="196"/>
        <v>18941.740000000002</v>
      </c>
      <c r="J569" s="11">
        <f t="shared" si="197"/>
        <v>18350.34</v>
      </c>
      <c r="K569" s="12">
        <f>(B569-MAX($B$2:B569))/MAX($B$2:B569)</f>
        <v>-6.3842637210566558E-2</v>
      </c>
      <c r="L569" s="12">
        <f t="shared" si="198"/>
        <v>3.0410641303703523E-2</v>
      </c>
      <c r="M569" s="15">
        <f t="shared" si="192"/>
        <v>92.914205407717731</v>
      </c>
      <c r="N569" s="11">
        <f t="shared" si="185"/>
        <v>18693.21407614286</v>
      </c>
      <c r="O569" s="11">
        <f t="shared" si="186"/>
        <v>18670.166281221042</v>
      </c>
      <c r="P569" s="11">
        <f t="shared" si="182"/>
        <v>23.047794921818422</v>
      </c>
      <c r="Q569" s="11">
        <f t="shared" si="187"/>
        <v>-55.635222271503537</v>
      </c>
      <c r="R569" s="11">
        <f t="shared" si="183"/>
        <v>78.683017193321959</v>
      </c>
      <c r="S569" s="9">
        <f t="shared" si="184"/>
        <v>60</v>
      </c>
      <c r="T569" s="14">
        <f t="shared" si="191"/>
        <v>1.8164249167051949E-4</v>
      </c>
      <c r="U569" s="14">
        <f t="shared" si="188"/>
        <v>0</v>
      </c>
      <c r="V569" s="14">
        <f t="shared" si="202"/>
        <v>2.4601873197473817E-3</v>
      </c>
      <c r="W569" s="14">
        <f t="shared" si="202"/>
        <v>1.8761804968112479E-4</v>
      </c>
      <c r="X569" s="16">
        <f t="shared" si="194"/>
        <v>13.112743277785428</v>
      </c>
    </row>
    <row r="570" spans="1:24" x14ac:dyDescent="0.25">
      <c r="A570" s="10">
        <v>46014</v>
      </c>
      <c r="B570" s="11">
        <v>18943.400000000001</v>
      </c>
      <c r="C570" s="12">
        <f t="shared" si="189"/>
        <v>8.763714421156088E-5</v>
      </c>
      <c r="D570" s="11">
        <f t="shared" si="199"/>
        <v>18592.369500000004</v>
      </c>
      <c r="E570" s="11">
        <f t="shared" si="203"/>
        <v>18787.397799999999</v>
      </c>
      <c r="F570" s="11">
        <f t="shared" si="201"/>
        <v>18867.137312499981</v>
      </c>
      <c r="G570" s="12">
        <f t="shared" si="190"/>
        <v>8.7633304301382303E-5</v>
      </c>
      <c r="H570" s="19">
        <f t="shared" si="195"/>
        <v>6.8642550597793173E-2</v>
      </c>
      <c r="I570" s="11">
        <f t="shared" si="196"/>
        <v>18943.400000000001</v>
      </c>
      <c r="J570" s="11">
        <f t="shared" si="197"/>
        <v>18350.34</v>
      </c>
      <c r="K570" s="12">
        <f>(B570-MAX($B$2:B570))/MAX($B$2:B570)</f>
        <v>-6.3760595052758967E-2</v>
      </c>
      <c r="L570" s="12">
        <f t="shared" si="198"/>
        <v>2.2001457736171348E-2</v>
      </c>
      <c r="M570" s="15">
        <f t="shared" si="192"/>
        <v>92.699429601346239</v>
      </c>
      <c r="N570" s="11">
        <f t="shared" si="185"/>
        <v>18731.704218274728</v>
      </c>
      <c r="O570" s="11">
        <f t="shared" si="186"/>
        <v>18690.405815945411</v>
      </c>
      <c r="P570" s="11">
        <f t="shared" si="182"/>
        <v>41.298402329317469</v>
      </c>
      <c r="Q570" s="11">
        <f t="shared" si="187"/>
        <v>-36.248497351339338</v>
      </c>
      <c r="R570" s="11">
        <f t="shared" si="183"/>
        <v>77.546899680656807</v>
      </c>
      <c r="S570" s="9">
        <f t="shared" si="184"/>
        <v>60</v>
      </c>
      <c r="T570" s="14">
        <f t="shared" si="191"/>
        <v>8.763714421156088E-5</v>
      </c>
      <c r="U570" s="14">
        <f t="shared" si="188"/>
        <v>0</v>
      </c>
      <c r="V570" s="14">
        <f t="shared" si="202"/>
        <v>2.3822914154165869E-3</v>
      </c>
      <c r="W570" s="14">
        <f t="shared" si="202"/>
        <v>1.8761804968112479E-4</v>
      </c>
      <c r="X570" s="16">
        <f t="shared" si="194"/>
        <v>12.697559853465719</v>
      </c>
    </row>
    <row r="571" spans="1:24" x14ac:dyDescent="0.25">
      <c r="A571" s="10">
        <v>46015</v>
      </c>
      <c r="B571" s="11">
        <v>18917.37</v>
      </c>
      <c r="C571" s="12">
        <f t="shared" si="189"/>
        <v>-1.3740933517744081E-3</v>
      </c>
      <c r="D571" s="11">
        <f t="shared" si="199"/>
        <v>18611.458500000001</v>
      </c>
      <c r="E571" s="11">
        <f t="shared" si="203"/>
        <v>18792.421400000003</v>
      </c>
      <c r="F571" s="11">
        <f t="shared" si="201"/>
        <v>18876.680999999979</v>
      </c>
      <c r="G571" s="12">
        <f t="shared" si="190"/>
        <v>-1.375038283759802E-3</v>
      </c>
      <c r="H571" s="19">
        <f t="shared" si="195"/>
        <v>6.4421223059872801E-2</v>
      </c>
      <c r="I571" s="11">
        <f t="shared" si="196"/>
        <v>18943.400000000001</v>
      </c>
      <c r="J571" s="11">
        <f t="shared" si="197"/>
        <v>18350.34</v>
      </c>
      <c r="K571" s="12">
        <f>(B571-MAX($B$2:B571))/MAX($B$2:B571)</f>
        <v>-6.504707539476616E-2</v>
      </c>
      <c r="L571" s="12">
        <f t="shared" si="198"/>
        <v>1.484606475210315E-2</v>
      </c>
      <c r="M571" s="15">
        <f t="shared" si="192"/>
        <v>89.061205677711442</v>
      </c>
      <c r="N571" s="11">
        <f t="shared" si="185"/>
        <v>18760.268184694</v>
      </c>
      <c r="O571" s="11">
        <f t="shared" si="186"/>
        <v>18707.217977727232</v>
      </c>
      <c r="P571" s="11">
        <f t="shared" si="182"/>
        <v>53.050206966767291</v>
      </c>
      <c r="Q571" s="11">
        <f t="shared" si="187"/>
        <v>-18.388756487718013</v>
      </c>
      <c r="R571" s="11">
        <f t="shared" si="183"/>
        <v>71.438963454485304</v>
      </c>
      <c r="S571" s="9">
        <f t="shared" si="184"/>
        <v>60</v>
      </c>
      <c r="T571" s="14">
        <f t="shared" si="191"/>
        <v>0</v>
      </c>
      <c r="U571" s="14">
        <f t="shared" si="188"/>
        <v>1.3740933517744081E-3</v>
      </c>
      <c r="V571" s="14">
        <f t="shared" si="202"/>
        <v>2.3266553887137781E-3</v>
      </c>
      <c r="W571" s="14">
        <f t="shared" si="202"/>
        <v>2.8576757480786822E-4</v>
      </c>
      <c r="X571" s="16">
        <f t="shared" si="194"/>
        <v>8.1417753231033014</v>
      </c>
    </row>
    <row r="572" spans="1:24" x14ac:dyDescent="0.25">
      <c r="A572" s="10">
        <v>46016</v>
      </c>
      <c r="B572" s="11">
        <v>18941.16</v>
      </c>
      <c r="C572" s="12">
        <f t="shared" si="189"/>
        <v>1.2575743879832402E-3</v>
      </c>
      <c r="D572" s="11">
        <f t="shared" si="199"/>
        <v>18626.485000000001</v>
      </c>
      <c r="E572" s="11">
        <f t="shared" si="203"/>
        <v>18805.312399999999</v>
      </c>
      <c r="F572" s="11">
        <f t="shared" si="201"/>
        <v>18885.633124999982</v>
      </c>
      <c r="G572" s="12">
        <f t="shared" si="190"/>
        <v>1.2567843036364395E-3</v>
      </c>
      <c r="H572" s="19">
        <f t="shared" si="195"/>
        <v>6.2076774778042645E-2</v>
      </c>
      <c r="I572" s="11">
        <f t="shared" si="196"/>
        <v>18943.400000000001</v>
      </c>
      <c r="J572" s="11">
        <f t="shared" si="197"/>
        <v>18350.34</v>
      </c>
      <c r="K572" s="12">
        <f>(B572-MAX($B$2:B572))/MAX($B$2:B572)</f>
        <v>-6.3871302542812675E-2</v>
      </c>
      <c r="L572" s="12">
        <f t="shared" si="198"/>
        <v>1.81454224695341E-2</v>
      </c>
      <c r="M572" s="15">
        <f t="shared" si="192"/>
        <v>87.9898141471607</v>
      </c>
      <c r="N572" s="11">
        <f t="shared" si="185"/>
        <v>18788.097694741078</v>
      </c>
      <c r="O572" s="11">
        <f t="shared" si="186"/>
        <v>18724.547016414104</v>
      </c>
      <c r="P572" s="11">
        <f t="shared" si="182"/>
        <v>63.550678326973866</v>
      </c>
      <c r="Q572" s="11">
        <f t="shared" si="187"/>
        <v>-2.0008695247796382</v>
      </c>
      <c r="R572" s="11">
        <f t="shared" si="183"/>
        <v>65.551547851753497</v>
      </c>
      <c r="S572" s="9">
        <f t="shared" si="184"/>
        <v>60</v>
      </c>
      <c r="T572" s="14">
        <f t="shared" si="191"/>
        <v>1.2575743879832402E-3</v>
      </c>
      <c r="U572" s="14">
        <f t="shared" si="188"/>
        <v>0</v>
      </c>
      <c r="V572" s="14">
        <f t="shared" si="202"/>
        <v>2.093609216770344E-3</v>
      </c>
      <c r="W572" s="14">
        <f t="shared" si="202"/>
        <v>2.8576757480786822E-4</v>
      </c>
      <c r="X572" s="16">
        <f t="shared" si="194"/>
        <v>7.3262658234684341</v>
      </c>
    </row>
    <row r="573" spans="1:24" x14ac:dyDescent="0.25">
      <c r="A573" s="10">
        <v>46017</v>
      </c>
      <c r="B573" s="11">
        <v>18476.189999999999</v>
      </c>
      <c r="C573" s="12">
        <f t="shared" si="189"/>
        <v>-2.4548126936259518E-2</v>
      </c>
      <c r="D573" s="11">
        <f t="shared" si="199"/>
        <v>18620.114999999998</v>
      </c>
      <c r="E573" s="11">
        <f t="shared" si="203"/>
        <v>18810.850199999997</v>
      </c>
      <c r="F573" s="11">
        <f t="shared" si="201"/>
        <v>18892.126687499986</v>
      </c>
      <c r="G573" s="12">
        <f t="shared" si="190"/>
        <v>-2.4854455795942598E-2</v>
      </c>
      <c r="H573" s="19">
        <f t="shared" si="195"/>
        <v>0.11014812837929888</v>
      </c>
      <c r="I573" s="11">
        <f t="shared" si="196"/>
        <v>18943.400000000001</v>
      </c>
      <c r="J573" s="11">
        <f t="shared" si="197"/>
        <v>18350.34</v>
      </c>
      <c r="K573" s="12">
        <f>(B573-MAX($B$2:B573))/MAX($B$2:B573)</f>
        <v>-8.6851508636666977E-2</v>
      </c>
      <c r="L573" s="12">
        <f t="shared" si="198"/>
        <v>2.2386861456409335E-3</v>
      </c>
      <c r="M573" s="15">
        <f t="shared" si="192"/>
        <v>50.468622151787493</v>
      </c>
      <c r="N573" s="11">
        <f t="shared" si="185"/>
        <v>18740.111895550144</v>
      </c>
      <c r="O573" s="11">
        <f t="shared" si="186"/>
        <v>18706.150200383428</v>
      </c>
      <c r="P573" s="11">
        <f t="shared" si="182"/>
        <v>33.961695166715799</v>
      </c>
      <c r="Q573" s="11">
        <f t="shared" si="187"/>
        <v>5.1916434135194498</v>
      </c>
      <c r="R573" s="11">
        <f t="shared" si="183"/>
        <v>28.770051753196348</v>
      </c>
      <c r="S573" s="9">
        <f t="shared" si="184"/>
        <v>60</v>
      </c>
      <c r="T573" s="14">
        <f t="shared" si="191"/>
        <v>0</v>
      </c>
      <c r="U573" s="14">
        <f t="shared" si="188"/>
        <v>2.4548126936259518E-2</v>
      </c>
      <c r="V573" s="14">
        <f t="shared" si="202"/>
        <v>2.0777915305706545E-3</v>
      </c>
      <c r="W573" s="14">
        <f t="shared" si="202"/>
        <v>2.0392052131121196E-3</v>
      </c>
      <c r="X573" s="16">
        <f t="shared" si="194"/>
        <v>1.0189222336282902</v>
      </c>
    </row>
    <row r="574" spans="1:24" x14ac:dyDescent="0.25">
      <c r="A574" s="10">
        <v>46020</v>
      </c>
      <c r="B574" s="11">
        <v>18386.490000000002</v>
      </c>
      <c r="C574" s="12">
        <f t="shared" si="189"/>
        <v>-4.8548970323425422E-3</v>
      </c>
      <c r="D574" s="11">
        <f t="shared" si="199"/>
        <v>18617.693500000001</v>
      </c>
      <c r="E574" s="11">
        <f t="shared" si="203"/>
        <v>18809.814799999996</v>
      </c>
      <c r="F574" s="11">
        <f t="shared" si="201"/>
        <v>18897.250999999986</v>
      </c>
      <c r="G574" s="12">
        <f t="shared" si="190"/>
        <v>-4.8667203277164605E-3</v>
      </c>
      <c r="H574" s="19">
        <f t="shared" si="195"/>
        <v>0.10664543109319445</v>
      </c>
      <c r="I574" s="11">
        <f t="shared" si="196"/>
        <v>18943.400000000001</v>
      </c>
      <c r="J574" s="11">
        <f t="shared" si="197"/>
        <v>18350.34</v>
      </c>
      <c r="K574" s="12">
        <f>(B574-MAX($B$2:B574))/MAX($B$2:B574)</f>
        <v>-9.1284750537474896E-2</v>
      </c>
      <c r="L574" s="12">
        <f t="shared" si="198"/>
        <v>1.9699907467656264E-3</v>
      </c>
      <c r="M574" s="15">
        <f t="shared" si="192"/>
        <v>47.151098954470463</v>
      </c>
      <c r="N574" s="11">
        <f t="shared" si="185"/>
        <v>18685.708527003968</v>
      </c>
      <c r="O574" s="11">
        <f t="shared" si="186"/>
        <v>18682.471667021691</v>
      </c>
      <c r="P574" s="11">
        <f t="shared" si="182"/>
        <v>3.2368599822766555</v>
      </c>
      <c r="Q574" s="11">
        <f t="shared" si="187"/>
        <v>4.8006867272708913</v>
      </c>
      <c r="R574" s="11">
        <f t="shared" si="183"/>
        <v>-1.5638267449942358</v>
      </c>
      <c r="S574" s="9">
        <f t="shared" si="184"/>
        <v>20</v>
      </c>
      <c r="T574" s="14">
        <f t="shared" si="191"/>
        <v>0</v>
      </c>
      <c r="U574" s="14">
        <f t="shared" si="188"/>
        <v>4.8548970323425422E-3</v>
      </c>
      <c r="V574" s="14">
        <f t="shared" si="202"/>
        <v>2.0777915305706545E-3</v>
      </c>
      <c r="W574" s="14">
        <f t="shared" si="202"/>
        <v>2.3288746482537015E-3</v>
      </c>
      <c r="X574" s="16">
        <f t="shared" si="194"/>
        <v>0.89218693334511556</v>
      </c>
    </row>
    <row r="575" spans="1:24" x14ac:dyDescent="0.25">
      <c r="A575" s="10">
        <v>46021</v>
      </c>
      <c r="B575" s="11">
        <v>18654.740000000002</v>
      </c>
      <c r="C575" s="12">
        <f t="shared" si="189"/>
        <v>1.4589516541765102E-2</v>
      </c>
      <c r="D575" s="11">
        <f t="shared" si="199"/>
        <v>18632.913499999999</v>
      </c>
      <c r="E575" s="11">
        <f t="shared" si="203"/>
        <v>18813.752400000001</v>
      </c>
      <c r="F575" s="11">
        <f t="shared" si="201"/>
        <v>18903.769062499989</v>
      </c>
      <c r="G575" s="12">
        <f t="shared" si="190"/>
        <v>1.4484113494828699E-2</v>
      </c>
      <c r="H575" s="19">
        <f t="shared" si="195"/>
        <v>0.11704842132806785</v>
      </c>
      <c r="I575" s="11">
        <f t="shared" si="196"/>
        <v>18943.400000000001</v>
      </c>
      <c r="J575" s="11">
        <f t="shared" si="197"/>
        <v>18371.96</v>
      </c>
      <c r="K575" s="12">
        <f>(B575-MAX($B$2:B575))/MAX($B$2:B575)</f>
        <v>-7.8027034373687118E-2</v>
      </c>
      <c r="L575" s="12">
        <f t="shared" si="198"/>
        <v>1.5391934230207571E-2</v>
      </c>
      <c r="M575" s="15">
        <f t="shared" si="192"/>
        <v>55.311014736682253</v>
      </c>
      <c r="N575" s="11">
        <f t="shared" si="185"/>
        <v>18680.944138234128</v>
      </c>
      <c r="O575" s="11">
        <f t="shared" si="186"/>
        <v>18680.41746946453</v>
      </c>
      <c r="P575" s="11">
        <f t="shared" si="182"/>
        <v>0.52666876959847286</v>
      </c>
      <c r="Q575" s="11">
        <f t="shared" si="187"/>
        <v>3.9458831357364077</v>
      </c>
      <c r="R575" s="11">
        <f t="shared" si="183"/>
        <v>-3.4192143661379348</v>
      </c>
      <c r="S575" s="9">
        <f t="shared" si="184"/>
        <v>20</v>
      </c>
      <c r="T575" s="14">
        <f t="shared" si="191"/>
        <v>1.4589516541765102E-2</v>
      </c>
      <c r="U575" s="14">
        <f t="shared" si="188"/>
        <v>0</v>
      </c>
      <c r="V575" s="14">
        <f t="shared" si="202"/>
        <v>2.8824198900568865E-3</v>
      </c>
      <c r="W575" s="14">
        <f t="shared" si="202"/>
        <v>2.3288746482537015E-3</v>
      </c>
      <c r="X575" s="16">
        <f t="shared" si="194"/>
        <v>1.2376878644877942</v>
      </c>
    </row>
    <row r="576" spans="1:24" x14ac:dyDescent="0.25">
      <c r="A576" s="10">
        <v>46022</v>
      </c>
      <c r="B576" s="11">
        <v>18846.349999999999</v>
      </c>
      <c r="C576" s="12">
        <f t="shared" si="189"/>
        <v>1.0271384109346915E-2</v>
      </c>
      <c r="D576" s="11">
        <f t="shared" si="199"/>
        <v>18656.632999999998</v>
      </c>
      <c r="E576" s="11">
        <f t="shared" si="203"/>
        <v>18812.1214</v>
      </c>
      <c r="F576" s="11">
        <f t="shared" si="201"/>
        <v>18911.584749999987</v>
      </c>
      <c r="G576" s="12">
        <f t="shared" si="190"/>
        <v>1.0218991898524526E-2</v>
      </c>
      <c r="H576" s="19">
        <f t="shared" si="195"/>
        <v>0.12171886163401736</v>
      </c>
      <c r="I576" s="11">
        <f t="shared" si="196"/>
        <v>18943.400000000001</v>
      </c>
      <c r="J576" s="11">
        <f t="shared" si="197"/>
        <v>18386.27</v>
      </c>
      <c r="K576" s="12">
        <f>(B576-MAX($B$2:B576))/MAX($B$2:B576)</f>
        <v>-6.8557095905305634E-2</v>
      </c>
      <c r="L576" s="12">
        <f t="shared" si="198"/>
        <v>2.5023019894736542E-2</v>
      </c>
      <c r="M576" s="15">
        <f t="shared" si="192"/>
        <v>61.677993587805865</v>
      </c>
      <c r="N576" s="11">
        <f t="shared" si="185"/>
        <v>18706.391193890417</v>
      </c>
      <c r="O576" s="11">
        <f t="shared" si="186"/>
        <v>18692.708768022712</v>
      </c>
      <c r="P576" s="11">
        <f t="shared" si="182"/>
        <v>13.682425867704296</v>
      </c>
      <c r="Q576" s="11">
        <f t="shared" si="187"/>
        <v>5.8931916821299861</v>
      </c>
      <c r="R576" s="11">
        <f t="shared" si="183"/>
        <v>7.7892341855743101</v>
      </c>
      <c r="S576" s="9">
        <f t="shared" si="184"/>
        <v>60</v>
      </c>
      <c r="T576" s="14">
        <f t="shared" si="191"/>
        <v>1.0271384109346915E-2</v>
      </c>
      <c r="U576" s="14">
        <f t="shared" si="188"/>
        <v>0</v>
      </c>
      <c r="V576" s="14">
        <f t="shared" ref="V576:W591" si="204">AVERAGE(T563:T576)</f>
        <v>3.6160901835816661E-3</v>
      </c>
      <c r="W576" s="14">
        <f t="shared" si="204"/>
        <v>2.2467629561426943E-3</v>
      </c>
      <c r="X576" s="16">
        <f t="shared" si="194"/>
        <v>1.6094667101819549</v>
      </c>
    </row>
    <row r="577" spans="1:24" x14ac:dyDescent="0.25">
      <c r="A577" s="10">
        <v>46024</v>
      </c>
      <c r="B577" s="11">
        <v>19208.36</v>
      </c>
      <c r="C577" s="12">
        <f t="shared" si="189"/>
        <v>1.9208493952409977E-2</v>
      </c>
      <c r="D577" s="11">
        <f t="shared" si="199"/>
        <v>18697.737499999996</v>
      </c>
      <c r="E577" s="11">
        <f t="shared" si="203"/>
        <v>18809.499599999996</v>
      </c>
      <c r="F577" s="11">
        <f t="shared" si="201"/>
        <v>18920.60387499999</v>
      </c>
      <c r="G577" s="12">
        <f t="shared" si="190"/>
        <v>1.9026339741782378E-2</v>
      </c>
      <c r="H577" s="19">
        <f t="shared" si="195"/>
        <v>0.13700694309426534</v>
      </c>
      <c r="I577" s="11">
        <f t="shared" si="196"/>
        <v>19208.36</v>
      </c>
      <c r="J577" s="11">
        <f t="shared" si="197"/>
        <v>18386.490000000002</v>
      </c>
      <c r="K577" s="12">
        <f>(B577-MAX($B$2:B577))/MAX($B$2:B577)</f>
        <v>-5.0665480514987489E-2</v>
      </c>
      <c r="L577" s="12">
        <f t="shared" si="198"/>
        <v>4.0011088623440605E-2</v>
      </c>
      <c r="M577" s="15">
        <f t="shared" si="192"/>
        <v>67.780794030245204</v>
      </c>
      <c r="N577" s="11">
        <f t="shared" si="185"/>
        <v>18783.617164061121</v>
      </c>
      <c r="O577" s="11">
        <f t="shared" si="186"/>
        <v>18730.905155576587</v>
      </c>
      <c r="P577" s="11">
        <f t="shared" si="182"/>
        <v>52.712008484533726</v>
      </c>
      <c r="Q577" s="11">
        <f t="shared" si="187"/>
        <v>15.256955042610734</v>
      </c>
      <c r="R577" s="11">
        <f t="shared" si="183"/>
        <v>37.455053441922992</v>
      </c>
      <c r="S577" s="9">
        <f t="shared" si="184"/>
        <v>60</v>
      </c>
      <c r="T577" s="14">
        <f t="shared" si="191"/>
        <v>1.9208493952409977E-2</v>
      </c>
      <c r="U577" s="14">
        <f t="shared" si="188"/>
        <v>0</v>
      </c>
      <c r="V577" s="14">
        <f t="shared" si="204"/>
        <v>4.7266024280067575E-3</v>
      </c>
      <c r="W577" s="14">
        <f t="shared" si="204"/>
        <v>2.2467629561426943E-3</v>
      </c>
      <c r="X577" s="16">
        <f t="shared" si="194"/>
        <v>2.1037388101330996</v>
      </c>
    </row>
    <row r="578" spans="1:24" x14ac:dyDescent="0.25">
      <c r="A578" s="10">
        <v>46027</v>
      </c>
      <c r="B578" s="11">
        <v>19440.91</v>
      </c>
      <c r="C578" s="12">
        <f t="shared" si="189"/>
        <v>1.2106707704353736E-2</v>
      </c>
      <c r="D578" s="11">
        <f t="shared" si="199"/>
        <v>18746.313999999995</v>
      </c>
      <c r="E578" s="11">
        <f t="shared" si="203"/>
        <v>18809.260999999999</v>
      </c>
      <c r="F578" s="11">
        <f t="shared" si="201"/>
        <v>18929.402812499993</v>
      </c>
      <c r="G578" s="12">
        <f t="shared" si="190"/>
        <v>1.2034007702221607E-2</v>
      </c>
      <c r="H578" s="19">
        <f t="shared" si="195"/>
        <v>0.14123673524611519</v>
      </c>
      <c r="I578" s="11">
        <f t="shared" si="196"/>
        <v>19440.91</v>
      </c>
      <c r="J578" s="11">
        <f t="shared" si="197"/>
        <v>18386.490000000002</v>
      </c>
      <c r="K578" s="12">
        <f>(B578-MAX($B$2:B578))/MAX($B$2:B578)</f>
        <v>-3.9172164973929384E-2</v>
      </c>
      <c r="L578" s="12">
        <f t="shared" si="198"/>
        <v>5.2369154252016381E-2</v>
      </c>
      <c r="M578" s="15">
        <f t="shared" si="192"/>
        <v>71.778678639959324</v>
      </c>
      <c r="N578" s="11">
        <f t="shared" si="185"/>
        <v>18884.739138820947</v>
      </c>
      <c r="O578" s="11">
        <f t="shared" si="186"/>
        <v>18783.498107015359</v>
      </c>
      <c r="P578" s="11">
        <f t="shared" ref="P578:P641" si="205">N578-O578</f>
        <v>101.24103180558814</v>
      </c>
      <c r="Q578" s="11">
        <f t="shared" si="187"/>
        <v>32.45377039520622</v>
      </c>
      <c r="R578" s="11">
        <f t="shared" ref="R578:R641" si="206">P578-Q578</f>
        <v>68.787261410381916</v>
      </c>
      <c r="S578" s="9">
        <f t="shared" ref="S578:S641" si="207">IF(AND(D578&gt;E578,P578&gt;Q578),100,IF(OR(D578&gt;E578,P578&gt;Q578),60,20))</f>
        <v>60</v>
      </c>
      <c r="T578" s="14">
        <f t="shared" si="191"/>
        <v>1.2106707704353736E-2</v>
      </c>
      <c r="U578" s="14">
        <f t="shared" si="188"/>
        <v>0</v>
      </c>
      <c r="V578" s="14">
        <f t="shared" si="204"/>
        <v>5.5913672640320244E-3</v>
      </c>
      <c r="W578" s="14">
        <f t="shared" si="204"/>
        <v>2.1983655228840332E-3</v>
      </c>
      <c r="X578" s="16">
        <f t="shared" si="194"/>
        <v>2.543420193697687</v>
      </c>
    </row>
    <row r="579" spans="1:24" x14ac:dyDescent="0.25">
      <c r="A579" s="10">
        <v>46028</v>
      </c>
      <c r="B579" s="11">
        <v>19554.97</v>
      </c>
      <c r="C579" s="12">
        <f t="shared" si="189"/>
        <v>5.8670093118069477E-3</v>
      </c>
      <c r="D579" s="11">
        <f t="shared" si="199"/>
        <v>18800.388999999996</v>
      </c>
      <c r="E579" s="11">
        <f t="shared" si="203"/>
        <v>18812.669799999996</v>
      </c>
      <c r="F579" s="11">
        <f t="shared" si="201"/>
        <v>18938.704124999997</v>
      </c>
      <c r="G579" s="12">
        <f t="shared" si="190"/>
        <v>5.8498654355133538E-3</v>
      </c>
      <c r="H579" s="19">
        <f t="shared" si="195"/>
        <v>0.14141192819824935</v>
      </c>
      <c r="I579" s="11">
        <f t="shared" si="196"/>
        <v>19554.97</v>
      </c>
      <c r="J579" s="11">
        <f t="shared" si="197"/>
        <v>18386.490000000002</v>
      </c>
      <c r="K579" s="12">
        <f>(B579-MAX($B$2:B579))/MAX($B$2:B579)</f>
        <v>-3.353497911878809E-2</v>
      </c>
      <c r="L579" s="12">
        <f t="shared" si="198"/>
        <v>5.9390422944194388E-2</v>
      </c>
      <c r="M579" s="15">
        <f t="shared" si="192"/>
        <v>72.839193284319592</v>
      </c>
      <c r="N579" s="11">
        <f t="shared" ref="N579:N642" si="208">(B579*(2/13))+N578*(1-2/13)</f>
        <v>18987.851579002341</v>
      </c>
      <c r="O579" s="11">
        <f t="shared" ref="O579:O642" si="209">(B579*(2/27))+O578*(1-2/27)</f>
        <v>18840.644173162371</v>
      </c>
      <c r="P579" s="11">
        <f t="shared" si="205"/>
        <v>147.20740583997031</v>
      </c>
      <c r="Q579" s="11">
        <f t="shared" ref="Q579:Q642" si="210">(P579*(2/10))+Q578*(1-2/10)</f>
        <v>55.404497484159037</v>
      </c>
      <c r="R579" s="11">
        <f t="shared" si="206"/>
        <v>91.802908355811269</v>
      </c>
      <c r="S579" s="9">
        <f t="shared" si="207"/>
        <v>60</v>
      </c>
      <c r="T579" s="14">
        <f t="shared" si="191"/>
        <v>5.8670093118069477E-3</v>
      </c>
      <c r="U579" s="14">
        <f t="shared" ref="U579:U642" si="211">ABS(MIN(C579,0))</f>
        <v>0</v>
      </c>
      <c r="V579" s="14">
        <f t="shared" si="204"/>
        <v>5.8955233880623337E-3</v>
      </c>
      <c r="W579" s="14">
        <f t="shared" si="204"/>
        <v>2.1983655228840332E-3</v>
      </c>
      <c r="X579" s="16">
        <f t="shared" si="194"/>
        <v>2.6817757678113527</v>
      </c>
    </row>
    <row r="580" spans="1:24" x14ac:dyDescent="0.25">
      <c r="A580" s="10">
        <v>46029</v>
      </c>
      <c r="B580" s="11">
        <v>19445.46</v>
      </c>
      <c r="C580" s="12">
        <f t="shared" ref="C580:C643" si="212">(B580/B579)-1</f>
        <v>-5.6001108669562205E-3</v>
      </c>
      <c r="D580" s="11">
        <f t="shared" si="199"/>
        <v>18849.726999999999</v>
      </c>
      <c r="E580" s="11">
        <f t="shared" si="203"/>
        <v>18812.712599999999</v>
      </c>
      <c r="F580" s="11">
        <f t="shared" si="201"/>
        <v>18947.674437499994</v>
      </c>
      <c r="G580" s="12">
        <f t="shared" ref="G580:G643" si="213">LN(B580/B579)</f>
        <v>-5.6158502769494533E-3</v>
      </c>
      <c r="H580" s="19">
        <f t="shared" si="195"/>
        <v>0.14406654500753682</v>
      </c>
      <c r="I580" s="11">
        <f t="shared" si="196"/>
        <v>19554.97</v>
      </c>
      <c r="J580" s="11">
        <f t="shared" si="197"/>
        <v>18386.490000000002</v>
      </c>
      <c r="K580" s="12">
        <f>(B580-MAX($B$2:B580))/MAX($B$2:B580)</f>
        <v>-3.8947290384757992E-2</v>
      </c>
      <c r="L580" s="12">
        <f t="shared" si="198"/>
        <v>4.9966873775315168E-2</v>
      </c>
      <c r="M580" s="15">
        <f t="shared" si="192"/>
        <v>66.756864220789481</v>
      </c>
      <c r="N580" s="11">
        <f t="shared" si="208"/>
        <v>19058.252874540442</v>
      </c>
      <c r="O580" s="11">
        <f t="shared" si="209"/>
        <v>18885.445345520715</v>
      </c>
      <c r="P580" s="11">
        <f t="shared" si="205"/>
        <v>172.80752901972664</v>
      </c>
      <c r="Q580" s="11">
        <f t="shared" si="210"/>
        <v>78.88510379127257</v>
      </c>
      <c r="R580" s="11">
        <f t="shared" si="206"/>
        <v>93.922425228454074</v>
      </c>
      <c r="S580" s="9">
        <f t="shared" si="207"/>
        <v>100</v>
      </c>
      <c r="T580" s="14">
        <f t="shared" ref="T580:T643" si="214">MAX(C580,0)</f>
        <v>0</v>
      </c>
      <c r="U580" s="14">
        <f t="shared" si="211"/>
        <v>5.6001108669562205E-3</v>
      </c>
      <c r="V580" s="14">
        <f t="shared" si="204"/>
        <v>5.2178971385664153E-3</v>
      </c>
      <c r="W580" s="14">
        <f t="shared" si="204"/>
        <v>2.5983734419523347E-3</v>
      </c>
      <c r="X580" s="16">
        <f t="shared" si="194"/>
        <v>2.008139805587704</v>
      </c>
    </row>
    <row r="581" spans="1:24" x14ac:dyDescent="0.25">
      <c r="A581" s="10">
        <v>46030</v>
      </c>
      <c r="B581" s="11">
        <v>19388.28</v>
      </c>
      <c r="C581" s="12">
        <f t="shared" si="212"/>
        <v>-2.940532134493079E-3</v>
      </c>
      <c r="D581" s="11">
        <f t="shared" si="199"/>
        <v>18893.137499999993</v>
      </c>
      <c r="E581" s="11">
        <f t="shared" si="203"/>
        <v>18812.991600000001</v>
      </c>
      <c r="F581" s="11">
        <f t="shared" si="201"/>
        <v>18956.371624999992</v>
      </c>
      <c r="G581" s="12">
        <f t="shared" si="213"/>
        <v>-2.9448639931740224E-3</v>
      </c>
      <c r="H581" s="19">
        <f t="shared" si="195"/>
        <v>0.14536408348360433</v>
      </c>
      <c r="I581" s="11">
        <f t="shared" si="196"/>
        <v>19554.97</v>
      </c>
      <c r="J581" s="11">
        <f t="shared" si="197"/>
        <v>18386.490000000002</v>
      </c>
      <c r="K581" s="12">
        <f>(B581-MAX($B$2:B581))/MAX($B$2:B581)</f>
        <v>-4.1773296760323285E-2</v>
      </c>
      <c r="L581" s="12">
        <f t="shared" si="198"/>
        <v>4.8084252042567055E-2</v>
      </c>
      <c r="M581" s="15">
        <f t="shared" si="192"/>
        <v>64.057324472495552</v>
      </c>
      <c r="N581" s="11">
        <f t="shared" si="208"/>
        <v>19109.026278457299</v>
      </c>
      <c r="O581" s="11">
        <f t="shared" si="209"/>
        <v>18922.692356963624</v>
      </c>
      <c r="P581" s="11">
        <f t="shared" si="205"/>
        <v>186.33392149367501</v>
      </c>
      <c r="Q581" s="11">
        <f t="shared" si="210"/>
        <v>100.37486733175307</v>
      </c>
      <c r="R581" s="11">
        <f t="shared" si="206"/>
        <v>85.959054161921941</v>
      </c>
      <c r="S581" s="9">
        <f t="shared" si="207"/>
        <v>100</v>
      </c>
      <c r="T581" s="14">
        <f t="shared" si="214"/>
        <v>0</v>
      </c>
      <c r="U581" s="14">
        <f t="shared" si="211"/>
        <v>2.940532134493079E-3</v>
      </c>
      <c r="V581" s="14">
        <f t="shared" si="204"/>
        <v>5.0051734036082396E-3</v>
      </c>
      <c r="W581" s="14">
        <f t="shared" si="204"/>
        <v>2.8084114515589836E-3</v>
      </c>
      <c r="X581" s="16">
        <f t="shared" si="194"/>
        <v>1.7822080168594265</v>
      </c>
    </row>
    <row r="582" spans="1:24" x14ac:dyDescent="0.25">
      <c r="A582" s="10">
        <v>46031</v>
      </c>
      <c r="B582" s="11">
        <v>19469.47</v>
      </c>
      <c r="C582" s="12">
        <f t="shared" si="212"/>
        <v>4.1875813635867676E-3</v>
      </c>
      <c r="D582" s="11">
        <f t="shared" si="199"/>
        <v>18941.671999999999</v>
      </c>
      <c r="E582" s="11">
        <f t="shared" si="203"/>
        <v>18814.177199999998</v>
      </c>
      <c r="F582" s="11">
        <f t="shared" si="201"/>
        <v>18966.979874999994</v>
      </c>
      <c r="G582" s="12">
        <f t="shared" si="213"/>
        <v>4.1788378457110328E-3</v>
      </c>
      <c r="H582" s="19">
        <f t="shared" si="195"/>
        <v>0.14492113117690461</v>
      </c>
      <c r="I582" s="11">
        <f t="shared" si="196"/>
        <v>19554.97</v>
      </c>
      <c r="J582" s="11">
        <f t="shared" si="197"/>
        <v>18386.490000000002</v>
      </c>
      <c r="K582" s="12">
        <f>(B582-MAX($B$2:B582))/MAX($B$2:B582)</f>
        <v>-3.7760644475745613E-2</v>
      </c>
      <c r="L582" s="12">
        <f t="shared" si="198"/>
        <v>4.8633803552741162E-2</v>
      </c>
      <c r="M582" s="15">
        <f t="shared" si="192"/>
        <v>63.280273199653436</v>
      </c>
      <c r="N582" s="11">
        <f t="shared" si="208"/>
        <v>19164.479158694638</v>
      </c>
      <c r="O582" s="11">
        <f t="shared" si="209"/>
        <v>18963.19440459595</v>
      </c>
      <c r="P582" s="11">
        <f t="shared" si="205"/>
        <v>201.2847540986877</v>
      </c>
      <c r="Q582" s="11">
        <f t="shared" si="210"/>
        <v>120.55684468513999</v>
      </c>
      <c r="R582" s="11">
        <f t="shared" si="206"/>
        <v>80.727909413547707</v>
      </c>
      <c r="S582" s="9">
        <f t="shared" si="207"/>
        <v>100</v>
      </c>
      <c r="T582" s="14">
        <f t="shared" si="214"/>
        <v>4.1875813635867676E-3</v>
      </c>
      <c r="U582" s="14">
        <f t="shared" si="211"/>
        <v>0</v>
      </c>
      <c r="V582" s="14">
        <f t="shared" si="204"/>
        <v>4.8398247862239119E-3</v>
      </c>
      <c r="W582" s="14">
        <f t="shared" si="204"/>
        <v>2.8084114515589836E-3</v>
      </c>
      <c r="X582" s="16">
        <f t="shared" si="194"/>
        <v>1.7233318086412395</v>
      </c>
    </row>
    <row r="583" spans="1:24" x14ac:dyDescent="0.25">
      <c r="A583" s="10">
        <v>46034</v>
      </c>
      <c r="B583" s="11">
        <v>19516.71</v>
      </c>
      <c r="C583" s="12">
        <f t="shared" si="212"/>
        <v>2.4263629158882694E-3</v>
      </c>
      <c r="D583" s="11">
        <f t="shared" si="199"/>
        <v>18989.181999999997</v>
      </c>
      <c r="E583" s="11">
        <f t="shared" si="203"/>
        <v>18814.477400000003</v>
      </c>
      <c r="F583" s="11">
        <f t="shared" si="201"/>
        <v>18977.260812499993</v>
      </c>
      <c r="G583" s="12">
        <f t="shared" si="213"/>
        <v>2.4234240502648769E-3</v>
      </c>
      <c r="H583" s="19">
        <f t="shared" si="195"/>
        <v>0.14486335186131952</v>
      </c>
      <c r="I583" s="11">
        <f t="shared" si="196"/>
        <v>19554.97</v>
      </c>
      <c r="J583" s="11">
        <f t="shared" si="197"/>
        <v>18386.490000000002</v>
      </c>
      <c r="K583" s="12">
        <f>(B583-MAX($B$2:B583))/MAX($B$2:B583)</f>
        <v>-3.5425902587293397E-2</v>
      </c>
      <c r="L583" s="12">
        <f t="shared" si="198"/>
        <v>5.1890893196212318E-2</v>
      </c>
      <c r="M583" s="15">
        <f t="shared" si="192"/>
        <v>64.034256915304638</v>
      </c>
      <c r="N583" s="11">
        <f t="shared" si="208"/>
        <v>19218.668518895462</v>
      </c>
      <c r="O583" s="11">
        <f t="shared" si="209"/>
        <v>19004.195559811065</v>
      </c>
      <c r="P583" s="11">
        <f t="shared" si="205"/>
        <v>214.47295908439628</v>
      </c>
      <c r="Q583" s="11">
        <f t="shared" si="210"/>
        <v>139.34006756499127</v>
      </c>
      <c r="R583" s="11">
        <f t="shared" si="206"/>
        <v>75.132891519405007</v>
      </c>
      <c r="S583" s="9">
        <f t="shared" si="207"/>
        <v>100</v>
      </c>
      <c r="T583" s="14">
        <f t="shared" si="214"/>
        <v>2.4263629158882694E-3</v>
      </c>
      <c r="U583" s="14">
        <f t="shared" si="211"/>
        <v>0</v>
      </c>
      <c r="V583" s="14">
        <f t="shared" si="204"/>
        <v>5.0001619593823222E-3</v>
      </c>
      <c r="W583" s="14">
        <f t="shared" si="204"/>
        <v>2.8084114515589836E-3</v>
      </c>
      <c r="X583" s="16">
        <f t="shared" si="194"/>
        <v>1.7804235759709179</v>
      </c>
    </row>
    <row r="584" spans="1:24" x14ac:dyDescent="0.25">
      <c r="A584" s="10">
        <v>46035</v>
      </c>
      <c r="B584" s="11">
        <v>19381.89</v>
      </c>
      <c r="C584" s="12">
        <f t="shared" si="212"/>
        <v>-6.9079265921356825E-3</v>
      </c>
      <c r="D584" s="11">
        <f t="shared" si="199"/>
        <v>19030.579999999994</v>
      </c>
      <c r="E584" s="11">
        <f t="shared" si="203"/>
        <v>18811.177600000003</v>
      </c>
      <c r="F584" s="11">
        <f t="shared" si="201"/>
        <v>18985.533812499994</v>
      </c>
      <c r="G584" s="12">
        <f t="shared" si="213"/>
        <v>-6.9318967703063629E-3</v>
      </c>
      <c r="H584" s="19">
        <f t="shared" si="195"/>
        <v>0.14833975196518456</v>
      </c>
      <c r="I584" s="11">
        <f t="shared" si="196"/>
        <v>19554.97</v>
      </c>
      <c r="J584" s="11">
        <f t="shared" si="197"/>
        <v>18386.490000000002</v>
      </c>
      <c r="K584" s="12">
        <f>(B584-MAX($B$2:B584))/MAX($B$2:B584)</f>
        <v>-4.2089109644895872E-2</v>
      </c>
      <c r="L584" s="12">
        <f t="shared" si="198"/>
        <v>4.2946591059515482E-2</v>
      </c>
      <c r="M584" s="15">
        <f t="shared" si="192"/>
        <v>60.198415134410638</v>
      </c>
      <c r="N584" s="11">
        <f t="shared" si="208"/>
        <v>19243.779515988466</v>
      </c>
      <c r="O584" s="11">
        <f t="shared" si="209"/>
        <v>19032.172925750987</v>
      </c>
      <c r="P584" s="11">
        <f t="shared" si="205"/>
        <v>211.6065902374794</v>
      </c>
      <c r="Q584" s="11">
        <f t="shared" si="210"/>
        <v>153.79337209948892</v>
      </c>
      <c r="R584" s="11">
        <f t="shared" si="206"/>
        <v>57.813218137990475</v>
      </c>
      <c r="S584" s="9">
        <f t="shared" si="207"/>
        <v>100</v>
      </c>
      <c r="T584" s="14">
        <f t="shared" si="214"/>
        <v>0</v>
      </c>
      <c r="U584" s="14">
        <f t="shared" si="211"/>
        <v>6.9079265921356825E-3</v>
      </c>
      <c r="V584" s="14">
        <f t="shared" si="204"/>
        <v>4.993902163367211E-3</v>
      </c>
      <c r="W584" s="14">
        <f t="shared" si="204"/>
        <v>3.3018347795686748E-3</v>
      </c>
      <c r="X584" s="16">
        <f t="shared" si="194"/>
        <v>1.5124627659351186</v>
      </c>
    </row>
    <row r="585" spans="1:24" x14ac:dyDescent="0.25">
      <c r="A585" s="10">
        <v>46037</v>
      </c>
      <c r="B585" s="11">
        <v>19270.330000000002</v>
      </c>
      <c r="C585" s="12">
        <f t="shared" si="212"/>
        <v>-5.7558886156096056E-3</v>
      </c>
      <c r="D585" s="11">
        <f t="shared" si="199"/>
        <v>19064.907500000001</v>
      </c>
      <c r="E585" s="11">
        <f t="shared" si="203"/>
        <v>18803.853800000001</v>
      </c>
      <c r="F585" s="11">
        <f t="shared" si="201"/>
        <v>18993.313562499992</v>
      </c>
      <c r="G585" s="12">
        <f t="shared" si="213"/>
        <v>-5.7725175828437997E-3</v>
      </c>
      <c r="H585" s="19">
        <f t="shared" si="195"/>
        <v>0.1510085261757414</v>
      </c>
      <c r="I585" s="11">
        <f t="shared" si="196"/>
        <v>19554.97</v>
      </c>
      <c r="J585" s="11">
        <f t="shared" si="197"/>
        <v>18386.490000000002</v>
      </c>
      <c r="K585" s="12">
        <f>(B585-MAX($B$2:B585))/MAX($B$2:B585)</f>
        <v>-4.7602738033459276E-2</v>
      </c>
      <c r="L585" s="12">
        <f t="shared" si="198"/>
        <v>2.7198711306135159E-2</v>
      </c>
      <c r="M585" s="15">
        <f t="shared" si="192"/>
        <v>58.009794930768891</v>
      </c>
      <c r="N585" s="11">
        <f t="shared" si="208"/>
        <v>19247.864205836395</v>
      </c>
      <c r="O585" s="11">
        <f t="shared" si="209"/>
        <v>19049.814190510173</v>
      </c>
      <c r="P585" s="11">
        <f t="shared" si="205"/>
        <v>198.05001532622191</v>
      </c>
      <c r="Q585" s="11">
        <f t="shared" si="210"/>
        <v>162.64470074483552</v>
      </c>
      <c r="R585" s="11">
        <f t="shared" si="206"/>
        <v>35.405314581386392</v>
      </c>
      <c r="S585" s="9">
        <f t="shared" si="207"/>
        <v>100</v>
      </c>
      <c r="T585" s="14">
        <f t="shared" si="214"/>
        <v>0</v>
      </c>
      <c r="U585" s="14">
        <f t="shared" si="211"/>
        <v>5.7558886156096056E-3</v>
      </c>
      <c r="V585" s="14">
        <f t="shared" si="204"/>
        <v>4.993902163367211E-3</v>
      </c>
      <c r="W585" s="14">
        <f t="shared" si="204"/>
        <v>3.6148201555569032E-3</v>
      </c>
      <c r="X585" s="16">
        <f t="shared" si="194"/>
        <v>1.3815077786623231</v>
      </c>
    </row>
    <row r="586" spans="1:24" x14ac:dyDescent="0.25">
      <c r="A586" s="10">
        <v>46038</v>
      </c>
      <c r="B586" s="11">
        <v>19200.47</v>
      </c>
      <c r="C586" s="12">
        <f t="shared" si="212"/>
        <v>-3.6252622554985292E-3</v>
      </c>
      <c r="D586" s="11">
        <f t="shared" si="199"/>
        <v>19086.927000000003</v>
      </c>
      <c r="E586" s="11">
        <f t="shared" si="203"/>
        <v>18793.662999999997</v>
      </c>
      <c r="F586" s="11">
        <f t="shared" si="201"/>
        <v>18999.993999999999</v>
      </c>
      <c r="G586" s="12">
        <f t="shared" si="213"/>
        <v>-3.6318494437178744E-3</v>
      </c>
      <c r="H586" s="19">
        <f t="shared" si="195"/>
        <v>0.14937129222380358</v>
      </c>
      <c r="I586" s="11">
        <f t="shared" si="196"/>
        <v>19554.97</v>
      </c>
      <c r="J586" s="11">
        <f t="shared" si="197"/>
        <v>18386.490000000002</v>
      </c>
      <c r="K586" s="12">
        <f>(B586-MAX($B$2:B586))/MAX($B$2:B586)</f>
        <v>-5.1055427879506704E-2</v>
      </c>
      <c r="L586" s="12">
        <f t="shared" si="198"/>
        <v>2.0435853624185985E-2</v>
      </c>
      <c r="M586" s="15">
        <f t="shared" si="192"/>
        <v>55.86879929287889</v>
      </c>
      <c r="N586" s="11">
        <f t="shared" si="208"/>
        <v>19240.572789553873</v>
      </c>
      <c r="O586" s="11">
        <f t="shared" si="209"/>
        <v>19060.973880102014</v>
      </c>
      <c r="P586" s="11">
        <f t="shared" si="205"/>
        <v>179.59890945185907</v>
      </c>
      <c r="Q586" s="11">
        <f t="shared" si="210"/>
        <v>166.03554248624022</v>
      </c>
      <c r="R586" s="11">
        <f t="shared" si="206"/>
        <v>13.563366965618854</v>
      </c>
      <c r="S586" s="9">
        <f t="shared" si="207"/>
        <v>100</v>
      </c>
      <c r="T586" s="14">
        <f t="shared" si="214"/>
        <v>0</v>
      </c>
      <c r="U586" s="14">
        <f t="shared" si="211"/>
        <v>3.6252622554985292E-3</v>
      </c>
      <c r="V586" s="14">
        <f t="shared" si="204"/>
        <v>4.904075421368408E-3</v>
      </c>
      <c r="W586" s="14">
        <f t="shared" si="204"/>
        <v>3.8737674595210841E-3</v>
      </c>
      <c r="X586" s="16">
        <f t="shared" si="194"/>
        <v>1.2659705242024779</v>
      </c>
    </row>
    <row r="587" spans="1:24" x14ac:dyDescent="0.25">
      <c r="A587" s="10">
        <v>46041</v>
      </c>
      <c r="B587" s="11">
        <v>19008.060000000001</v>
      </c>
      <c r="C587" s="12">
        <f t="shared" si="212"/>
        <v>-1.0021108858272787E-2</v>
      </c>
      <c r="D587" s="11">
        <f t="shared" si="199"/>
        <v>19096.532499999998</v>
      </c>
      <c r="E587" s="11">
        <f t="shared" si="203"/>
        <v>18782.587399999997</v>
      </c>
      <c r="F587" s="11">
        <f t="shared" si="201"/>
        <v>19005.591937500001</v>
      </c>
      <c r="G587" s="12">
        <f t="shared" si="213"/>
        <v>-1.0071658159883621E-2</v>
      </c>
      <c r="H587" s="19">
        <f t="shared" si="195"/>
        <v>0.15436484980299114</v>
      </c>
      <c r="I587" s="11">
        <f t="shared" si="196"/>
        <v>19554.97</v>
      </c>
      <c r="J587" s="11">
        <f t="shared" si="197"/>
        <v>18386.490000000002</v>
      </c>
      <c r="K587" s="12">
        <f>(B587-MAX($B$2:B587))/MAX($B$2:B587)</f>
        <v>-6.0564904737193205E-2</v>
      </c>
      <c r="L587" s="12">
        <f t="shared" si="198"/>
        <v>3.6835407613144966E-3</v>
      </c>
      <c r="M587" s="15">
        <f t="shared" si="192"/>
        <v>63.358520767703915</v>
      </c>
      <c r="N587" s="11">
        <f t="shared" si="208"/>
        <v>19204.801591160969</v>
      </c>
      <c r="O587" s="11">
        <f t="shared" si="209"/>
        <v>19057.05433342779</v>
      </c>
      <c r="P587" s="11">
        <f t="shared" si="205"/>
        <v>147.74725773317914</v>
      </c>
      <c r="Q587" s="11">
        <f t="shared" si="210"/>
        <v>162.377885535628</v>
      </c>
      <c r="R587" s="11">
        <f t="shared" si="206"/>
        <v>-14.630627802448856</v>
      </c>
      <c r="S587" s="9">
        <f t="shared" si="207"/>
        <v>60</v>
      </c>
      <c r="T587" s="14">
        <f t="shared" si="214"/>
        <v>0</v>
      </c>
      <c r="U587" s="14">
        <f t="shared" si="211"/>
        <v>1.0021108858272787E-2</v>
      </c>
      <c r="V587" s="14">
        <f t="shared" si="204"/>
        <v>4.904075421368408E-3</v>
      </c>
      <c r="W587" s="14">
        <f t="shared" si="204"/>
        <v>2.8361233110934603E-3</v>
      </c>
      <c r="X587" s="16">
        <f t="shared" si="194"/>
        <v>1.7291474606150512</v>
      </c>
    </row>
    <row r="588" spans="1:24" x14ac:dyDescent="0.25">
      <c r="A588" s="10">
        <v>46042</v>
      </c>
      <c r="B588" s="11">
        <v>18882.11</v>
      </c>
      <c r="C588" s="12">
        <f t="shared" si="212"/>
        <v>-6.6261364915725096E-3</v>
      </c>
      <c r="D588" s="11">
        <f t="shared" si="199"/>
        <v>19093.723000000002</v>
      </c>
      <c r="E588" s="11">
        <f t="shared" si="203"/>
        <v>18772.1054</v>
      </c>
      <c r="F588" s="11">
        <f t="shared" si="201"/>
        <v>19010.688249999999</v>
      </c>
      <c r="G588" s="12">
        <f t="shared" si="213"/>
        <v>-6.6481867934912045E-3</v>
      </c>
      <c r="H588" s="19">
        <f t="shared" si="195"/>
        <v>0.15466132087234996</v>
      </c>
      <c r="I588" s="11">
        <f t="shared" si="196"/>
        <v>19554.97</v>
      </c>
      <c r="J588" s="11">
        <f t="shared" si="197"/>
        <v>18386.490000000002</v>
      </c>
      <c r="K588" s="12">
        <f>(B588-MAX($B$2:B588))/MAX($B$2:B588)</f>
        <v>-6.6789729903378031E-2</v>
      </c>
      <c r="L588" s="12">
        <f t="shared" si="198"/>
        <v>-3.1480740417723085E-3</v>
      </c>
      <c r="M588" s="15">
        <f t="shared" si="192"/>
        <v>62.339552148234688</v>
      </c>
      <c r="N588" s="11">
        <f t="shared" si="208"/>
        <v>19155.156730982359</v>
      </c>
      <c r="O588" s="11">
        <f t="shared" si="209"/>
        <v>19044.095493914621</v>
      </c>
      <c r="P588" s="11">
        <f t="shared" si="205"/>
        <v>111.06123706773724</v>
      </c>
      <c r="Q588" s="11">
        <f t="shared" si="210"/>
        <v>152.11455584204987</v>
      </c>
      <c r="R588" s="11">
        <f t="shared" si="206"/>
        <v>-41.053318774312629</v>
      </c>
      <c r="S588" s="9">
        <f t="shared" si="207"/>
        <v>60</v>
      </c>
      <c r="T588" s="14">
        <f t="shared" si="214"/>
        <v>0</v>
      </c>
      <c r="U588" s="14">
        <f t="shared" si="211"/>
        <v>6.6261364915725096E-3</v>
      </c>
      <c r="V588" s="14">
        <f t="shared" si="204"/>
        <v>4.904075421368408E-3</v>
      </c>
      <c r="W588" s="14">
        <f t="shared" si="204"/>
        <v>2.9626404153241725E-3</v>
      </c>
      <c r="X588" s="16">
        <f t="shared" si="194"/>
        <v>1.6553056510004449</v>
      </c>
    </row>
    <row r="589" spans="1:24" x14ac:dyDescent="0.25">
      <c r="A589" s="10">
        <v>46043</v>
      </c>
      <c r="B589" s="11">
        <v>18650.080000000002</v>
      </c>
      <c r="C589" s="12">
        <f t="shared" si="212"/>
        <v>-1.2288351248880502E-2</v>
      </c>
      <c r="D589" s="11">
        <f t="shared" si="199"/>
        <v>19079.140000000003</v>
      </c>
      <c r="E589" s="11">
        <f t="shared" si="203"/>
        <v>18759.738999999998</v>
      </c>
      <c r="F589" s="11">
        <f t="shared" si="201"/>
        <v>19014.4375</v>
      </c>
      <c r="G589" s="12">
        <f t="shared" si="213"/>
        <v>-1.2364477322557372E-2</v>
      </c>
      <c r="H589" s="19">
        <f t="shared" si="195"/>
        <v>0.16060365319393066</v>
      </c>
      <c r="I589" s="11">
        <f t="shared" si="196"/>
        <v>19554.97</v>
      </c>
      <c r="J589" s="11">
        <f t="shared" si="197"/>
        <v>18386.490000000002</v>
      </c>
      <c r="K589" s="12">
        <f>(B589-MAX($B$2:B589))/MAX($B$2:B589)</f>
        <v>-7.8257345491387964E-2</v>
      </c>
      <c r="L589" s="12">
        <f t="shared" si="198"/>
        <v>-1.5484020819916178E-2</v>
      </c>
      <c r="M589" s="15">
        <f t="shared" si="192"/>
        <v>50.140134604611745</v>
      </c>
      <c r="N589" s="11">
        <f t="shared" si="208"/>
        <v>19077.452618523534</v>
      </c>
      <c r="O589" s="11">
        <f t="shared" si="209"/>
        <v>19014.909161032057</v>
      </c>
      <c r="P589" s="11">
        <f t="shared" si="205"/>
        <v>62.543457491476147</v>
      </c>
      <c r="Q589" s="11">
        <f t="shared" si="210"/>
        <v>134.20033617193513</v>
      </c>
      <c r="R589" s="11">
        <f t="shared" si="206"/>
        <v>-71.656878680458988</v>
      </c>
      <c r="S589" s="9">
        <f t="shared" si="207"/>
        <v>60</v>
      </c>
      <c r="T589" s="14">
        <f t="shared" si="214"/>
        <v>0</v>
      </c>
      <c r="U589" s="14">
        <f t="shared" si="211"/>
        <v>1.2288351248880502E-2</v>
      </c>
      <c r="V589" s="14">
        <f t="shared" si="204"/>
        <v>3.861967096956615E-3</v>
      </c>
      <c r="W589" s="14">
        <f t="shared" si="204"/>
        <v>3.8403797902442083E-3</v>
      </c>
      <c r="X589" s="16">
        <f t="shared" si="194"/>
        <v>1.0056211385049065</v>
      </c>
    </row>
    <row r="590" spans="1:24" x14ac:dyDescent="0.25">
      <c r="A590" s="10">
        <v>46044</v>
      </c>
      <c r="B590" s="11">
        <v>18792.09</v>
      </c>
      <c r="C590" s="12">
        <f t="shared" si="212"/>
        <v>7.6144445492993817E-3</v>
      </c>
      <c r="D590" s="11">
        <f t="shared" si="199"/>
        <v>19071.574500000002</v>
      </c>
      <c r="E590" s="11">
        <f t="shared" si="203"/>
        <v>18754.299800000001</v>
      </c>
      <c r="F590" s="11">
        <f t="shared" si="201"/>
        <v>19019.409437499999</v>
      </c>
      <c r="G590" s="12">
        <f t="shared" si="213"/>
        <v>7.585600992313252E-3</v>
      </c>
      <c r="H590" s="19">
        <f t="shared" si="195"/>
        <v>0.16332068358399313</v>
      </c>
      <c r="I590" s="11">
        <f t="shared" si="196"/>
        <v>19554.97</v>
      </c>
      <c r="J590" s="11">
        <f t="shared" si="197"/>
        <v>18386.490000000002</v>
      </c>
      <c r="K590" s="12">
        <f>(B590-MAX($B$2:B590))/MAX($B$2:B590)</f>
        <v>-7.1238787159908071E-2</v>
      </c>
      <c r="L590" s="12">
        <f t="shared" si="198"/>
        <v>-6.6224850494545073E-3</v>
      </c>
      <c r="M590" s="15">
        <f t="shared" si="192"/>
        <v>48.880581535984561</v>
      </c>
      <c r="N590" s="11">
        <f t="shared" si="208"/>
        <v>19033.550677212221</v>
      </c>
      <c r="O590" s="11">
        <f t="shared" si="209"/>
        <v>18998.404037992648</v>
      </c>
      <c r="P590" s="11">
        <f t="shared" si="205"/>
        <v>35.146639219572535</v>
      </c>
      <c r="Q590" s="11">
        <f t="shared" si="210"/>
        <v>114.38959678146261</v>
      </c>
      <c r="R590" s="11">
        <f t="shared" si="206"/>
        <v>-79.24295756189008</v>
      </c>
      <c r="S590" s="9">
        <f t="shared" si="207"/>
        <v>60</v>
      </c>
      <c r="T590" s="14">
        <f t="shared" si="214"/>
        <v>7.6144445492993817E-3</v>
      </c>
      <c r="U590" s="14">
        <f t="shared" si="211"/>
        <v>0</v>
      </c>
      <c r="V590" s="14">
        <f t="shared" si="204"/>
        <v>3.672185699810363E-3</v>
      </c>
      <c r="W590" s="14">
        <f t="shared" si="204"/>
        <v>3.8403797902442083E-3</v>
      </c>
      <c r="X590" s="16">
        <f t="shared" si="194"/>
        <v>0.95620378722408861</v>
      </c>
    </row>
    <row r="591" spans="1:24" x14ac:dyDescent="0.25">
      <c r="A591" s="10">
        <v>46045</v>
      </c>
      <c r="B591" s="11">
        <v>18643.560000000001</v>
      </c>
      <c r="C591" s="12">
        <f t="shared" si="212"/>
        <v>-7.9038574208616375E-3</v>
      </c>
      <c r="D591" s="11">
        <f t="shared" si="199"/>
        <v>19057.884000000002</v>
      </c>
      <c r="E591" s="11">
        <f t="shared" si="203"/>
        <v>18754.674199999998</v>
      </c>
      <c r="F591" s="11">
        <f t="shared" si="201"/>
        <v>19023.925999999999</v>
      </c>
      <c r="G591" s="12">
        <f t="shared" si="213"/>
        <v>-7.9352584709841707E-3</v>
      </c>
      <c r="H591" s="19">
        <f t="shared" si="195"/>
        <v>0.16548537706489849</v>
      </c>
      <c r="I591" s="11">
        <f t="shared" si="196"/>
        <v>19554.97</v>
      </c>
      <c r="J591" s="11">
        <f t="shared" si="197"/>
        <v>18386.490000000002</v>
      </c>
      <c r="K591" s="12">
        <f>(B591-MAX($B$2:B591))/MAX($B$2:B591)</f>
        <v>-7.8579583364222633E-2</v>
      </c>
      <c r="L591" s="12">
        <f t="shared" si="198"/>
        <v>-1.5711814904683652E-2</v>
      </c>
      <c r="M591" s="15">
        <f t="shared" si="192"/>
        <v>34.30453460525861</v>
      </c>
      <c r="N591" s="11">
        <f t="shared" si="208"/>
        <v>18973.552111487264</v>
      </c>
      <c r="O591" s="11">
        <f t="shared" si="209"/>
        <v>18972.119294437634</v>
      </c>
      <c r="P591" s="11">
        <f t="shared" si="205"/>
        <v>1.4328170496301027</v>
      </c>
      <c r="Q591" s="11">
        <f t="shared" si="210"/>
        <v>91.798240835096109</v>
      </c>
      <c r="R591" s="11">
        <f t="shared" si="206"/>
        <v>-90.365423785466007</v>
      </c>
      <c r="S591" s="9">
        <f t="shared" si="207"/>
        <v>60</v>
      </c>
      <c r="T591" s="14">
        <f t="shared" si="214"/>
        <v>0</v>
      </c>
      <c r="U591" s="14">
        <f t="shared" si="211"/>
        <v>7.9038574208616375E-3</v>
      </c>
      <c r="V591" s="14">
        <f t="shared" si="204"/>
        <v>2.3001504174953646E-3</v>
      </c>
      <c r="W591" s="14">
        <f t="shared" si="204"/>
        <v>4.4049410345914685E-3</v>
      </c>
      <c r="X591" s="16">
        <f t="shared" si="194"/>
        <v>0.52217507554188847</v>
      </c>
    </row>
    <row r="592" spans="1:24" x14ac:dyDescent="0.25">
      <c r="A592" s="10">
        <v>46048</v>
      </c>
      <c r="B592" s="11">
        <v>18384.990000000002</v>
      </c>
      <c r="C592" s="12">
        <f t="shared" si="212"/>
        <v>-1.3869132290184938E-2</v>
      </c>
      <c r="D592" s="11">
        <f t="shared" si="199"/>
        <v>19030.075499999999</v>
      </c>
      <c r="E592" s="11">
        <f t="shared" si="203"/>
        <v>18748.994799999997</v>
      </c>
      <c r="F592" s="11">
        <f t="shared" si="201"/>
        <v>19026.481500000002</v>
      </c>
      <c r="G592" s="12">
        <f t="shared" si="213"/>
        <v>-1.3966207314777502E-2</v>
      </c>
      <c r="H592" s="19">
        <f t="shared" si="195"/>
        <v>0.17176569133460187</v>
      </c>
      <c r="I592" s="11">
        <f t="shared" si="196"/>
        <v>19554.97</v>
      </c>
      <c r="J592" s="11">
        <f t="shared" si="197"/>
        <v>18384.990000000002</v>
      </c>
      <c r="K592" s="12">
        <f>(B592-MAX($B$2:B592))/MAX($B$2:B592)</f>
        <v>-9.1358885017421523E-2</v>
      </c>
      <c r="L592" s="12">
        <f t="shared" si="198"/>
        <v>-4.9360826014452908E-3</v>
      </c>
      <c r="M592" s="15">
        <f t="shared" ref="M592:M655" si="215">IF(X592=0,100,100-(100/(1+X592)))</f>
        <v>21.012882600786483</v>
      </c>
      <c r="N592" s="11">
        <f t="shared" si="208"/>
        <v>18883.004094335378</v>
      </c>
      <c r="O592" s="11">
        <f t="shared" si="209"/>
        <v>18928.628235590404</v>
      </c>
      <c r="P592" s="11">
        <f t="shared" si="205"/>
        <v>-45.624141255026188</v>
      </c>
      <c r="Q592" s="11">
        <f t="shared" si="210"/>
        <v>64.313764417071653</v>
      </c>
      <c r="R592" s="11">
        <f t="shared" si="206"/>
        <v>-109.93790567209784</v>
      </c>
      <c r="S592" s="9">
        <f t="shared" si="207"/>
        <v>60</v>
      </c>
      <c r="T592" s="14">
        <f t="shared" si="214"/>
        <v>0</v>
      </c>
      <c r="U592" s="14">
        <f t="shared" si="211"/>
        <v>1.3869132290184938E-2</v>
      </c>
      <c r="V592" s="14">
        <f t="shared" ref="V592:W607" si="216">AVERAGE(T579:T592)</f>
        <v>1.4353855814700975E-3</v>
      </c>
      <c r="W592" s="14">
        <f t="shared" si="216"/>
        <v>5.3955933410332491E-3</v>
      </c>
      <c r="X592" s="16">
        <f t="shared" ref="X592:X655" si="217">IF(W592=0,0,V592/W592)</f>
        <v>0.2660292373322603</v>
      </c>
    </row>
    <row r="593" spans="1:24" x14ac:dyDescent="0.25">
      <c r="A593" s="10">
        <v>46049</v>
      </c>
      <c r="B593" s="11">
        <v>18616.29</v>
      </c>
      <c r="C593" s="12">
        <f t="shared" si="212"/>
        <v>1.2580915192230036E-2</v>
      </c>
      <c r="D593" s="11">
        <f t="shared" si="199"/>
        <v>19037.080500000004</v>
      </c>
      <c r="E593" s="11">
        <f t="shared" si="203"/>
        <v>18746.231999999996</v>
      </c>
      <c r="F593" s="11">
        <f t="shared" si="201"/>
        <v>19029.125812500002</v>
      </c>
      <c r="G593" s="12">
        <f t="shared" si="213"/>
        <v>1.2502433044664168E-2</v>
      </c>
      <c r="H593" s="19">
        <f t="shared" si="195"/>
        <v>0.15470801201949089</v>
      </c>
      <c r="I593" s="11">
        <f t="shared" si="196"/>
        <v>19554.97</v>
      </c>
      <c r="J593" s="11">
        <f t="shared" si="197"/>
        <v>18384.990000000002</v>
      </c>
      <c r="K593" s="12">
        <f>(B593-MAX($B$2:B593))/MAX($B$2:B593)</f>
        <v>-7.9927348209652263E-2</v>
      </c>
      <c r="L593" s="12">
        <f t="shared" si="198"/>
        <v>1.2498307180978996E-2</v>
      </c>
      <c r="M593" s="15">
        <f t="shared" si="215"/>
        <v>26.19436234283944</v>
      </c>
      <c r="N593" s="11">
        <f t="shared" si="208"/>
        <v>18841.97115674532</v>
      </c>
      <c r="O593" s="11">
        <f t="shared" si="209"/>
        <v>18905.492069991116</v>
      </c>
      <c r="P593" s="11">
        <f t="shared" si="205"/>
        <v>-63.520913245796692</v>
      </c>
      <c r="Q593" s="11">
        <f t="shared" si="210"/>
        <v>38.746828884497987</v>
      </c>
      <c r="R593" s="11">
        <f t="shared" si="206"/>
        <v>-102.26774213029468</v>
      </c>
      <c r="S593" s="9">
        <f t="shared" si="207"/>
        <v>60</v>
      </c>
      <c r="T593" s="14">
        <f t="shared" si="214"/>
        <v>1.2580915192230036E-2</v>
      </c>
      <c r="U593" s="14">
        <f t="shared" si="211"/>
        <v>0</v>
      </c>
      <c r="V593" s="14">
        <f t="shared" si="216"/>
        <v>1.9149502872146038E-3</v>
      </c>
      <c r="W593" s="14">
        <f t="shared" si="216"/>
        <v>5.3955933410332491E-3</v>
      </c>
      <c r="X593" s="16">
        <f t="shared" si="217"/>
        <v>0.35491004717710867</v>
      </c>
    </row>
    <row r="594" spans="1:24" x14ac:dyDescent="0.25">
      <c r="A594" s="10">
        <v>46050</v>
      </c>
      <c r="B594" s="11">
        <v>18963.82</v>
      </c>
      <c r="C594" s="12">
        <f t="shared" si="212"/>
        <v>1.8668058995642944E-2</v>
      </c>
      <c r="D594" s="11">
        <f t="shared" si="199"/>
        <v>19065.947000000004</v>
      </c>
      <c r="E594" s="11">
        <f t="shared" si="203"/>
        <v>18752.597799999996</v>
      </c>
      <c r="F594" s="11">
        <f t="shared" si="201"/>
        <v>19033.114187499999</v>
      </c>
      <c r="G594" s="12">
        <f t="shared" si="213"/>
        <v>1.8495949450324789E-2</v>
      </c>
      <c r="H594" s="19">
        <f t="shared" si="195"/>
        <v>0.16601724125312903</v>
      </c>
      <c r="I594" s="11">
        <f t="shared" si="196"/>
        <v>19554.97</v>
      </c>
      <c r="J594" s="11">
        <f t="shared" si="197"/>
        <v>18384.990000000002</v>
      </c>
      <c r="K594" s="12">
        <f>(B594-MAX($B$2:B594))/MAX($B$2:B594)</f>
        <v>-6.2751377665752353E-2</v>
      </c>
      <c r="L594" s="12">
        <f t="shared" si="198"/>
        <v>1.656844319459827E-2</v>
      </c>
      <c r="M594" s="15">
        <f t="shared" si="215"/>
        <v>39.403147583015269</v>
      </c>
      <c r="N594" s="11">
        <f t="shared" si="208"/>
        <v>18860.717132630656</v>
      </c>
      <c r="O594" s="11">
        <f t="shared" si="209"/>
        <v>18909.812657399183</v>
      </c>
      <c r="P594" s="11">
        <f t="shared" si="205"/>
        <v>-49.095524768526957</v>
      </c>
      <c r="Q594" s="11">
        <f t="shared" si="210"/>
        <v>21.178358153893001</v>
      </c>
      <c r="R594" s="11">
        <f t="shared" si="206"/>
        <v>-70.273882922419958</v>
      </c>
      <c r="S594" s="9">
        <f t="shared" si="207"/>
        <v>60</v>
      </c>
      <c r="T594" s="14">
        <f t="shared" si="214"/>
        <v>1.8668058995642944E-2</v>
      </c>
      <c r="U594" s="14">
        <f t="shared" si="211"/>
        <v>0</v>
      </c>
      <c r="V594" s="14">
        <f t="shared" si="216"/>
        <v>3.2483830726176715E-3</v>
      </c>
      <c r="W594" s="14">
        <f t="shared" si="216"/>
        <v>4.9955854219649477E-3</v>
      </c>
      <c r="X594" s="16">
        <f t="shared" si="217"/>
        <v>0.65025073104244169</v>
      </c>
    </row>
    <row r="595" spans="1:24" x14ac:dyDescent="0.25">
      <c r="A595" s="10">
        <v>46051</v>
      </c>
      <c r="B595" s="11">
        <v>18955.53</v>
      </c>
      <c r="C595" s="12">
        <f t="shared" si="212"/>
        <v>-4.371482117000447E-4</v>
      </c>
      <c r="D595" s="11">
        <f t="shared" si="199"/>
        <v>19080.986499999999</v>
      </c>
      <c r="E595" s="11">
        <f t="shared" si="203"/>
        <v>18761.786199999995</v>
      </c>
      <c r="F595" s="11">
        <f t="shared" si="201"/>
        <v>19035.033187500001</v>
      </c>
      <c r="G595" s="12">
        <f t="shared" si="213"/>
        <v>-4.3724378883480496E-4</v>
      </c>
      <c r="H595" s="19">
        <f t="shared" si="195"/>
        <v>0.15888988309270119</v>
      </c>
      <c r="I595" s="11">
        <f t="shared" si="196"/>
        <v>19554.97</v>
      </c>
      <c r="J595" s="11">
        <f t="shared" si="197"/>
        <v>18384.990000000002</v>
      </c>
      <c r="K595" s="12">
        <f>(B595-MAX($B$2:B595))/MAX($B$2:B595)</f>
        <v>-6.3161094224924066E-2</v>
      </c>
      <c r="L595" s="12">
        <f t="shared" si="198"/>
        <v>5.7931641935971001E-3</v>
      </c>
      <c r="M595" s="15">
        <f t="shared" si="215"/>
        <v>40.276757591551288</v>
      </c>
      <c r="N595" s="11">
        <f t="shared" si="208"/>
        <v>18875.303727610553</v>
      </c>
      <c r="O595" s="11">
        <f t="shared" si="209"/>
        <v>18913.199127221465</v>
      </c>
      <c r="P595" s="11">
        <f t="shared" si="205"/>
        <v>-37.895399610912136</v>
      </c>
      <c r="Q595" s="11">
        <f t="shared" si="210"/>
        <v>9.3636066009319734</v>
      </c>
      <c r="R595" s="11">
        <f t="shared" si="206"/>
        <v>-47.25900621184411</v>
      </c>
      <c r="S595" s="9">
        <f t="shared" si="207"/>
        <v>60</v>
      </c>
      <c r="T595" s="14">
        <f t="shared" si="214"/>
        <v>0</v>
      </c>
      <c r="U595" s="14">
        <f t="shared" si="211"/>
        <v>4.371482117000447E-4</v>
      </c>
      <c r="V595" s="14">
        <f t="shared" si="216"/>
        <v>3.2483830726176715E-3</v>
      </c>
      <c r="W595" s="14">
        <f t="shared" si="216"/>
        <v>4.8167722846225881E-3</v>
      </c>
      <c r="X595" s="16">
        <f t="shared" si="217"/>
        <v>0.67439000240639246</v>
      </c>
    </row>
    <row r="596" spans="1:24" x14ac:dyDescent="0.25">
      <c r="A596" s="10">
        <v>46052</v>
      </c>
      <c r="B596" s="11">
        <v>18666.95</v>
      </c>
      <c r="C596" s="12">
        <f t="shared" si="212"/>
        <v>-1.522405335013044E-2</v>
      </c>
      <c r="D596" s="11">
        <f t="shared" si="199"/>
        <v>19072.016500000002</v>
      </c>
      <c r="E596" s="11">
        <f t="shared" si="203"/>
        <v>18770.970199999996</v>
      </c>
      <c r="F596" s="11">
        <f t="shared" si="201"/>
        <v>19034.886875000004</v>
      </c>
      <c r="G596" s="12">
        <f t="shared" si="213"/>
        <v>-1.5341129014291754E-2</v>
      </c>
      <c r="H596" s="19">
        <f t="shared" si="195"/>
        <v>0.16459478702954139</v>
      </c>
      <c r="I596" s="11">
        <f t="shared" si="196"/>
        <v>19554.97</v>
      </c>
      <c r="J596" s="11">
        <f t="shared" si="197"/>
        <v>18384.990000000002</v>
      </c>
      <c r="K596" s="12">
        <f>(B596-MAX($B$2:B596))/MAX($B$2:B596)</f>
        <v>-7.7423579706921652E-2</v>
      </c>
      <c r="L596" s="12">
        <f t="shared" si="198"/>
        <v>-2.8186164774087974E-2</v>
      </c>
      <c r="M596" s="15">
        <f t="shared" si="215"/>
        <v>33.312006751545212</v>
      </c>
      <c r="N596" s="11">
        <f t="shared" si="208"/>
        <v>18843.24930797816</v>
      </c>
      <c r="O596" s="11">
        <f t="shared" si="209"/>
        <v>18894.958451130988</v>
      </c>
      <c r="P596" s="11">
        <f t="shared" si="205"/>
        <v>-51.709143152827892</v>
      </c>
      <c r="Q596" s="11">
        <f t="shared" si="210"/>
        <v>-2.8509433498200005</v>
      </c>
      <c r="R596" s="11">
        <f t="shared" si="206"/>
        <v>-48.858199803007892</v>
      </c>
      <c r="S596" s="9">
        <f t="shared" si="207"/>
        <v>60</v>
      </c>
      <c r="T596" s="14">
        <f t="shared" si="214"/>
        <v>0</v>
      </c>
      <c r="U596" s="14">
        <f t="shared" si="211"/>
        <v>1.522405335013044E-2</v>
      </c>
      <c r="V596" s="14">
        <f t="shared" si="216"/>
        <v>2.9492701180757592E-3</v>
      </c>
      <c r="W596" s="14">
        <f t="shared" si="216"/>
        <v>5.9042046667747627E-3</v>
      </c>
      <c r="X596" s="16">
        <f t="shared" si="217"/>
        <v>0.49952030536347086</v>
      </c>
    </row>
    <row r="597" spans="1:24" x14ac:dyDescent="0.25">
      <c r="A597" s="10">
        <v>46055</v>
      </c>
      <c r="B597" s="11">
        <v>18524.060000000001</v>
      </c>
      <c r="C597" s="12">
        <f t="shared" si="212"/>
        <v>-7.6547052410811389E-3</v>
      </c>
      <c r="D597" s="11">
        <f t="shared" si="199"/>
        <v>19037.801500000001</v>
      </c>
      <c r="E597" s="11">
        <f t="shared" si="203"/>
        <v>18779.192599999998</v>
      </c>
      <c r="F597" s="11">
        <f t="shared" si="201"/>
        <v>19034.646812500003</v>
      </c>
      <c r="G597" s="12">
        <f t="shared" si="213"/>
        <v>-7.6841528687711025E-3</v>
      </c>
      <c r="H597" s="19">
        <f t="shared" ref="H597:H660" si="218">STDEV(G578:G597)*SQRT(252)</f>
        <v>0.14920229466920407</v>
      </c>
      <c r="I597" s="11">
        <f t="shared" ref="I597:I660" si="219">MAX(B578:B597)</f>
        <v>19554.97</v>
      </c>
      <c r="J597" s="11">
        <f t="shared" ref="J597:J660" si="220">MIN(B578:B597)</f>
        <v>18384.990000000002</v>
      </c>
      <c r="K597" s="12">
        <f>(B597-MAX($B$2:B597))/MAX($B$2:B597)</f>
        <v>-8.4485630266636955E-2</v>
      </c>
      <c r="L597" s="12">
        <f t="shared" ref="L597:L660" si="221">(B597/B578)-1</f>
        <v>-4.716085821085525E-2</v>
      </c>
      <c r="M597" s="15">
        <f t="shared" si="215"/>
        <v>30.085403711472878</v>
      </c>
      <c r="N597" s="11">
        <f t="shared" si="208"/>
        <v>18794.143260596906</v>
      </c>
      <c r="O597" s="11">
        <f t="shared" si="209"/>
        <v>18867.484491787953</v>
      </c>
      <c r="P597" s="11">
        <f t="shared" si="205"/>
        <v>-73.341231191046973</v>
      </c>
      <c r="Q597" s="11">
        <f t="shared" si="210"/>
        <v>-16.949000918065394</v>
      </c>
      <c r="R597" s="11">
        <f t="shared" si="206"/>
        <v>-56.392230272981578</v>
      </c>
      <c r="S597" s="9">
        <f t="shared" si="207"/>
        <v>60</v>
      </c>
      <c r="T597" s="14">
        <f t="shared" si="214"/>
        <v>0</v>
      </c>
      <c r="U597" s="14">
        <f t="shared" si="211"/>
        <v>7.6547052410811389E-3</v>
      </c>
      <c r="V597" s="14">
        <f t="shared" si="216"/>
        <v>2.7759584812265974E-3</v>
      </c>
      <c r="W597" s="14">
        <f t="shared" si="216"/>
        <v>6.4509693268519864E-3</v>
      </c>
      <c r="X597" s="16">
        <f t="shared" si="217"/>
        <v>0.43031649052674065</v>
      </c>
    </row>
    <row r="598" spans="1:24" x14ac:dyDescent="0.25">
      <c r="A598" s="10">
        <v>46056</v>
      </c>
      <c r="B598" s="11">
        <v>18439.79</v>
      </c>
      <c r="C598" s="12">
        <f t="shared" si="212"/>
        <v>-4.5492186917986954E-3</v>
      </c>
      <c r="D598" s="11">
        <f t="shared" ref="D598:D661" si="222">AVERAGE(B579:B598)</f>
        <v>18987.745499999997</v>
      </c>
      <c r="E598" s="11">
        <f t="shared" si="203"/>
        <v>18783.882799999999</v>
      </c>
      <c r="F598" s="11">
        <f t="shared" si="201"/>
        <v>19033.374687500003</v>
      </c>
      <c r="G598" s="12">
        <f t="shared" si="213"/>
        <v>-4.5595978772369795E-3</v>
      </c>
      <c r="H598" s="19">
        <f t="shared" si="218"/>
        <v>0.14012627693539476</v>
      </c>
      <c r="I598" s="11">
        <f t="shared" si="219"/>
        <v>19554.97</v>
      </c>
      <c r="J598" s="11">
        <f t="shared" si="220"/>
        <v>18384.990000000002</v>
      </c>
      <c r="K598" s="12">
        <f>(B598-MAX($B$2:B598))/MAX($B$2:B598)</f>
        <v>-8.8650505350038253E-2</v>
      </c>
      <c r="L598" s="12">
        <f t="shared" si="221"/>
        <v>-5.7027957598503098E-2</v>
      </c>
      <c r="M598" s="15">
        <f t="shared" si="215"/>
        <v>30.644965618703836</v>
      </c>
      <c r="N598" s="11">
        <f t="shared" si="208"/>
        <v>18739.627374351228</v>
      </c>
      <c r="O598" s="11">
        <f t="shared" si="209"/>
        <v>18835.803418322179</v>
      </c>
      <c r="P598" s="11">
        <f t="shared" si="205"/>
        <v>-96.176043970950559</v>
      </c>
      <c r="Q598" s="11">
        <f t="shared" si="210"/>
        <v>-32.794409528642433</v>
      </c>
      <c r="R598" s="11">
        <f t="shared" si="206"/>
        <v>-63.381634442308126</v>
      </c>
      <c r="S598" s="9">
        <f t="shared" si="207"/>
        <v>60</v>
      </c>
      <c r="T598" s="14">
        <f t="shared" si="214"/>
        <v>0</v>
      </c>
      <c r="U598" s="14">
        <f t="shared" si="211"/>
        <v>4.5492186917986954E-3</v>
      </c>
      <c r="V598" s="14">
        <f t="shared" si="216"/>
        <v>2.7759584812265974E-3</v>
      </c>
      <c r="W598" s="14">
        <f t="shared" si="216"/>
        <v>6.2824901911136309E-3</v>
      </c>
      <c r="X598" s="16">
        <f t="shared" si="217"/>
        <v>0.44185639718993852</v>
      </c>
    </row>
    <row r="599" spans="1:24" x14ac:dyDescent="0.25">
      <c r="A599" s="10">
        <v>46057</v>
      </c>
      <c r="B599" s="11">
        <v>18450.759999999998</v>
      </c>
      <c r="C599" s="12">
        <f t="shared" si="212"/>
        <v>5.949091611128221E-4</v>
      </c>
      <c r="D599" s="11">
        <f t="shared" si="222"/>
        <v>18932.535</v>
      </c>
      <c r="E599" s="11">
        <f t="shared" si="203"/>
        <v>18786.146799999999</v>
      </c>
      <c r="F599" s="11">
        <f t="shared" si="201"/>
        <v>19032.092562500002</v>
      </c>
      <c r="G599" s="12">
        <f t="shared" si="213"/>
        <v>5.9473227280933876E-4</v>
      </c>
      <c r="H599" s="19">
        <f t="shared" si="218"/>
        <v>0.13711082950333209</v>
      </c>
      <c r="I599" s="11">
        <f t="shared" si="219"/>
        <v>19516.71</v>
      </c>
      <c r="J599" s="11">
        <f t="shared" si="220"/>
        <v>18384.990000000002</v>
      </c>
      <c r="K599" s="12">
        <f>(B599-MAX($B$2:B599))/MAX($B$2:B599)</f>
        <v>-8.8108335186695405E-2</v>
      </c>
      <c r="L599" s="12">
        <f t="shared" si="221"/>
        <v>-5.1153328334737291E-2</v>
      </c>
      <c r="M599" s="15">
        <f t="shared" si="215"/>
        <v>32.4339988337248</v>
      </c>
      <c r="N599" s="11">
        <f t="shared" si="208"/>
        <v>18695.186239835653</v>
      </c>
      <c r="O599" s="11">
        <f t="shared" si="209"/>
        <v>18807.281683631645</v>
      </c>
      <c r="P599" s="11">
        <f t="shared" si="205"/>
        <v>-112.09544379599174</v>
      </c>
      <c r="Q599" s="11">
        <f t="shared" si="210"/>
        <v>-48.654616382112295</v>
      </c>
      <c r="R599" s="11">
        <f t="shared" si="206"/>
        <v>-63.440827413879447</v>
      </c>
      <c r="S599" s="9">
        <f t="shared" si="207"/>
        <v>60</v>
      </c>
      <c r="T599" s="14">
        <f t="shared" si="214"/>
        <v>5.949091611128221E-4</v>
      </c>
      <c r="U599" s="14">
        <f t="shared" si="211"/>
        <v>0</v>
      </c>
      <c r="V599" s="14">
        <f t="shared" si="216"/>
        <v>2.8184519927346558E-3</v>
      </c>
      <c r="W599" s="14">
        <f t="shared" si="216"/>
        <v>5.8713552899986587E-3</v>
      </c>
      <c r="X599" s="16">
        <f t="shared" si="217"/>
        <v>0.48003431124933671</v>
      </c>
    </row>
    <row r="600" spans="1:24" x14ac:dyDescent="0.25">
      <c r="A600" s="10">
        <v>46058</v>
      </c>
      <c r="B600" s="11">
        <v>18122.7</v>
      </c>
      <c r="C600" s="12">
        <f t="shared" si="212"/>
        <v>-1.7780297396963518E-2</v>
      </c>
      <c r="D600" s="11">
        <f t="shared" si="222"/>
        <v>18866.397000000004</v>
      </c>
      <c r="E600" s="11">
        <f t="shared" si="203"/>
        <v>18780.946599999996</v>
      </c>
      <c r="F600" s="11">
        <f t="shared" si="201"/>
        <v>19029.522875000006</v>
      </c>
      <c r="G600" s="12">
        <f t="shared" si="213"/>
        <v>-1.7940265913110411E-2</v>
      </c>
      <c r="H600" s="19">
        <f t="shared" si="218"/>
        <v>0.14696616239577548</v>
      </c>
      <c r="I600" s="11">
        <f t="shared" si="219"/>
        <v>19516.71</v>
      </c>
      <c r="J600" s="11">
        <f t="shared" si="220"/>
        <v>18122.7</v>
      </c>
      <c r="K600" s="12">
        <f>(B600-MAX($B$2:B600))/MAX($B$2:B600)</f>
        <v>-0.1043220401808881</v>
      </c>
      <c r="L600" s="12">
        <f t="shared" si="221"/>
        <v>-6.5275516961793345E-2</v>
      </c>
      <c r="M600" s="15">
        <f t="shared" si="215"/>
        <v>29.053566664793976</v>
      </c>
      <c r="N600" s="11">
        <f t="shared" si="208"/>
        <v>18607.11143370709</v>
      </c>
      <c r="O600" s="11">
        <f t="shared" si="209"/>
        <v>18756.571929288562</v>
      </c>
      <c r="P600" s="11">
        <f t="shared" si="205"/>
        <v>-149.46049558147206</v>
      </c>
      <c r="Q600" s="11">
        <f t="shared" si="210"/>
        <v>-68.815792221984253</v>
      </c>
      <c r="R600" s="11">
        <f t="shared" si="206"/>
        <v>-80.644703359487806</v>
      </c>
      <c r="S600" s="9">
        <f t="shared" si="207"/>
        <v>60</v>
      </c>
      <c r="T600" s="14">
        <f t="shared" si="214"/>
        <v>0</v>
      </c>
      <c r="U600" s="14">
        <f t="shared" si="211"/>
        <v>1.7780297396963518E-2</v>
      </c>
      <c r="V600" s="14">
        <f t="shared" si="216"/>
        <v>2.8184519927346558E-3</v>
      </c>
      <c r="W600" s="14">
        <f t="shared" si="216"/>
        <v>6.8824292286747291E-3</v>
      </c>
      <c r="X600" s="16">
        <f t="shared" si="217"/>
        <v>0.40951412634828838</v>
      </c>
    </row>
    <row r="601" spans="1:24" x14ac:dyDescent="0.25">
      <c r="A601" s="10">
        <v>46059</v>
      </c>
      <c r="B601" s="11">
        <v>18306.8</v>
      </c>
      <c r="C601" s="12">
        <f t="shared" si="212"/>
        <v>1.0158530461796378E-2</v>
      </c>
      <c r="D601" s="11">
        <f t="shared" si="222"/>
        <v>18812.323</v>
      </c>
      <c r="E601" s="11">
        <f t="shared" si="203"/>
        <v>18776.370799999997</v>
      </c>
      <c r="F601" s="11">
        <f t="shared" si="201"/>
        <v>19028.830875000007</v>
      </c>
      <c r="G601" s="12">
        <f t="shared" si="213"/>
        <v>1.0107279389365943E-2</v>
      </c>
      <c r="H601" s="19">
        <f t="shared" si="218"/>
        <v>0.15474344107643731</v>
      </c>
      <c r="I601" s="11">
        <f t="shared" si="219"/>
        <v>19516.71</v>
      </c>
      <c r="J601" s="11">
        <f t="shared" si="220"/>
        <v>18122.7</v>
      </c>
      <c r="K601" s="12">
        <f>(B601-MAX($B$2:B601))/MAX($B$2:B601)</f>
        <v>-9.5223268342105954E-2</v>
      </c>
      <c r="L601" s="12">
        <f t="shared" si="221"/>
        <v>-5.9717598886872669E-2</v>
      </c>
      <c r="M601" s="15">
        <f t="shared" si="215"/>
        <v>36.496466660439616</v>
      </c>
      <c r="N601" s="11">
        <f t="shared" si="208"/>
        <v>18560.909674675229</v>
      </c>
      <c r="O601" s="11">
        <f t="shared" si="209"/>
        <v>18723.255490082003</v>
      </c>
      <c r="P601" s="11">
        <f t="shared" si="205"/>
        <v>-162.34581540677391</v>
      </c>
      <c r="Q601" s="11">
        <f t="shared" si="210"/>
        <v>-87.521796858942196</v>
      </c>
      <c r="R601" s="11">
        <f t="shared" si="206"/>
        <v>-74.824018547831713</v>
      </c>
      <c r="S601" s="9">
        <f t="shared" si="207"/>
        <v>60</v>
      </c>
      <c r="T601" s="14">
        <f t="shared" si="214"/>
        <v>1.0158530461796378E-2</v>
      </c>
      <c r="U601" s="14">
        <f t="shared" si="211"/>
        <v>0</v>
      </c>
      <c r="V601" s="14">
        <f t="shared" si="216"/>
        <v>3.5440613114343972E-3</v>
      </c>
      <c r="W601" s="14">
        <f t="shared" si="216"/>
        <v>6.1666357387981019E-3</v>
      </c>
      <c r="X601" s="16">
        <f t="shared" si="217"/>
        <v>0.5747155274855178</v>
      </c>
    </row>
    <row r="602" spans="1:24" x14ac:dyDescent="0.25">
      <c r="A602" s="10">
        <v>46062</v>
      </c>
      <c r="B602" s="11">
        <v>18338.87</v>
      </c>
      <c r="C602" s="12">
        <f t="shared" si="212"/>
        <v>1.7518080713176953E-3</v>
      </c>
      <c r="D602" s="11">
        <f t="shared" si="222"/>
        <v>18755.792999999998</v>
      </c>
      <c r="E602" s="11">
        <f t="shared" si="203"/>
        <v>18770.335599999999</v>
      </c>
      <c r="F602" s="11">
        <f t="shared" si="201"/>
        <v>19029.832500000008</v>
      </c>
      <c r="G602" s="12">
        <f t="shared" si="213"/>
        <v>1.7502754452084662E-3</v>
      </c>
      <c r="H602" s="19">
        <f t="shared" si="218"/>
        <v>0.15351145466770266</v>
      </c>
      <c r="I602" s="11">
        <f t="shared" si="219"/>
        <v>19516.71</v>
      </c>
      <c r="J602" s="11">
        <f t="shared" si="220"/>
        <v>18122.7</v>
      </c>
      <c r="K602" s="12">
        <f>(B602-MAX($B$2:B602))/MAX($B$2:B602)</f>
        <v>-9.3638273160847163E-2</v>
      </c>
      <c r="L602" s="12">
        <f t="shared" si="221"/>
        <v>-6.035033568670134E-2</v>
      </c>
      <c r="M602" s="15">
        <f t="shared" si="215"/>
        <v>39.190156630034359</v>
      </c>
      <c r="N602" s="11">
        <f t="shared" si="208"/>
        <v>18526.749724725196</v>
      </c>
      <c r="O602" s="11">
        <f t="shared" si="209"/>
        <v>18694.782490816673</v>
      </c>
      <c r="P602" s="11">
        <f t="shared" si="205"/>
        <v>-168.03276609147724</v>
      </c>
      <c r="Q602" s="11">
        <f t="shared" si="210"/>
        <v>-103.62399070544922</v>
      </c>
      <c r="R602" s="11">
        <f t="shared" si="206"/>
        <v>-64.408775386028026</v>
      </c>
      <c r="S602" s="9">
        <f t="shared" si="207"/>
        <v>20</v>
      </c>
      <c r="T602" s="14">
        <f t="shared" si="214"/>
        <v>1.7518080713176953E-3</v>
      </c>
      <c r="U602" s="14">
        <f t="shared" si="211"/>
        <v>0</v>
      </c>
      <c r="V602" s="14">
        <f t="shared" si="216"/>
        <v>3.6691904593856611E-3</v>
      </c>
      <c r="W602" s="14">
        <f t="shared" si="216"/>
        <v>5.6933402751143513E-3</v>
      </c>
      <c r="X602" s="16">
        <f t="shared" si="217"/>
        <v>0.64447060637210285</v>
      </c>
    </row>
    <row r="603" spans="1:24" x14ac:dyDescent="0.25">
      <c r="A603" s="10">
        <v>46063</v>
      </c>
      <c r="B603" s="11">
        <v>18303.36</v>
      </c>
      <c r="C603" s="12">
        <f t="shared" si="212"/>
        <v>-1.9363243209640224E-3</v>
      </c>
      <c r="D603" s="11">
        <f t="shared" si="222"/>
        <v>18695.125500000002</v>
      </c>
      <c r="E603" s="11">
        <f t="shared" si="203"/>
        <v>18764.330999999995</v>
      </c>
      <c r="F603" s="11">
        <f t="shared" si="201"/>
        <v>19031.237125000007</v>
      </c>
      <c r="G603" s="12">
        <f t="shared" si="213"/>
        <v>-1.9382014204089386E-3</v>
      </c>
      <c r="H603" s="19">
        <f t="shared" si="218"/>
        <v>0.15224651587386037</v>
      </c>
      <c r="I603" s="11">
        <f t="shared" si="219"/>
        <v>19381.89</v>
      </c>
      <c r="J603" s="11">
        <f t="shared" si="220"/>
        <v>18122.7</v>
      </c>
      <c r="K603" s="12">
        <f>(B603-MAX($B$2:B603))/MAX($B$2:B603)</f>
        <v>-9.5393283416116803E-2</v>
      </c>
      <c r="L603" s="12">
        <f t="shared" si="221"/>
        <v>-5.564627598237315E-2</v>
      </c>
      <c r="M603" s="15">
        <f t="shared" si="215"/>
        <v>42.550710967208751</v>
      </c>
      <c r="N603" s="11">
        <f t="shared" si="208"/>
        <v>18492.382074767473</v>
      </c>
      <c r="O603" s="11">
        <f t="shared" si="209"/>
        <v>18665.788232237661</v>
      </c>
      <c r="P603" s="11">
        <f t="shared" si="205"/>
        <v>-173.40615747018819</v>
      </c>
      <c r="Q603" s="11">
        <f t="shared" si="210"/>
        <v>-117.58042405839703</v>
      </c>
      <c r="R603" s="11">
        <f t="shared" si="206"/>
        <v>-55.825733411791163</v>
      </c>
      <c r="S603" s="9">
        <f t="shared" si="207"/>
        <v>20</v>
      </c>
      <c r="T603" s="14">
        <f t="shared" si="214"/>
        <v>0</v>
      </c>
      <c r="U603" s="14">
        <f t="shared" si="211"/>
        <v>1.9363243209640224E-3</v>
      </c>
      <c r="V603" s="14">
        <f t="shared" si="216"/>
        <v>3.6691904593856611E-3</v>
      </c>
      <c r="W603" s="14">
        <f t="shared" si="216"/>
        <v>4.9539097802631738E-3</v>
      </c>
      <c r="X603" s="16">
        <f t="shared" si="217"/>
        <v>0.74066557974149005</v>
      </c>
    </row>
    <row r="604" spans="1:24" x14ac:dyDescent="0.25">
      <c r="A604" s="10">
        <v>46064</v>
      </c>
      <c r="B604" s="11">
        <v>18365.689999999999</v>
      </c>
      <c r="C604" s="12">
        <f t="shared" si="212"/>
        <v>3.4053856778208935E-3</v>
      </c>
      <c r="D604" s="11">
        <f t="shared" si="222"/>
        <v>18644.315500000001</v>
      </c>
      <c r="E604" s="11">
        <f t="shared" si="203"/>
        <v>18762.946399999997</v>
      </c>
      <c r="F604" s="11">
        <f t="shared" si="201"/>
        <v>19034.364750000008</v>
      </c>
      <c r="G604" s="12">
        <f t="shared" si="213"/>
        <v>3.3996004821747311E-3</v>
      </c>
      <c r="H604" s="19">
        <f t="shared" si="218"/>
        <v>0.15330925139052895</v>
      </c>
      <c r="I604" s="11">
        <f t="shared" si="219"/>
        <v>19270.330000000002</v>
      </c>
      <c r="J604" s="11">
        <f t="shared" si="220"/>
        <v>18122.7</v>
      </c>
      <c r="K604" s="12">
        <f>(B604-MAX($B$2:B604))/MAX($B$2:B604)</f>
        <v>-9.2312748659401547E-2</v>
      </c>
      <c r="L604" s="12">
        <f t="shared" si="221"/>
        <v>-4.6944707226082905E-2</v>
      </c>
      <c r="M604" s="15">
        <f t="shared" si="215"/>
        <v>40.475366161079521</v>
      </c>
      <c r="N604" s="11">
        <f t="shared" si="208"/>
        <v>18472.890986341707</v>
      </c>
      <c r="O604" s="11">
        <f t="shared" si="209"/>
        <v>18643.558733553389</v>
      </c>
      <c r="P604" s="11">
        <f t="shared" si="205"/>
        <v>-170.66774721168258</v>
      </c>
      <c r="Q604" s="11">
        <f t="shared" si="210"/>
        <v>-128.19788868905414</v>
      </c>
      <c r="R604" s="11">
        <f t="shared" si="206"/>
        <v>-42.469858522628442</v>
      </c>
      <c r="S604" s="9">
        <f t="shared" si="207"/>
        <v>20</v>
      </c>
      <c r="T604" s="14">
        <f t="shared" si="214"/>
        <v>3.4053856778208935E-3</v>
      </c>
      <c r="U604" s="14">
        <f t="shared" si="211"/>
        <v>0</v>
      </c>
      <c r="V604" s="14">
        <f t="shared" si="216"/>
        <v>3.3685433971371976E-3</v>
      </c>
      <c r="W604" s="14">
        <f t="shared" si="216"/>
        <v>4.9539097802631738E-3</v>
      </c>
      <c r="X604" s="16">
        <f t="shared" si="217"/>
        <v>0.67997673485249577</v>
      </c>
    </row>
    <row r="605" spans="1:24" x14ac:dyDescent="0.25">
      <c r="A605" s="10">
        <v>46065</v>
      </c>
      <c r="B605" s="11">
        <v>18645.43</v>
      </c>
      <c r="C605" s="12">
        <f t="shared" si="212"/>
        <v>1.5231662954128034E-2</v>
      </c>
      <c r="D605" s="11">
        <f t="shared" si="222"/>
        <v>18613.070499999998</v>
      </c>
      <c r="E605" s="11">
        <f t="shared" si="203"/>
        <v>18768.848199999997</v>
      </c>
      <c r="F605" s="11">
        <f t="shared" si="201"/>
        <v>19040.733500000009</v>
      </c>
      <c r="G605" s="12">
        <f t="shared" si="213"/>
        <v>1.5116825814782591E-2</v>
      </c>
      <c r="H605" s="19">
        <f t="shared" si="218"/>
        <v>0.16521309073229207</v>
      </c>
      <c r="I605" s="11">
        <f t="shared" si="219"/>
        <v>19200.47</v>
      </c>
      <c r="J605" s="11">
        <f t="shared" si="220"/>
        <v>18122.7</v>
      </c>
      <c r="K605" s="12">
        <f>(B605-MAX($B$2:B605))/MAX($B$2:B605)</f>
        <v>-7.8487162379222555E-2</v>
      </c>
      <c r="L605" s="12">
        <f t="shared" si="221"/>
        <v>-2.8907625698745942E-2</v>
      </c>
      <c r="M605" s="15">
        <f t="shared" si="215"/>
        <v>50.379673241742772</v>
      </c>
      <c r="N605" s="11">
        <f t="shared" si="208"/>
        <v>18499.435449981444</v>
      </c>
      <c r="O605" s="11">
        <f t="shared" si="209"/>
        <v>18643.697345882767</v>
      </c>
      <c r="P605" s="11">
        <f t="shared" si="205"/>
        <v>-144.26189590132344</v>
      </c>
      <c r="Q605" s="11">
        <f t="shared" si="210"/>
        <v>-131.41069013150801</v>
      </c>
      <c r="R605" s="11">
        <f t="shared" si="206"/>
        <v>-12.851205769815436</v>
      </c>
      <c r="S605" s="9">
        <f t="shared" si="207"/>
        <v>20</v>
      </c>
      <c r="T605" s="14">
        <f t="shared" si="214"/>
        <v>1.5231662954128034E-2</v>
      </c>
      <c r="U605" s="14">
        <f t="shared" si="211"/>
        <v>0</v>
      </c>
      <c r="V605" s="14">
        <f t="shared" si="216"/>
        <v>4.4565193224320575E-3</v>
      </c>
      <c r="W605" s="14">
        <f t="shared" si="216"/>
        <v>4.3893485359159145E-3</v>
      </c>
      <c r="X605" s="16">
        <f t="shared" si="217"/>
        <v>1.0153031334756211</v>
      </c>
    </row>
    <row r="606" spans="1:24" x14ac:dyDescent="0.25">
      <c r="A606" s="10">
        <v>46066</v>
      </c>
      <c r="B606" s="11">
        <v>18573.12</v>
      </c>
      <c r="C606" s="12">
        <f t="shared" si="212"/>
        <v>-3.8781621019199353E-3</v>
      </c>
      <c r="D606" s="11">
        <f t="shared" si="222"/>
        <v>18581.703000000001</v>
      </c>
      <c r="E606" s="11">
        <f t="shared" si="203"/>
        <v>18772.871399999996</v>
      </c>
      <c r="F606" s="11">
        <f t="shared" si="201"/>
        <v>19044.582187500011</v>
      </c>
      <c r="G606" s="12">
        <f t="shared" si="213"/>
        <v>-3.885701671993788E-3</v>
      </c>
      <c r="H606" s="19">
        <f t="shared" si="218"/>
        <v>0.16525596575508711</v>
      </c>
      <c r="I606" s="11">
        <f t="shared" si="219"/>
        <v>19008.060000000001</v>
      </c>
      <c r="J606" s="11">
        <f t="shared" si="220"/>
        <v>18122.7</v>
      </c>
      <c r="K606" s="12">
        <f>(B606-MAX($B$2:B606))/MAX($B$2:B606)</f>
        <v>-8.2060938542516171E-2</v>
      </c>
      <c r="L606" s="12">
        <f t="shared" si="221"/>
        <v>-2.2881872216312549E-2</v>
      </c>
      <c r="M606" s="15">
        <f t="shared" si="215"/>
        <v>54.80072372370109</v>
      </c>
      <c r="N606" s="11">
        <f t="shared" si="208"/>
        <v>18510.771534599684</v>
      </c>
      <c r="O606" s="11">
        <f t="shared" si="209"/>
        <v>18638.469394335894</v>
      </c>
      <c r="P606" s="11">
        <f t="shared" si="205"/>
        <v>-127.69785973621038</v>
      </c>
      <c r="Q606" s="11">
        <f t="shared" si="210"/>
        <v>-130.66812405244849</v>
      </c>
      <c r="R606" s="11">
        <f t="shared" si="206"/>
        <v>2.970264316238115</v>
      </c>
      <c r="S606" s="9">
        <f t="shared" si="207"/>
        <v>60</v>
      </c>
      <c r="T606" s="14">
        <f t="shared" si="214"/>
        <v>0</v>
      </c>
      <c r="U606" s="14">
        <f t="shared" si="211"/>
        <v>3.8781621019199353E-3</v>
      </c>
      <c r="V606" s="14">
        <f t="shared" si="216"/>
        <v>4.4565193224320575E-3</v>
      </c>
      <c r="W606" s="14">
        <f t="shared" si="216"/>
        <v>3.6757078081826994E-3</v>
      </c>
      <c r="X606" s="16">
        <f t="shared" si="217"/>
        <v>1.2124248049616866</v>
      </c>
    </row>
    <row r="607" spans="1:24" x14ac:dyDescent="0.25">
      <c r="A607" s="10">
        <v>46069</v>
      </c>
      <c r="B607" s="11">
        <v>18827.599999999999</v>
      </c>
      <c r="C607" s="12">
        <f t="shared" si="212"/>
        <v>1.370152133836422E-2</v>
      </c>
      <c r="D607" s="11">
        <f t="shared" si="222"/>
        <v>18572.68</v>
      </c>
      <c r="E607" s="11">
        <f t="shared" si="203"/>
        <v>18781.697999999997</v>
      </c>
      <c r="F607" s="11">
        <f t="shared" si="201"/>
        <v>19051.290625000009</v>
      </c>
      <c r="G607" s="12">
        <f t="shared" si="213"/>
        <v>1.3608504182800334E-2</v>
      </c>
      <c r="H607" s="19">
        <f t="shared" si="218"/>
        <v>0.17056327970089605</v>
      </c>
      <c r="I607" s="11">
        <f t="shared" si="219"/>
        <v>18963.82</v>
      </c>
      <c r="J607" s="11">
        <f t="shared" si="220"/>
        <v>18122.7</v>
      </c>
      <c r="K607" s="12">
        <f>(B607-MAX($B$2:B607))/MAX($B$2:B607)</f>
        <v>-6.9483776904638417E-2</v>
      </c>
      <c r="L607" s="12">
        <f t="shared" si="221"/>
        <v>-2.8868595723677837E-3</v>
      </c>
      <c r="M607" s="15">
        <f t="shared" si="215"/>
        <v>55.241271692636403</v>
      </c>
      <c r="N607" s="11">
        <f t="shared" si="208"/>
        <v>18559.514375430503</v>
      </c>
      <c r="O607" s="11">
        <f t="shared" si="209"/>
        <v>18652.479068829532</v>
      </c>
      <c r="P607" s="11">
        <f t="shared" si="205"/>
        <v>-92.964693399029784</v>
      </c>
      <c r="Q607" s="11">
        <f t="shared" si="210"/>
        <v>-123.12743792176475</v>
      </c>
      <c r="R607" s="11">
        <f t="shared" si="206"/>
        <v>30.162744522734968</v>
      </c>
      <c r="S607" s="9">
        <f t="shared" si="207"/>
        <v>60</v>
      </c>
      <c r="T607" s="14">
        <f t="shared" si="214"/>
        <v>1.370152133836422E-2</v>
      </c>
      <c r="U607" s="14">
        <f t="shared" si="211"/>
        <v>0</v>
      </c>
      <c r="V607" s="14">
        <f t="shared" si="216"/>
        <v>4.5365626185844988E-3</v>
      </c>
      <c r="W607" s="14">
        <f t="shared" si="216"/>
        <v>3.6757078081826994E-3</v>
      </c>
      <c r="X607" s="16">
        <f t="shared" si="217"/>
        <v>1.2342010995774479</v>
      </c>
    </row>
    <row r="608" spans="1:24" x14ac:dyDescent="0.25">
      <c r="A608" s="10">
        <v>46070</v>
      </c>
      <c r="B608" s="11">
        <v>18724.060000000001</v>
      </c>
      <c r="C608" s="12">
        <f t="shared" si="212"/>
        <v>-5.499373260532292E-3</v>
      </c>
      <c r="D608" s="11">
        <f t="shared" si="222"/>
        <v>18564.7775</v>
      </c>
      <c r="E608" s="11">
        <f t="shared" si="203"/>
        <v>18786.7916</v>
      </c>
      <c r="F608" s="11">
        <f t="shared" si="201"/>
        <v>19054.41481250001</v>
      </c>
      <c r="G608" s="12">
        <f t="shared" si="213"/>
        <v>-5.5145504827102424E-3</v>
      </c>
      <c r="H608" s="19">
        <f t="shared" si="218"/>
        <v>0.17006601337654054</v>
      </c>
      <c r="I608" s="11">
        <f t="shared" si="219"/>
        <v>18963.82</v>
      </c>
      <c r="J608" s="11">
        <f t="shared" si="220"/>
        <v>18122.7</v>
      </c>
      <c r="K608" s="12">
        <f>(B608-MAX($B$2:B608))/MAX($B$2:B608)</f>
        <v>-7.4601032940420531E-2</v>
      </c>
      <c r="L608" s="12">
        <f t="shared" si="221"/>
        <v>3.9667390166691074E-3</v>
      </c>
      <c r="M608" s="15">
        <f t="shared" si="215"/>
        <v>44.049559943640254</v>
      </c>
      <c r="N608" s="11">
        <f t="shared" si="208"/>
        <v>18584.829086902733</v>
      </c>
      <c r="O608" s="11">
        <f t="shared" si="209"/>
        <v>18657.781360027344</v>
      </c>
      <c r="P608" s="11">
        <f t="shared" si="205"/>
        <v>-72.952273124610656</v>
      </c>
      <c r="Q608" s="11">
        <f t="shared" si="210"/>
        <v>-113.09240496233394</v>
      </c>
      <c r="R608" s="11">
        <f t="shared" si="206"/>
        <v>40.140131837723288</v>
      </c>
      <c r="S608" s="9">
        <f t="shared" si="207"/>
        <v>60</v>
      </c>
      <c r="T608" s="14">
        <f t="shared" si="214"/>
        <v>0</v>
      </c>
      <c r="U608" s="14">
        <f t="shared" si="211"/>
        <v>5.499373260532292E-3</v>
      </c>
      <c r="V608" s="14">
        <f t="shared" ref="V608:W623" si="223">AVERAGE(T595:T608)</f>
        <v>3.2031298331814317E-3</v>
      </c>
      <c r="W608" s="14">
        <f t="shared" si="223"/>
        <v>4.0685201839350061E-3</v>
      </c>
      <c r="X608" s="16">
        <f t="shared" si="217"/>
        <v>0.78729604091171479</v>
      </c>
    </row>
    <row r="609" spans="1:24" x14ac:dyDescent="0.25">
      <c r="A609" s="10">
        <v>46071</v>
      </c>
      <c r="B609" s="11">
        <v>18687.900000000001</v>
      </c>
      <c r="C609" s="12">
        <f t="shared" si="212"/>
        <v>-1.9312050912034806E-3</v>
      </c>
      <c r="D609" s="11">
        <f t="shared" si="222"/>
        <v>18566.6685</v>
      </c>
      <c r="E609" s="11">
        <f t="shared" si="203"/>
        <v>18791.0802</v>
      </c>
      <c r="F609" s="11">
        <f t="shared" ref="F609:F672" si="224">AVERAGE(B450:B609)</f>
        <v>19056.178812500009</v>
      </c>
      <c r="G609" s="12">
        <f t="shared" si="213"/>
        <v>-1.9330722720823795E-3</v>
      </c>
      <c r="H609" s="19">
        <f t="shared" si="218"/>
        <v>0.16428167215247697</v>
      </c>
      <c r="I609" s="11">
        <f t="shared" si="219"/>
        <v>18963.82</v>
      </c>
      <c r="J609" s="11">
        <f t="shared" si="220"/>
        <v>18122.7</v>
      </c>
      <c r="K609" s="12">
        <f>(B609-MAX($B$2:B609))/MAX($B$2:B609)</f>
        <v>-7.6388168137000445E-2</v>
      </c>
      <c r="L609" s="12">
        <f t="shared" si="221"/>
        <v>-5.5443540340642805E-3</v>
      </c>
      <c r="M609" s="15">
        <f t="shared" si="215"/>
        <v>43.412441266724549</v>
      </c>
      <c r="N609" s="11">
        <f t="shared" si="208"/>
        <v>18600.68615045616</v>
      </c>
      <c r="O609" s="11">
        <f t="shared" si="209"/>
        <v>18660.012370395689</v>
      </c>
      <c r="P609" s="11">
        <f t="shared" si="205"/>
        <v>-59.326219939528528</v>
      </c>
      <c r="Q609" s="11">
        <f t="shared" si="210"/>
        <v>-102.33916795777287</v>
      </c>
      <c r="R609" s="11">
        <f t="shared" si="206"/>
        <v>43.012948018244344</v>
      </c>
      <c r="S609" s="9">
        <f t="shared" si="207"/>
        <v>60</v>
      </c>
      <c r="T609" s="14">
        <f t="shared" si="214"/>
        <v>0</v>
      </c>
      <c r="U609" s="14">
        <f t="shared" si="211"/>
        <v>1.9312050912034806E-3</v>
      </c>
      <c r="V609" s="14">
        <f t="shared" si="223"/>
        <v>3.2031298331814317E-3</v>
      </c>
      <c r="W609" s="14">
        <f t="shared" si="223"/>
        <v>4.1752385324709661E-3</v>
      </c>
      <c r="X609" s="16">
        <f t="shared" si="217"/>
        <v>0.76717289521798249</v>
      </c>
    </row>
    <row r="610" spans="1:24" x14ac:dyDescent="0.25">
      <c r="A610" s="10">
        <v>46072</v>
      </c>
      <c r="B610" s="11">
        <v>18736.57</v>
      </c>
      <c r="C610" s="12">
        <f t="shared" si="212"/>
        <v>2.6043589702426928E-3</v>
      </c>
      <c r="D610" s="11">
        <f t="shared" si="222"/>
        <v>18563.892499999998</v>
      </c>
      <c r="E610" s="11">
        <f t="shared" si="203"/>
        <v>18796.637600000002</v>
      </c>
      <c r="F610" s="11">
        <f t="shared" si="224"/>
        <v>19057.813812500004</v>
      </c>
      <c r="G610" s="12">
        <f t="shared" si="213"/>
        <v>2.6009735041251903E-3</v>
      </c>
      <c r="H610" s="19">
        <f t="shared" si="218"/>
        <v>0.16220952474283079</v>
      </c>
      <c r="I610" s="11">
        <f t="shared" si="219"/>
        <v>18963.82</v>
      </c>
      <c r="J610" s="11">
        <f t="shared" si="220"/>
        <v>18122.7</v>
      </c>
      <c r="K610" s="12">
        <f>(B610-MAX($B$2:B610))/MAX($B$2:B610)</f>
        <v>-7.3982751377665773E-2</v>
      </c>
      <c r="L610" s="12">
        <f t="shared" si="221"/>
        <v>4.9888540600613318E-3</v>
      </c>
      <c r="M610" s="15">
        <f t="shared" si="215"/>
        <v>52.32631703781324</v>
      </c>
      <c r="N610" s="11">
        <f t="shared" si="208"/>
        <v>18621.591358078287</v>
      </c>
      <c r="O610" s="11">
        <f t="shared" si="209"/>
        <v>18665.683305921932</v>
      </c>
      <c r="P610" s="11">
        <f t="shared" si="205"/>
        <v>-44.091947843644448</v>
      </c>
      <c r="Q610" s="11">
        <f t="shared" si="210"/>
        <v>-90.689723934947196</v>
      </c>
      <c r="R610" s="11">
        <f t="shared" si="206"/>
        <v>46.597776091302748</v>
      </c>
      <c r="S610" s="9">
        <f t="shared" si="207"/>
        <v>60</v>
      </c>
      <c r="T610" s="14">
        <f t="shared" si="214"/>
        <v>2.6043589702426928E-3</v>
      </c>
      <c r="U610" s="14">
        <f t="shared" si="211"/>
        <v>0</v>
      </c>
      <c r="V610" s="14">
        <f t="shared" si="223"/>
        <v>3.3891554739130525E-3</v>
      </c>
      <c r="W610" s="14">
        <f t="shared" si="223"/>
        <v>3.0878061503187915E-3</v>
      </c>
      <c r="X610" s="16">
        <f t="shared" si="217"/>
        <v>1.0975933426271429</v>
      </c>
    </row>
    <row r="611" spans="1:24" x14ac:dyDescent="0.25">
      <c r="A611" s="10">
        <v>46073</v>
      </c>
      <c r="B611" s="11">
        <v>18701.04</v>
      </c>
      <c r="C611" s="12">
        <f t="shared" si="212"/>
        <v>-1.8962915837850147E-3</v>
      </c>
      <c r="D611" s="11">
        <f t="shared" si="222"/>
        <v>18566.766499999998</v>
      </c>
      <c r="E611" s="11">
        <f t="shared" si="203"/>
        <v>18800.256999999998</v>
      </c>
      <c r="F611" s="11">
        <f t="shared" si="224"/>
        <v>19060.341562500005</v>
      </c>
      <c r="G611" s="12">
        <f t="shared" si="213"/>
        <v>-1.8980918208800202E-3</v>
      </c>
      <c r="H611" s="19">
        <f t="shared" si="218"/>
        <v>0.15976256224062732</v>
      </c>
      <c r="I611" s="11">
        <f t="shared" si="219"/>
        <v>18963.82</v>
      </c>
      <c r="J611" s="11">
        <f t="shared" si="220"/>
        <v>18122.7</v>
      </c>
      <c r="K611" s="12">
        <f>(B611-MAX($B$2:B611))/MAX($B$2:B611)</f>
        <v>-7.5738750092668061E-2</v>
      </c>
      <c r="L611" s="12">
        <f t="shared" si="221"/>
        <v>1.7190653897554364E-2</v>
      </c>
      <c r="M611" s="15">
        <f t="shared" si="215"/>
        <v>55.87459721669007</v>
      </c>
      <c r="N611" s="11">
        <f t="shared" si="208"/>
        <v>18633.814226066243</v>
      </c>
      <c r="O611" s="11">
        <f t="shared" si="209"/>
        <v>18668.302320298088</v>
      </c>
      <c r="P611" s="11">
        <f t="shared" si="205"/>
        <v>-34.488094231845025</v>
      </c>
      <c r="Q611" s="11">
        <f t="shared" si="210"/>
        <v>-79.449397994326759</v>
      </c>
      <c r="R611" s="11">
        <f t="shared" si="206"/>
        <v>44.961303762481734</v>
      </c>
      <c r="S611" s="9">
        <f t="shared" si="207"/>
        <v>60</v>
      </c>
      <c r="T611" s="14">
        <f t="shared" si="214"/>
        <v>0</v>
      </c>
      <c r="U611" s="14">
        <f t="shared" si="211"/>
        <v>1.8962915837850147E-3</v>
      </c>
      <c r="V611" s="14">
        <f t="shared" si="223"/>
        <v>3.3891554739130525E-3</v>
      </c>
      <c r="W611" s="14">
        <f t="shared" si="223"/>
        <v>2.6764908890833544E-3</v>
      </c>
      <c r="X611" s="16">
        <f t="shared" si="217"/>
        <v>1.2662682648151184</v>
      </c>
    </row>
    <row r="612" spans="1:24" x14ac:dyDescent="0.25">
      <c r="A612" s="10">
        <v>46076</v>
      </c>
      <c r="B612" s="11">
        <v>18651.759999999998</v>
      </c>
      <c r="C612" s="12">
        <f t="shared" si="212"/>
        <v>-2.6351475639858624E-3</v>
      </c>
      <c r="D612" s="11">
        <f t="shared" si="222"/>
        <v>18580.105</v>
      </c>
      <c r="E612" s="11">
        <f t="shared" si="203"/>
        <v>18803.316600000002</v>
      </c>
      <c r="F612" s="11">
        <f t="shared" si="224"/>
        <v>19061.845000000008</v>
      </c>
      <c r="G612" s="12">
        <f t="shared" si="213"/>
        <v>-2.6386256768987006E-3</v>
      </c>
      <c r="H612" s="19">
        <f t="shared" si="218"/>
        <v>0.15132095954170457</v>
      </c>
      <c r="I612" s="11">
        <f t="shared" si="219"/>
        <v>18963.82</v>
      </c>
      <c r="J612" s="11">
        <f t="shared" si="220"/>
        <v>18122.7</v>
      </c>
      <c r="K612" s="12">
        <f>(B612-MAX($B$2:B612))/MAX($B$2:B612)</f>
        <v>-7.8174314873847905E-2</v>
      </c>
      <c r="L612" s="12">
        <f t="shared" si="221"/>
        <v>1.9053205552770347E-3</v>
      </c>
      <c r="M612" s="15">
        <f t="shared" si="215"/>
        <v>57.163049499271601</v>
      </c>
      <c r="N612" s="11">
        <f t="shared" si="208"/>
        <v>18636.575114363743</v>
      </c>
      <c r="O612" s="11">
        <f t="shared" si="209"/>
        <v>18667.076963238971</v>
      </c>
      <c r="P612" s="11">
        <f t="shared" si="205"/>
        <v>-30.501848875228461</v>
      </c>
      <c r="Q612" s="11">
        <f t="shared" si="210"/>
        <v>-69.659888170507102</v>
      </c>
      <c r="R612" s="11">
        <f t="shared" si="206"/>
        <v>39.158039295278641</v>
      </c>
      <c r="S612" s="9">
        <f t="shared" si="207"/>
        <v>60</v>
      </c>
      <c r="T612" s="14">
        <f t="shared" si="214"/>
        <v>0</v>
      </c>
      <c r="U612" s="14">
        <f t="shared" si="211"/>
        <v>2.6351475639858624E-3</v>
      </c>
      <c r="V612" s="14">
        <f t="shared" si="223"/>
        <v>3.3891554739130525E-3</v>
      </c>
      <c r="W612" s="14">
        <f t="shared" si="223"/>
        <v>2.539771522811009E-3</v>
      </c>
      <c r="X612" s="16">
        <f t="shared" si="217"/>
        <v>1.3344332131742105</v>
      </c>
    </row>
    <row r="613" spans="1:24" x14ac:dyDescent="0.25">
      <c r="A613" s="10">
        <v>46077</v>
      </c>
      <c r="B613" s="11">
        <v>18582.490000000002</v>
      </c>
      <c r="C613" s="12">
        <f t="shared" si="212"/>
        <v>-3.7138586385411232E-3</v>
      </c>
      <c r="D613" s="11">
        <f t="shared" si="222"/>
        <v>18578.415000000001</v>
      </c>
      <c r="E613" s="11">
        <f t="shared" si="203"/>
        <v>18803.636200000001</v>
      </c>
      <c r="F613" s="11">
        <f t="shared" si="224"/>
        <v>19062.251500000009</v>
      </c>
      <c r="G613" s="12">
        <f t="shared" si="213"/>
        <v>-3.7207721340059715E-3</v>
      </c>
      <c r="H613" s="19">
        <f t="shared" si="218"/>
        <v>0.14540945807169681</v>
      </c>
      <c r="I613" s="11">
        <f t="shared" si="219"/>
        <v>18963.82</v>
      </c>
      <c r="J613" s="11">
        <f t="shared" si="220"/>
        <v>18122.7</v>
      </c>
      <c r="K613" s="12">
        <f>(B613-MAX($B$2:B613))/MAX($B$2:B613)</f>
        <v>-8.1597845157782803E-2</v>
      </c>
      <c r="L613" s="12">
        <f t="shared" si="221"/>
        <v>-2.0108290418280661E-2</v>
      </c>
      <c r="M613" s="15">
        <f t="shared" si="215"/>
        <v>54.402149171494692</v>
      </c>
      <c r="N613" s="11">
        <f t="shared" si="208"/>
        <v>18628.254327538551</v>
      </c>
      <c r="O613" s="11">
        <f t="shared" si="209"/>
        <v>18660.811262258307</v>
      </c>
      <c r="P613" s="11">
        <f t="shared" si="205"/>
        <v>-32.5569347197561</v>
      </c>
      <c r="Q613" s="11">
        <f t="shared" si="210"/>
        <v>-62.23929748035691</v>
      </c>
      <c r="R613" s="11">
        <f t="shared" si="206"/>
        <v>29.68236276060081</v>
      </c>
      <c r="S613" s="9">
        <f t="shared" si="207"/>
        <v>60</v>
      </c>
      <c r="T613" s="14">
        <f t="shared" si="214"/>
        <v>0</v>
      </c>
      <c r="U613" s="14">
        <f t="shared" si="211"/>
        <v>3.7138586385411232E-3</v>
      </c>
      <c r="V613" s="14">
        <f t="shared" si="223"/>
        <v>3.3466619624049937E-3</v>
      </c>
      <c r="W613" s="14">
        <f t="shared" si="223"/>
        <v>2.8050471398496607E-3</v>
      </c>
      <c r="X613" s="16">
        <f t="shared" si="217"/>
        <v>1.1930858183668034</v>
      </c>
    </row>
    <row r="614" spans="1:24" x14ac:dyDescent="0.25">
      <c r="A614" s="10">
        <v>46078</v>
      </c>
      <c r="B614" s="11">
        <v>18526.39</v>
      </c>
      <c r="C614" s="12">
        <f t="shared" si="212"/>
        <v>-3.0189710851453722E-3</v>
      </c>
      <c r="D614" s="11">
        <f t="shared" si="222"/>
        <v>18556.5435</v>
      </c>
      <c r="E614" s="11">
        <f t="shared" si="203"/>
        <v>18803.0854</v>
      </c>
      <c r="F614" s="11">
        <f t="shared" si="224"/>
        <v>19061.851125000008</v>
      </c>
      <c r="G614" s="12">
        <f t="shared" si="213"/>
        <v>-3.0235373709909738E-3</v>
      </c>
      <c r="H614" s="19">
        <f t="shared" si="218"/>
        <v>0.12794085634972624</v>
      </c>
      <c r="I614" s="11">
        <f t="shared" si="219"/>
        <v>18955.53</v>
      </c>
      <c r="J614" s="11">
        <f t="shared" si="220"/>
        <v>18122.7</v>
      </c>
      <c r="K614" s="12">
        <f>(B614-MAX($B$2:B614))/MAX($B$2:B614)</f>
        <v>-8.4370474707786622E-2</v>
      </c>
      <c r="L614" s="12">
        <f t="shared" si="221"/>
        <v>-2.2639303675497269E-2</v>
      </c>
      <c r="M614" s="15">
        <f t="shared" si="215"/>
        <v>65.655212588243188</v>
      </c>
      <c r="N614" s="11">
        <f t="shared" si="208"/>
        <v>18612.58289253262</v>
      </c>
      <c r="O614" s="11">
        <f t="shared" si="209"/>
        <v>18650.854131720655</v>
      </c>
      <c r="P614" s="11">
        <f t="shared" si="205"/>
        <v>-38.271239188034087</v>
      </c>
      <c r="Q614" s="11">
        <f t="shared" si="210"/>
        <v>-57.445685821892347</v>
      </c>
      <c r="R614" s="11">
        <f t="shared" si="206"/>
        <v>19.17444663385826</v>
      </c>
      <c r="S614" s="9">
        <f t="shared" si="207"/>
        <v>60</v>
      </c>
      <c r="T614" s="14">
        <f t="shared" si="214"/>
        <v>0</v>
      </c>
      <c r="U614" s="14">
        <f t="shared" si="211"/>
        <v>3.0189710851453722E-3</v>
      </c>
      <c r="V614" s="14">
        <f t="shared" si="223"/>
        <v>3.3466619624049937E-3</v>
      </c>
      <c r="W614" s="14">
        <f t="shared" si="223"/>
        <v>1.7506666890055073E-3</v>
      </c>
      <c r="X614" s="16">
        <f t="shared" si="217"/>
        <v>1.9116499922130328</v>
      </c>
    </row>
    <row r="615" spans="1:24" x14ac:dyDescent="0.25">
      <c r="A615" s="10">
        <v>46079</v>
      </c>
      <c r="B615" s="11">
        <v>18369.939999999999</v>
      </c>
      <c r="C615" s="12">
        <f t="shared" si="212"/>
        <v>-8.4447104913585314E-3</v>
      </c>
      <c r="D615" s="11">
        <f t="shared" si="222"/>
        <v>18527.263999999999</v>
      </c>
      <c r="E615" s="11">
        <f t="shared" si="203"/>
        <v>18798.8086</v>
      </c>
      <c r="F615" s="11">
        <f t="shared" si="224"/>
        <v>19060.10943750001</v>
      </c>
      <c r="G615" s="12">
        <f t="shared" si="213"/>
        <v>-8.480569078634783E-3</v>
      </c>
      <c r="H615" s="19">
        <f t="shared" si="218"/>
        <v>0.13049273842468376</v>
      </c>
      <c r="I615" s="11">
        <f t="shared" si="219"/>
        <v>18827.599999999999</v>
      </c>
      <c r="J615" s="11">
        <f t="shared" si="220"/>
        <v>18122.7</v>
      </c>
      <c r="K615" s="12">
        <f>(B615-MAX($B$2:B615))/MAX($B$2:B615)</f>
        <v>-9.2102700966219447E-2</v>
      </c>
      <c r="L615" s="12">
        <f t="shared" si="221"/>
        <v>-1.5911008493621148E-2</v>
      </c>
      <c r="M615" s="15">
        <f t="shared" si="215"/>
        <v>52.685397226420093</v>
      </c>
      <c r="N615" s="11">
        <f t="shared" si="208"/>
        <v>18575.25321675837</v>
      </c>
      <c r="O615" s="11">
        <f t="shared" si="209"/>
        <v>18630.045677519127</v>
      </c>
      <c r="P615" s="11">
        <f t="shared" si="205"/>
        <v>-54.792460760756512</v>
      </c>
      <c r="Q615" s="11">
        <f t="shared" si="210"/>
        <v>-56.915040809665179</v>
      </c>
      <c r="R615" s="11">
        <f t="shared" si="206"/>
        <v>2.1225800489086666</v>
      </c>
      <c r="S615" s="9">
        <f t="shared" si="207"/>
        <v>60</v>
      </c>
      <c r="T615" s="14">
        <f t="shared" si="214"/>
        <v>0</v>
      </c>
      <c r="U615" s="14">
        <f t="shared" si="211"/>
        <v>8.4447104913585314E-3</v>
      </c>
      <c r="V615" s="14">
        <f t="shared" si="223"/>
        <v>2.6210526437052523E-3</v>
      </c>
      <c r="W615" s="14">
        <f t="shared" si="223"/>
        <v>2.3538602955311167E-3</v>
      </c>
      <c r="X615" s="16">
        <f t="shared" si="217"/>
        <v>1.1135124071217861</v>
      </c>
    </row>
    <row r="616" spans="1:24" x14ac:dyDescent="0.25">
      <c r="A616" s="10">
        <v>46080</v>
      </c>
      <c r="B616" s="11">
        <v>18140.55</v>
      </c>
      <c r="C616" s="12">
        <f t="shared" si="212"/>
        <v>-1.2487248189161138E-2</v>
      </c>
      <c r="D616" s="11">
        <f t="shared" si="222"/>
        <v>18500.944</v>
      </c>
      <c r="E616" s="11">
        <f t="shared" si="203"/>
        <v>18786.418000000001</v>
      </c>
      <c r="F616" s="11">
        <f t="shared" si="224"/>
        <v>19055.934750000008</v>
      </c>
      <c r="G616" s="12">
        <f t="shared" si="213"/>
        <v>-1.2565869064069169E-2</v>
      </c>
      <c r="H616" s="19">
        <f t="shared" si="218"/>
        <v>0.12693121163104165</v>
      </c>
      <c r="I616" s="11">
        <f t="shared" si="219"/>
        <v>18827.599999999999</v>
      </c>
      <c r="J616" s="11">
        <f t="shared" si="220"/>
        <v>18122.7</v>
      </c>
      <c r="K616" s="12">
        <f>(B616-MAX($B$2:B616))/MAX($B$2:B616)</f>
        <v>-0.10343983986952335</v>
      </c>
      <c r="L616" s="12">
        <f t="shared" si="221"/>
        <v>-2.0703344731122786E-2</v>
      </c>
      <c r="M616" s="15">
        <f t="shared" si="215"/>
        <v>43.46988549459838</v>
      </c>
      <c r="N616" s="11">
        <f t="shared" si="208"/>
        <v>18508.375798795543</v>
      </c>
      <c r="O616" s="11">
        <f t="shared" si="209"/>
        <v>18593.786738443636</v>
      </c>
      <c r="P616" s="11">
        <f t="shared" si="205"/>
        <v>-85.410939648092608</v>
      </c>
      <c r="Q616" s="11">
        <f t="shared" si="210"/>
        <v>-62.614220577350665</v>
      </c>
      <c r="R616" s="11">
        <f t="shared" si="206"/>
        <v>-22.796719070741943</v>
      </c>
      <c r="S616" s="9">
        <f t="shared" si="207"/>
        <v>20</v>
      </c>
      <c r="T616" s="14">
        <f t="shared" si="214"/>
        <v>0</v>
      </c>
      <c r="U616" s="14">
        <f t="shared" si="211"/>
        <v>1.2487248189161138E-2</v>
      </c>
      <c r="V616" s="14">
        <f t="shared" si="223"/>
        <v>2.4959234957539884E-3</v>
      </c>
      <c r="W616" s="14">
        <f t="shared" si="223"/>
        <v>3.2458065947569121E-3</v>
      </c>
      <c r="X616" s="16">
        <f t="shared" si="217"/>
        <v>0.76896864396842335</v>
      </c>
    </row>
    <row r="617" spans="1:24" x14ac:dyDescent="0.25">
      <c r="A617" s="10">
        <v>46083</v>
      </c>
      <c r="B617" s="11">
        <v>17377</v>
      </c>
      <c r="C617" s="12">
        <f t="shared" si="212"/>
        <v>-4.2090785560525923E-2</v>
      </c>
      <c r="D617" s="11">
        <f t="shared" si="222"/>
        <v>18443.591</v>
      </c>
      <c r="E617" s="11">
        <f t="shared" si="203"/>
        <v>18757.639000000003</v>
      </c>
      <c r="F617" s="11">
        <f t="shared" si="224"/>
        <v>19046.769312500011</v>
      </c>
      <c r="G617" s="12">
        <f t="shared" si="213"/>
        <v>-4.3002271222630631E-2</v>
      </c>
      <c r="H617" s="19">
        <f t="shared" si="218"/>
        <v>0.19413249411528555</v>
      </c>
      <c r="I617" s="11">
        <f t="shared" si="219"/>
        <v>18827.599999999999</v>
      </c>
      <c r="J617" s="11">
        <f t="shared" si="220"/>
        <v>17377</v>
      </c>
      <c r="K617" s="12">
        <f>(B617-MAX($B$2:B617))/MAX($B$2:B617)</f>
        <v>-0.14117676131168608</v>
      </c>
      <c r="L617" s="12">
        <f t="shared" si="221"/>
        <v>-5.7635688909689398E-2</v>
      </c>
      <c r="M617" s="15">
        <f t="shared" si="215"/>
        <v>28.988975334627014</v>
      </c>
      <c r="N617" s="11">
        <f t="shared" si="208"/>
        <v>18334.317983596229</v>
      </c>
      <c r="O617" s="11">
        <f t="shared" si="209"/>
        <v>18503.654387447812</v>
      </c>
      <c r="P617" s="11">
        <f t="shared" si="205"/>
        <v>-169.33640385158287</v>
      </c>
      <c r="Q617" s="11">
        <f t="shared" si="210"/>
        <v>-83.958657232197112</v>
      </c>
      <c r="R617" s="11">
        <f t="shared" si="206"/>
        <v>-85.377746619385761</v>
      </c>
      <c r="S617" s="9">
        <f t="shared" si="207"/>
        <v>20</v>
      </c>
      <c r="T617" s="14">
        <f t="shared" si="214"/>
        <v>0</v>
      </c>
      <c r="U617" s="14">
        <f t="shared" si="211"/>
        <v>4.2090785560525923E-2</v>
      </c>
      <c r="V617" s="14">
        <f t="shared" si="223"/>
        <v>2.4959234957539884E-3</v>
      </c>
      <c r="W617" s="14">
        <f t="shared" si="223"/>
        <v>6.1139823975827623E-3</v>
      </c>
      <c r="X617" s="16">
        <f t="shared" si="217"/>
        <v>0.4082320382114254</v>
      </c>
    </row>
    <row r="618" spans="1:24" x14ac:dyDescent="0.25">
      <c r="A618" s="10">
        <v>46084</v>
      </c>
      <c r="B618" s="11">
        <v>16399.25</v>
      </c>
      <c r="C618" s="12">
        <f t="shared" si="212"/>
        <v>-5.6266904528975092E-2</v>
      </c>
      <c r="D618" s="11">
        <f t="shared" si="222"/>
        <v>18341.564000000002</v>
      </c>
      <c r="E618" s="11">
        <f t="shared" si="203"/>
        <v>18706.858000000004</v>
      </c>
      <c r="F618" s="11">
        <f t="shared" si="224"/>
        <v>19031.594687500008</v>
      </c>
      <c r="G618" s="12">
        <f t="shared" si="213"/>
        <v>-5.7911890663008093E-2</v>
      </c>
      <c r="H618" s="19">
        <f t="shared" si="218"/>
        <v>0.27474082617213164</v>
      </c>
      <c r="I618" s="11">
        <f t="shared" si="219"/>
        <v>18827.599999999999</v>
      </c>
      <c r="J618" s="11">
        <f t="shared" si="220"/>
        <v>16399.25</v>
      </c>
      <c r="K618" s="12">
        <f>(B618-MAX($B$2:B618))/MAX($B$2:B618)</f>
        <v>-0.18950008649022659</v>
      </c>
      <c r="L618" s="12">
        <f t="shared" si="221"/>
        <v>-0.111188373812244</v>
      </c>
      <c r="M618" s="15">
        <f t="shared" si="215"/>
        <v>18.187720092462172</v>
      </c>
      <c r="N618" s="11">
        <f t="shared" si="208"/>
        <v>18036.615216889117</v>
      </c>
      <c r="O618" s="11">
        <f t="shared" si="209"/>
        <v>18347.772580970195</v>
      </c>
      <c r="P618" s="11">
        <f t="shared" si="205"/>
        <v>-311.15736408107841</v>
      </c>
      <c r="Q618" s="11">
        <f t="shared" si="210"/>
        <v>-129.39839860197338</v>
      </c>
      <c r="R618" s="11">
        <f t="shared" si="206"/>
        <v>-181.75896547910503</v>
      </c>
      <c r="S618" s="9">
        <f t="shared" si="207"/>
        <v>20</v>
      </c>
      <c r="T618" s="14">
        <f t="shared" si="214"/>
        <v>0</v>
      </c>
      <c r="U618" s="14">
        <f t="shared" si="211"/>
        <v>5.6266904528975092E-2</v>
      </c>
      <c r="V618" s="14">
        <f t="shared" si="223"/>
        <v>2.2526816616239248E-3</v>
      </c>
      <c r="W618" s="14">
        <f t="shared" si="223"/>
        <v>1.0133047006795268E-2</v>
      </c>
      <c r="X618" s="16">
        <f t="shared" si="217"/>
        <v>0.22231039292655663</v>
      </c>
    </row>
    <row r="619" spans="1:24" x14ac:dyDescent="0.25">
      <c r="A619" s="10">
        <v>46085</v>
      </c>
      <c r="B619" s="11">
        <v>16655.580000000002</v>
      </c>
      <c r="C619" s="12">
        <f t="shared" si="212"/>
        <v>1.5630592862478476E-2</v>
      </c>
      <c r="D619" s="11">
        <f t="shared" si="222"/>
        <v>18251.805</v>
      </c>
      <c r="E619" s="11">
        <f t="shared" si="203"/>
        <v>18661.134800000003</v>
      </c>
      <c r="F619" s="11">
        <f t="shared" si="224"/>
        <v>19017.934062500011</v>
      </c>
      <c r="G619" s="12">
        <f t="shared" si="213"/>
        <v>1.5509693339243132E-2</v>
      </c>
      <c r="H619" s="19">
        <f t="shared" si="218"/>
        <v>0.28432498962973834</v>
      </c>
      <c r="I619" s="11">
        <f t="shared" si="219"/>
        <v>18827.599999999999</v>
      </c>
      <c r="J619" s="11">
        <f t="shared" si="220"/>
        <v>16399.25</v>
      </c>
      <c r="K619" s="12">
        <f>(B619-MAX($B$2:B619))/MAX($B$2:B619)</f>
        <v>-0.17683149232708123</v>
      </c>
      <c r="L619" s="12">
        <f t="shared" si="221"/>
        <v>-8.0954824612226584E-2</v>
      </c>
      <c r="M619" s="15">
        <f t="shared" si="215"/>
        <v>18.375507943228016</v>
      </c>
      <c r="N619" s="11">
        <f t="shared" si="208"/>
        <v>17824.148260444636</v>
      </c>
      <c r="O619" s="11">
        <f t="shared" si="209"/>
        <v>18222.424982379809</v>
      </c>
      <c r="P619" s="11">
        <f t="shared" si="205"/>
        <v>-398.27672193517355</v>
      </c>
      <c r="Q619" s="11">
        <f t="shared" si="210"/>
        <v>-183.17406326861342</v>
      </c>
      <c r="R619" s="11">
        <f t="shared" si="206"/>
        <v>-215.10265866656013</v>
      </c>
      <c r="S619" s="9">
        <f t="shared" si="207"/>
        <v>20</v>
      </c>
      <c r="T619" s="14">
        <f t="shared" si="214"/>
        <v>1.5630592862478476E-2</v>
      </c>
      <c r="U619" s="14">
        <f t="shared" si="211"/>
        <v>0</v>
      </c>
      <c r="V619" s="14">
        <f t="shared" si="223"/>
        <v>2.2811766550775276E-3</v>
      </c>
      <c r="W619" s="14">
        <f t="shared" si="223"/>
        <v>1.0133047006795268E-2</v>
      </c>
      <c r="X619" s="16">
        <f t="shared" si="217"/>
        <v>0.22512247831750509</v>
      </c>
    </row>
    <row r="620" spans="1:24" x14ac:dyDescent="0.25">
      <c r="A620" s="10">
        <v>46086</v>
      </c>
      <c r="B620" s="11">
        <v>17351.61</v>
      </c>
      <c r="C620" s="12">
        <f t="shared" si="212"/>
        <v>4.1789598440882703E-2</v>
      </c>
      <c r="D620" s="11">
        <f t="shared" si="222"/>
        <v>18213.250500000002</v>
      </c>
      <c r="E620" s="11">
        <f t="shared" si="203"/>
        <v>18629.299000000003</v>
      </c>
      <c r="F620" s="11">
        <f t="shared" si="224"/>
        <v>19007.639687500006</v>
      </c>
      <c r="G620" s="12">
        <f t="shared" si="213"/>
        <v>4.0940002060338869E-2</v>
      </c>
      <c r="H620" s="19">
        <f t="shared" si="218"/>
        <v>0.32325947278555567</v>
      </c>
      <c r="I620" s="11">
        <f t="shared" si="219"/>
        <v>18827.599999999999</v>
      </c>
      <c r="J620" s="11">
        <f t="shared" si="220"/>
        <v>16399.25</v>
      </c>
      <c r="K620" s="12">
        <f>(B620-MAX($B$2:B620))/MAX($B$2:B620)</f>
        <v>-0.14243161094224921</v>
      </c>
      <c r="L620" s="12">
        <f t="shared" si="221"/>
        <v>-5.2176786767758387E-2</v>
      </c>
      <c r="M620" s="15">
        <f t="shared" si="215"/>
        <v>34.823992229551564</v>
      </c>
      <c r="N620" s="11">
        <f t="shared" si="208"/>
        <v>17751.450066530077</v>
      </c>
      <c r="O620" s="11">
        <f t="shared" si="209"/>
        <v>18157.920168870194</v>
      </c>
      <c r="P620" s="11">
        <f t="shared" si="205"/>
        <v>-406.47010234011759</v>
      </c>
      <c r="Q620" s="11">
        <f t="shared" si="210"/>
        <v>-227.83327108291425</v>
      </c>
      <c r="R620" s="11">
        <f t="shared" si="206"/>
        <v>-178.63683125720334</v>
      </c>
      <c r="S620" s="9">
        <f t="shared" si="207"/>
        <v>20</v>
      </c>
      <c r="T620" s="14">
        <f t="shared" si="214"/>
        <v>4.1789598440882703E-2</v>
      </c>
      <c r="U620" s="14">
        <f t="shared" si="211"/>
        <v>0</v>
      </c>
      <c r="V620" s="14">
        <f t="shared" si="223"/>
        <v>5.2661479722834349E-3</v>
      </c>
      <c r="W620" s="14">
        <f t="shared" si="223"/>
        <v>9.8560354280867023E-3</v>
      </c>
      <c r="X620" s="16">
        <f t="shared" si="217"/>
        <v>0.53430692398654689</v>
      </c>
    </row>
    <row r="621" spans="1:24" x14ac:dyDescent="0.25">
      <c r="A621" s="10">
        <v>46087</v>
      </c>
      <c r="B621" s="11">
        <v>17097.54</v>
      </c>
      <c r="C621" s="12">
        <f t="shared" si="212"/>
        <v>-1.4642445283175487E-2</v>
      </c>
      <c r="D621" s="11">
        <f t="shared" si="222"/>
        <v>18152.787499999999</v>
      </c>
      <c r="E621" s="11">
        <f t="shared" si="203"/>
        <v>18592.902399999999</v>
      </c>
      <c r="F621" s="11">
        <f t="shared" si="224"/>
        <v>18996.247812500005</v>
      </c>
      <c r="G621" s="12">
        <f t="shared" si="213"/>
        <v>-1.4750703965991945E-2</v>
      </c>
      <c r="H621" s="19">
        <f t="shared" si="218"/>
        <v>0.32277594212559596</v>
      </c>
      <c r="I621" s="11">
        <f t="shared" si="219"/>
        <v>18827.599999999999</v>
      </c>
      <c r="J621" s="11">
        <f t="shared" si="220"/>
        <v>16399.25</v>
      </c>
      <c r="K621" s="12">
        <f>(B621-MAX($B$2:B621))/MAX($B$2:B621)</f>
        <v>-0.15498850915560822</v>
      </c>
      <c r="L621" s="12">
        <f t="shared" si="221"/>
        <v>-6.7688467173822486E-2</v>
      </c>
      <c r="M621" s="15">
        <f t="shared" si="215"/>
        <v>28.226724315964859</v>
      </c>
      <c r="N621" s="11">
        <f t="shared" si="208"/>
        <v>17650.848517833139</v>
      </c>
      <c r="O621" s="11">
        <f t="shared" si="209"/>
        <v>18079.373489694626</v>
      </c>
      <c r="P621" s="11">
        <f t="shared" si="205"/>
        <v>-428.52497186148685</v>
      </c>
      <c r="Q621" s="11">
        <f t="shared" si="210"/>
        <v>-267.97161123862878</v>
      </c>
      <c r="R621" s="11">
        <f t="shared" si="206"/>
        <v>-160.55336062285807</v>
      </c>
      <c r="S621" s="9">
        <f t="shared" si="207"/>
        <v>20</v>
      </c>
      <c r="T621" s="14">
        <f t="shared" si="214"/>
        <v>0</v>
      </c>
      <c r="U621" s="14">
        <f t="shared" si="211"/>
        <v>1.4642445283175487E-2</v>
      </c>
      <c r="V621" s="14">
        <f t="shared" si="223"/>
        <v>4.2874678766859908E-3</v>
      </c>
      <c r="W621" s="14">
        <f t="shared" si="223"/>
        <v>1.0901924376884951E-2</v>
      </c>
      <c r="X621" s="16">
        <f t="shared" si="217"/>
        <v>0.39327624449281545</v>
      </c>
    </row>
    <row r="622" spans="1:24" x14ac:dyDescent="0.25">
      <c r="A622" s="10">
        <v>46090</v>
      </c>
      <c r="B622" s="11">
        <v>16533.580000000002</v>
      </c>
      <c r="C622" s="12">
        <f t="shared" si="212"/>
        <v>-3.2984862149759486E-2</v>
      </c>
      <c r="D622" s="11">
        <f t="shared" si="222"/>
        <v>18062.523000000001</v>
      </c>
      <c r="E622" s="11">
        <f t="shared" si="203"/>
        <v>18544.750800000002</v>
      </c>
      <c r="F622" s="11">
        <f t="shared" si="224"/>
        <v>18981.930937500008</v>
      </c>
      <c r="G622" s="12">
        <f t="shared" si="213"/>
        <v>-3.3541129204381077E-2</v>
      </c>
      <c r="H622" s="19">
        <f t="shared" si="218"/>
        <v>0.33917568063614395</v>
      </c>
      <c r="I622" s="11">
        <f t="shared" si="219"/>
        <v>18827.599999999999</v>
      </c>
      <c r="J622" s="11">
        <f t="shared" si="220"/>
        <v>16399.25</v>
      </c>
      <c r="K622" s="12">
        <f>(B622-MAX($B$2:B622))/MAX($B$2:B622)</f>
        <v>-0.18286109669607326</v>
      </c>
      <c r="L622" s="12">
        <f t="shared" si="221"/>
        <v>-9.6691536417357171E-2</v>
      </c>
      <c r="M622" s="15">
        <f t="shared" si="215"/>
        <v>24.995962789161638</v>
      </c>
      <c r="N622" s="11">
        <f t="shared" si="208"/>
        <v>17478.961053551116</v>
      </c>
      <c r="O622" s="11">
        <f t="shared" si="209"/>
        <v>17964.870268235765</v>
      </c>
      <c r="P622" s="11">
        <f t="shared" si="205"/>
        <v>-485.90921468464876</v>
      </c>
      <c r="Q622" s="11">
        <f t="shared" si="210"/>
        <v>-311.55913192783277</v>
      </c>
      <c r="R622" s="11">
        <f t="shared" si="206"/>
        <v>-174.35008275681599</v>
      </c>
      <c r="S622" s="9">
        <f t="shared" si="207"/>
        <v>20</v>
      </c>
      <c r="T622" s="14">
        <f t="shared" si="214"/>
        <v>0</v>
      </c>
      <c r="U622" s="14">
        <f t="shared" si="211"/>
        <v>3.2984862149759486E-2</v>
      </c>
      <c r="V622" s="14">
        <f t="shared" si="223"/>
        <v>4.2874678766859908E-3</v>
      </c>
      <c r="W622" s="14">
        <f t="shared" si="223"/>
        <v>1.2865173583258322E-2</v>
      </c>
      <c r="X622" s="16">
        <f t="shared" si="217"/>
        <v>0.33326156455948241</v>
      </c>
    </row>
    <row r="623" spans="1:24" x14ac:dyDescent="0.25">
      <c r="A623" s="10">
        <v>46091</v>
      </c>
      <c r="B623" s="11">
        <v>16902.46</v>
      </c>
      <c r="C623" s="12">
        <f t="shared" si="212"/>
        <v>2.2310957457489344E-2</v>
      </c>
      <c r="D623" s="11">
        <f t="shared" si="222"/>
        <v>17992.477999999999</v>
      </c>
      <c r="E623" s="11">
        <f t="shared" si="203"/>
        <v>18513.2762</v>
      </c>
      <c r="F623" s="11">
        <f t="shared" si="224"/>
        <v>18969.958500000008</v>
      </c>
      <c r="G623" s="12">
        <f t="shared" si="213"/>
        <v>2.2065709159747846E-2</v>
      </c>
      <c r="H623" s="19">
        <f t="shared" si="218"/>
        <v>0.35265452053489688</v>
      </c>
      <c r="I623" s="11">
        <f t="shared" si="219"/>
        <v>18827.599999999999</v>
      </c>
      <c r="J623" s="11">
        <f t="shared" si="220"/>
        <v>16399.25</v>
      </c>
      <c r="K623" s="12">
        <f>(B623-MAX($B$2:B623))/MAX($B$2:B623)</f>
        <v>-0.16462994538759981</v>
      </c>
      <c r="L623" s="12">
        <f t="shared" si="221"/>
        <v>-7.9671931737930857E-2</v>
      </c>
      <c r="M623" s="15">
        <f t="shared" si="215"/>
        <v>31.604690740752673</v>
      </c>
      <c r="N623" s="11">
        <f t="shared" si="208"/>
        <v>17390.268583774021</v>
      </c>
      <c r="O623" s="11">
        <f t="shared" si="209"/>
        <v>17886.173211329413</v>
      </c>
      <c r="P623" s="11">
        <f t="shared" si="205"/>
        <v>-495.90462755539193</v>
      </c>
      <c r="Q623" s="11">
        <f t="shared" si="210"/>
        <v>-348.42823105334458</v>
      </c>
      <c r="R623" s="11">
        <f t="shared" si="206"/>
        <v>-147.47639650204735</v>
      </c>
      <c r="S623" s="9">
        <f t="shared" si="207"/>
        <v>20</v>
      </c>
      <c r="T623" s="14">
        <f t="shared" si="214"/>
        <v>2.2310957457489344E-2</v>
      </c>
      <c r="U623" s="14">
        <f t="shared" si="211"/>
        <v>0</v>
      </c>
      <c r="V623" s="14">
        <f t="shared" si="223"/>
        <v>5.8811076950780871E-3</v>
      </c>
      <c r="W623" s="14">
        <f t="shared" si="223"/>
        <v>1.2727230362458073E-2</v>
      </c>
      <c r="X623" s="16">
        <f t="shared" si="217"/>
        <v>0.46208857132230297</v>
      </c>
    </row>
    <row r="624" spans="1:24" x14ac:dyDescent="0.25">
      <c r="A624" s="10">
        <v>46092</v>
      </c>
      <c r="B624" s="11">
        <v>17157.05</v>
      </c>
      <c r="C624" s="12">
        <f t="shared" si="212"/>
        <v>1.5062304540285787E-2</v>
      </c>
      <c r="D624" s="11">
        <f t="shared" si="222"/>
        <v>17932.046000000002</v>
      </c>
      <c r="E624" s="11">
        <f t="shared" si="203"/>
        <v>18488.687400000003</v>
      </c>
      <c r="F624" s="11">
        <f t="shared" si="224"/>
        <v>18958.924312500003</v>
      </c>
      <c r="G624" s="12">
        <f t="shared" si="213"/>
        <v>1.4949994393376104E-2</v>
      </c>
      <c r="H624" s="19">
        <f t="shared" si="218"/>
        <v>0.35820052850998507</v>
      </c>
      <c r="I624" s="11">
        <f t="shared" si="219"/>
        <v>18827.599999999999</v>
      </c>
      <c r="J624" s="11">
        <f t="shared" si="220"/>
        <v>16399.25</v>
      </c>
      <c r="K624" s="12">
        <f>(B624-MAX($B$2:B624))/MAX($B$2:B624)</f>
        <v>-0.15204734722119262</v>
      </c>
      <c r="L624" s="12">
        <f t="shared" si="221"/>
        <v>-7.9825458570813357E-2</v>
      </c>
      <c r="M624" s="15">
        <f t="shared" si="215"/>
        <v>34.726097623869236</v>
      </c>
      <c r="N624" s="11">
        <f t="shared" si="208"/>
        <v>17354.388801654943</v>
      </c>
      <c r="O624" s="11">
        <f t="shared" si="209"/>
        <v>17832.164084564272</v>
      </c>
      <c r="P624" s="11">
        <f t="shared" si="205"/>
        <v>-477.77528290932969</v>
      </c>
      <c r="Q624" s="11">
        <f t="shared" si="210"/>
        <v>-374.29764142454161</v>
      </c>
      <c r="R624" s="11">
        <f t="shared" si="206"/>
        <v>-103.47764148478808</v>
      </c>
      <c r="S624" s="9">
        <f t="shared" si="207"/>
        <v>20</v>
      </c>
      <c r="T624" s="14">
        <f t="shared" si="214"/>
        <v>1.5062304540285787E-2</v>
      </c>
      <c r="U624" s="14">
        <f t="shared" si="211"/>
        <v>0</v>
      </c>
      <c r="V624" s="14">
        <f t="shared" ref="V624:W639" si="225">AVERAGE(T611:T624)</f>
        <v>6.7709609500811651E-3</v>
      </c>
      <c r="W624" s="14">
        <f t="shared" si="225"/>
        <v>1.2727230362458073E-2</v>
      </c>
      <c r="X624" s="16">
        <f t="shared" si="217"/>
        <v>0.53200584551794472</v>
      </c>
    </row>
    <row r="625" spans="1:24" x14ac:dyDescent="0.25">
      <c r="A625" s="10">
        <v>46093</v>
      </c>
      <c r="B625" s="11">
        <v>17157.759999999998</v>
      </c>
      <c r="C625" s="12">
        <f t="shared" si="212"/>
        <v>4.138240548345884E-5</v>
      </c>
      <c r="D625" s="11">
        <f t="shared" si="222"/>
        <v>17857.662499999999</v>
      </c>
      <c r="E625" s="11">
        <f t="shared" si="203"/>
        <v>18458.747800000001</v>
      </c>
      <c r="F625" s="11">
        <f t="shared" si="224"/>
        <v>18946.355125000002</v>
      </c>
      <c r="G625" s="12">
        <f t="shared" si="213"/>
        <v>4.1381549255338811E-5</v>
      </c>
      <c r="H625" s="19">
        <f t="shared" si="218"/>
        <v>0.35180236288741906</v>
      </c>
      <c r="I625" s="11">
        <f t="shared" si="219"/>
        <v>18827.599999999999</v>
      </c>
      <c r="J625" s="11">
        <f t="shared" si="220"/>
        <v>16399.25</v>
      </c>
      <c r="K625" s="12">
        <f>(B625-MAX($B$2:B625))/MAX($B$2:B625)</f>
        <v>-0.15201225690068459</v>
      </c>
      <c r="L625" s="12">
        <f t="shared" si="221"/>
        <v>-7.6204751813373384E-2</v>
      </c>
      <c r="M625" s="15">
        <f t="shared" si="215"/>
        <v>34.978945278470107</v>
      </c>
      <c r="N625" s="11">
        <f t="shared" si="208"/>
        <v>17324.138216784952</v>
      </c>
      <c r="O625" s="11">
        <f t="shared" si="209"/>
        <v>17782.208226448402</v>
      </c>
      <c r="P625" s="11">
        <f t="shared" si="205"/>
        <v>-458.07000966345004</v>
      </c>
      <c r="Q625" s="11">
        <f t="shared" si="210"/>
        <v>-391.05211507232332</v>
      </c>
      <c r="R625" s="11">
        <f t="shared" si="206"/>
        <v>-67.017894591126719</v>
      </c>
      <c r="S625" s="9">
        <f t="shared" si="207"/>
        <v>20</v>
      </c>
      <c r="T625" s="14">
        <f t="shared" si="214"/>
        <v>4.138240548345884E-5</v>
      </c>
      <c r="U625" s="14">
        <f t="shared" si="211"/>
        <v>0</v>
      </c>
      <c r="V625" s="14">
        <f t="shared" si="225"/>
        <v>6.7739168361871261E-3</v>
      </c>
      <c r="W625" s="14">
        <f t="shared" si="225"/>
        <v>1.2591780963616286E-2</v>
      </c>
      <c r="X625" s="16">
        <f t="shared" si="217"/>
        <v>0.53796336322560179</v>
      </c>
    </row>
    <row r="626" spans="1:24" x14ac:dyDescent="0.25">
      <c r="A626" s="10">
        <v>46094</v>
      </c>
      <c r="B626" s="11">
        <v>16855.82</v>
      </c>
      <c r="C626" s="12">
        <f t="shared" si="212"/>
        <v>-1.7597868253198423E-2</v>
      </c>
      <c r="D626" s="11">
        <f t="shared" si="222"/>
        <v>17771.797500000001</v>
      </c>
      <c r="E626" s="11">
        <f t="shared" si="203"/>
        <v>18418.9372</v>
      </c>
      <c r="F626" s="11">
        <f t="shared" si="224"/>
        <v>18931.853750000002</v>
      </c>
      <c r="G626" s="12">
        <f t="shared" si="213"/>
        <v>-1.7754551653908157E-2</v>
      </c>
      <c r="H626" s="19">
        <f t="shared" si="218"/>
        <v>0.3550893522733507</v>
      </c>
      <c r="I626" s="11">
        <f t="shared" si="219"/>
        <v>18827.599999999999</v>
      </c>
      <c r="J626" s="11">
        <f t="shared" si="220"/>
        <v>16399.25</v>
      </c>
      <c r="K626" s="12">
        <f>(B626-MAX($B$2:B626))/MAX($B$2:B626)</f>
        <v>-0.16693503348407346</v>
      </c>
      <c r="L626" s="12">
        <f t="shared" si="221"/>
        <v>-0.10472816503431126</v>
      </c>
      <c r="M626" s="15">
        <f t="shared" si="215"/>
        <v>33.149472288310122</v>
      </c>
      <c r="N626" s="11">
        <f t="shared" si="208"/>
        <v>17252.089260356497</v>
      </c>
      <c r="O626" s="11">
        <f t="shared" si="209"/>
        <v>17713.586876341113</v>
      </c>
      <c r="P626" s="11">
        <f t="shared" si="205"/>
        <v>-461.49761598461555</v>
      </c>
      <c r="Q626" s="11">
        <f t="shared" si="210"/>
        <v>-405.1412152547818</v>
      </c>
      <c r="R626" s="11">
        <f t="shared" si="206"/>
        <v>-56.356400729833751</v>
      </c>
      <c r="S626" s="9">
        <f t="shared" si="207"/>
        <v>20</v>
      </c>
      <c r="T626" s="14">
        <f t="shared" si="214"/>
        <v>0</v>
      </c>
      <c r="U626" s="14">
        <f t="shared" si="211"/>
        <v>1.7597868253198423E-2</v>
      </c>
      <c r="V626" s="14">
        <f t="shared" si="225"/>
        <v>6.7739168361871261E-3</v>
      </c>
      <c r="W626" s="14">
        <f t="shared" si="225"/>
        <v>1.366054672713147E-2</v>
      </c>
      <c r="X626" s="16">
        <f t="shared" si="217"/>
        <v>0.4958745042563576</v>
      </c>
    </row>
    <row r="627" spans="1:24" x14ac:dyDescent="0.25">
      <c r="A627" s="10">
        <v>46097</v>
      </c>
      <c r="B627" s="11">
        <v>16942.5</v>
      </c>
      <c r="C627" s="12">
        <f t="shared" si="212"/>
        <v>5.1424374489048574E-3</v>
      </c>
      <c r="D627" s="11">
        <f t="shared" si="222"/>
        <v>17677.5425</v>
      </c>
      <c r="E627" s="11">
        <f t="shared" si="203"/>
        <v>18373.62</v>
      </c>
      <c r="F627" s="11">
        <f t="shared" si="224"/>
        <v>18917.790874999999</v>
      </c>
      <c r="G627" s="12">
        <f t="shared" si="213"/>
        <v>5.1292602733413331E-3</v>
      </c>
      <c r="H627" s="19">
        <f t="shared" si="218"/>
        <v>0.35048879532687982</v>
      </c>
      <c r="I627" s="11">
        <f t="shared" si="219"/>
        <v>18736.57</v>
      </c>
      <c r="J627" s="11">
        <f t="shared" si="220"/>
        <v>16399.25</v>
      </c>
      <c r="K627" s="12">
        <f>(B627-MAX($B$2:B627))/MAX($B$2:B627)</f>
        <v>-0.16265104900289123</v>
      </c>
      <c r="L627" s="12">
        <f t="shared" si="221"/>
        <v>-9.5148167651673887E-2</v>
      </c>
      <c r="M627" s="15">
        <f t="shared" si="215"/>
        <v>34.773364938150991</v>
      </c>
      <c r="N627" s="11">
        <f t="shared" si="208"/>
        <v>17204.460143378576</v>
      </c>
      <c r="O627" s="11">
        <f t="shared" si="209"/>
        <v>17656.469329945474</v>
      </c>
      <c r="P627" s="11">
        <f t="shared" si="205"/>
        <v>-452.00918656689828</v>
      </c>
      <c r="Q627" s="11">
        <f t="shared" si="210"/>
        <v>-414.51480951720509</v>
      </c>
      <c r="R627" s="11">
        <f t="shared" si="206"/>
        <v>-37.494377049693185</v>
      </c>
      <c r="S627" s="9">
        <f t="shared" si="207"/>
        <v>20</v>
      </c>
      <c r="T627" s="14">
        <f t="shared" si="214"/>
        <v>5.1424374489048574E-3</v>
      </c>
      <c r="U627" s="14">
        <f t="shared" si="211"/>
        <v>0</v>
      </c>
      <c r="V627" s="14">
        <f t="shared" si="225"/>
        <v>7.1412337968231876E-3</v>
      </c>
      <c r="W627" s="14">
        <f t="shared" si="225"/>
        <v>1.3395271110092819E-2</v>
      </c>
      <c r="X627" s="16">
        <f t="shared" si="217"/>
        <v>0.53311603312325229</v>
      </c>
    </row>
    <row r="628" spans="1:24" x14ac:dyDescent="0.25">
      <c r="A628" s="10">
        <v>46098</v>
      </c>
      <c r="B628" s="11">
        <v>17065.2</v>
      </c>
      <c r="C628" s="12">
        <f t="shared" si="212"/>
        <v>7.2421425409474605E-3</v>
      </c>
      <c r="D628" s="11">
        <f t="shared" si="222"/>
        <v>17594.599500000004</v>
      </c>
      <c r="E628" s="11">
        <f t="shared" ref="E628:E691" si="226">AVERAGE(B579:B628)</f>
        <v>18326.105799999998</v>
      </c>
      <c r="F628" s="11">
        <f t="shared" si="224"/>
        <v>18905.1654375</v>
      </c>
      <c r="G628" s="12">
        <f t="shared" si="213"/>
        <v>7.2160441563830502E-3</v>
      </c>
      <c r="H628" s="19">
        <f t="shared" si="218"/>
        <v>0.35327543711810822</v>
      </c>
      <c r="I628" s="11">
        <f t="shared" si="219"/>
        <v>18736.57</v>
      </c>
      <c r="J628" s="11">
        <f t="shared" si="220"/>
        <v>16399.25</v>
      </c>
      <c r="K628" s="12">
        <f>(B628-MAX($B$2:B628))/MAX($B$2:B628)</f>
        <v>-0.15658684854325744</v>
      </c>
      <c r="L628" s="12">
        <f t="shared" si="221"/>
        <v>-8.6831586213539258E-2</v>
      </c>
      <c r="M628" s="15">
        <f t="shared" si="215"/>
        <v>36.752427702822359</v>
      </c>
      <c r="N628" s="11">
        <f t="shared" si="208"/>
        <v>17183.035505935717</v>
      </c>
      <c r="O628" s="11">
        <f t="shared" si="209"/>
        <v>17612.671601801365</v>
      </c>
      <c r="P628" s="11">
        <f t="shared" si="205"/>
        <v>-429.6360958656478</v>
      </c>
      <c r="Q628" s="11">
        <f t="shared" si="210"/>
        <v>-417.53906678689367</v>
      </c>
      <c r="R628" s="11">
        <f t="shared" si="206"/>
        <v>-12.097029078754133</v>
      </c>
      <c r="S628" s="9">
        <f t="shared" si="207"/>
        <v>20</v>
      </c>
      <c r="T628" s="14">
        <f t="shared" si="214"/>
        <v>7.2421425409474605E-3</v>
      </c>
      <c r="U628" s="14">
        <f t="shared" si="211"/>
        <v>0</v>
      </c>
      <c r="V628" s="14">
        <f t="shared" si="225"/>
        <v>7.6585296926051493E-3</v>
      </c>
      <c r="W628" s="14">
        <f t="shared" si="225"/>
        <v>1.317963031829672E-2</v>
      </c>
      <c r="X628" s="16">
        <f t="shared" si="217"/>
        <v>0.58108835435035977</v>
      </c>
    </row>
    <row r="629" spans="1:24" x14ac:dyDescent="0.25">
      <c r="A629" s="10">
        <v>46099</v>
      </c>
      <c r="B629" s="11">
        <v>17511.900000000001</v>
      </c>
      <c r="C629" s="12">
        <f t="shared" si="212"/>
        <v>2.6176077631671513E-2</v>
      </c>
      <c r="D629" s="11">
        <f t="shared" si="222"/>
        <v>17535.799500000001</v>
      </c>
      <c r="E629" s="11">
        <f t="shared" si="226"/>
        <v>18285.2444</v>
      </c>
      <c r="F629" s="11">
        <f t="shared" si="224"/>
        <v>18894.200249999998</v>
      </c>
      <c r="G629" s="12">
        <f t="shared" si="213"/>
        <v>2.5839347649711766E-2</v>
      </c>
      <c r="H629" s="19">
        <f t="shared" si="218"/>
        <v>0.36947939372590388</v>
      </c>
      <c r="I629" s="11">
        <f t="shared" si="219"/>
        <v>18736.57</v>
      </c>
      <c r="J629" s="11">
        <f t="shared" si="220"/>
        <v>16399.25</v>
      </c>
      <c r="K629" s="12">
        <f>(B629-MAX($B$2:B629))/MAX($B$2:B629)</f>
        <v>-0.134509600415153</v>
      </c>
      <c r="L629" s="12">
        <f t="shared" si="221"/>
        <v>-6.5362550349396864E-2</v>
      </c>
      <c r="M629" s="15">
        <f t="shared" si="215"/>
        <v>43.105110934628627</v>
      </c>
      <c r="N629" s="11">
        <f t="shared" si="208"/>
        <v>17233.63004348407</v>
      </c>
      <c r="O629" s="11">
        <f t="shared" si="209"/>
        <v>17605.207038704968</v>
      </c>
      <c r="P629" s="11">
        <f t="shared" si="205"/>
        <v>-371.57699522089752</v>
      </c>
      <c r="Q629" s="11">
        <f t="shared" si="210"/>
        <v>-408.34665247369446</v>
      </c>
      <c r="R629" s="11">
        <f t="shared" si="206"/>
        <v>36.769657252796947</v>
      </c>
      <c r="S629" s="9">
        <f t="shared" si="207"/>
        <v>60</v>
      </c>
      <c r="T629" s="14">
        <f t="shared" si="214"/>
        <v>2.6176077631671513E-2</v>
      </c>
      <c r="U629" s="14">
        <f t="shared" si="211"/>
        <v>0</v>
      </c>
      <c r="V629" s="14">
        <f t="shared" si="225"/>
        <v>9.5282495234388278E-3</v>
      </c>
      <c r="W629" s="14">
        <f t="shared" si="225"/>
        <v>1.2576436711771111E-2</v>
      </c>
      <c r="X629" s="16">
        <f t="shared" si="217"/>
        <v>0.75762711981214159</v>
      </c>
    </row>
    <row r="630" spans="1:24" x14ac:dyDescent="0.25">
      <c r="A630" s="10">
        <v>46100</v>
      </c>
      <c r="B630" s="11">
        <v>17243.580000000002</v>
      </c>
      <c r="C630" s="12">
        <f t="shared" si="212"/>
        <v>-1.532215236496326E-2</v>
      </c>
      <c r="D630" s="11">
        <f t="shared" si="222"/>
        <v>17461.150000000001</v>
      </c>
      <c r="E630" s="11">
        <f t="shared" si="226"/>
        <v>18241.206799999996</v>
      </c>
      <c r="F630" s="11">
        <f t="shared" si="224"/>
        <v>18880.692625</v>
      </c>
      <c r="G630" s="12">
        <f t="shared" si="213"/>
        <v>-1.5440749543799601E-2</v>
      </c>
      <c r="H630" s="19">
        <f t="shared" si="218"/>
        <v>0.37123619645064987</v>
      </c>
      <c r="I630" s="11">
        <f t="shared" si="219"/>
        <v>18701.04</v>
      </c>
      <c r="J630" s="11">
        <f t="shared" si="220"/>
        <v>16399.25</v>
      </c>
      <c r="K630" s="12">
        <f>(B630-MAX($B$2:B630))/MAX($B$2:B630)</f>
        <v>-0.14777077618800497</v>
      </c>
      <c r="L630" s="12">
        <f t="shared" si="221"/>
        <v>-7.7934703096726121E-2</v>
      </c>
      <c r="M630" s="15">
        <f t="shared" si="215"/>
        <v>42.713824803164108</v>
      </c>
      <c r="N630" s="11">
        <f t="shared" si="208"/>
        <v>17235.160806024982</v>
      </c>
      <c r="O630" s="11">
        <f t="shared" si="209"/>
        <v>17578.419850652746</v>
      </c>
      <c r="P630" s="11">
        <f t="shared" si="205"/>
        <v>-343.25904462776452</v>
      </c>
      <c r="Q630" s="11">
        <f t="shared" si="210"/>
        <v>-395.32913090450853</v>
      </c>
      <c r="R630" s="11">
        <f t="shared" si="206"/>
        <v>52.070086276744007</v>
      </c>
      <c r="S630" s="9">
        <f t="shared" si="207"/>
        <v>60</v>
      </c>
      <c r="T630" s="14">
        <f t="shared" si="214"/>
        <v>0</v>
      </c>
      <c r="U630" s="14">
        <f t="shared" si="211"/>
        <v>1.532215236496326E-2</v>
      </c>
      <c r="V630" s="14">
        <f t="shared" si="225"/>
        <v>9.5282495234388278E-3</v>
      </c>
      <c r="W630" s="14">
        <f t="shared" si="225"/>
        <v>1.2778929867185549E-2</v>
      </c>
      <c r="X630" s="16">
        <f t="shared" si="217"/>
        <v>0.74562186524757446</v>
      </c>
    </row>
    <row r="631" spans="1:24" x14ac:dyDescent="0.25">
      <c r="A631" s="10">
        <v>46105</v>
      </c>
      <c r="B631" s="11">
        <v>17236.400000000001</v>
      </c>
      <c r="C631" s="12">
        <f t="shared" si="212"/>
        <v>-4.1638685238221118E-4</v>
      </c>
      <c r="D631" s="11">
        <f t="shared" si="222"/>
        <v>17387.918000000005</v>
      </c>
      <c r="E631" s="11">
        <f t="shared" si="226"/>
        <v>18198.169199999997</v>
      </c>
      <c r="F631" s="11">
        <f t="shared" si="224"/>
        <v>18867.711062499999</v>
      </c>
      <c r="G631" s="12">
        <f t="shared" si="213"/>
        <v>-4.164735654592551E-4</v>
      </c>
      <c r="H631" s="19">
        <f t="shared" si="218"/>
        <v>0.37139271741394053</v>
      </c>
      <c r="I631" s="11">
        <f t="shared" si="219"/>
        <v>18651.759999999998</v>
      </c>
      <c r="J631" s="11">
        <f t="shared" si="220"/>
        <v>16399.25</v>
      </c>
      <c r="K631" s="12">
        <f>(B631-MAX($B$2:B631))/MAX($B$2:B631)</f>
        <v>-0.14812563323201614</v>
      </c>
      <c r="L631" s="12">
        <f t="shared" si="221"/>
        <v>-7.588345550232245E-2</v>
      </c>
      <c r="M631" s="15">
        <f t="shared" si="215"/>
        <v>49.291434580131771</v>
      </c>
      <c r="N631" s="11">
        <f t="shared" si="208"/>
        <v>17235.351451251907</v>
      </c>
      <c r="O631" s="11">
        <f t="shared" si="209"/>
        <v>17553.085046900691</v>
      </c>
      <c r="P631" s="11">
        <f t="shared" si="205"/>
        <v>-317.7335956487841</v>
      </c>
      <c r="Q631" s="11">
        <f t="shared" si="210"/>
        <v>-379.81002385336365</v>
      </c>
      <c r="R631" s="11">
        <f t="shared" si="206"/>
        <v>62.076428204579543</v>
      </c>
      <c r="S631" s="9">
        <f t="shared" si="207"/>
        <v>60</v>
      </c>
      <c r="T631" s="14">
        <f t="shared" si="214"/>
        <v>0</v>
      </c>
      <c r="U631" s="14">
        <f t="shared" si="211"/>
        <v>4.1638685238221118E-4</v>
      </c>
      <c r="V631" s="14">
        <f t="shared" si="225"/>
        <v>9.5282495234388278E-3</v>
      </c>
      <c r="W631" s="14">
        <f t="shared" si="225"/>
        <v>9.8021871023181405E-3</v>
      </c>
      <c r="X631" s="16">
        <f t="shared" si="217"/>
        <v>0.97205342276985018</v>
      </c>
    </row>
    <row r="632" spans="1:24" x14ac:dyDescent="0.25">
      <c r="A632" s="10">
        <v>46106</v>
      </c>
      <c r="B632" s="11">
        <v>17590.419999999998</v>
      </c>
      <c r="C632" s="12">
        <f t="shared" si="212"/>
        <v>2.0539091689679712E-2</v>
      </c>
      <c r="D632" s="11">
        <f t="shared" si="222"/>
        <v>17334.851000000002</v>
      </c>
      <c r="E632" s="11">
        <f t="shared" si="226"/>
        <v>18160.588199999998</v>
      </c>
      <c r="F632" s="11">
        <f t="shared" si="224"/>
        <v>18856.112624999998</v>
      </c>
      <c r="G632" s="12">
        <f t="shared" si="213"/>
        <v>2.0331008942400079E-2</v>
      </c>
      <c r="H632" s="19">
        <f t="shared" si="218"/>
        <v>0.38138857111118374</v>
      </c>
      <c r="I632" s="11">
        <f t="shared" si="219"/>
        <v>18582.490000000002</v>
      </c>
      <c r="J632" s="11">
        <f t="shared" si="220"/>
        <v>16399.25</v>
      </c>
      <c r="K632" s="12">
        <f>(B632-MAX($B$2:B632))/MAX($B$2:B632)</f>
        <v>-0.1306289075048806</v>
      </c>
      <c r="L632" s="12">
        <f t="shared" si="221"/>
        <v>-5.3387355515864821E-2</v>
      </c>
      <c r="M632" s="15">
        <f t="shared" si="215"/>
        <v>65.532438961625473</v>
      </c>
      <c r="N632" s="11">
        <f t="shared" si="208"/>
        <v>17289.977381828536</v>
      </c>
      <c r="O632" s="11">
        <f t="shared" si="209"/>
        <v>17555.850598982121</v>
      </c>
      <c r="P632" s="11">
        <f t="shared" si="205"/>
        <v>-265.87321715358485</v>
      </c>
      <c r="Q632" s="11">
        <f t="shared" si="210"/>
        <v>-357.02266251340791</v>
      </c>
      <c r="R632" s="11">
        <f t="shared" si="206"/>
        <v>91.149445359823062</v>
      </c>
      <c r="S632" s="9">
        <f t="shared" si="207"/>
        <v>60</v>
      </c>
      <c r="T632" s="14">
        <f t="shared" si="214"/>
        <v>2.0539091689679712E-2</v>
      </c>
      <c r="U632" s="14">
        <f t="shared" si="211"/>
        <v>0</v>
      </c>
      <c r="V632" s="14">
        <f t="shared" si="225"/>
        <v>1.0995327501273093E-2</v>
      </c>
      <c r="W632" s="14">
        <f t="shared" si="225"/>
        <v>5.7831224931056335E-3</v>
      </c>
      <c r="X632" s="16">
        <f t="shared" si="217"/>
        <v>1.9012786802252946</v>
      </c>
    </row>
    <row r="633" spans="1:24" x14ac:dyDescent="0.25">
      <c r="A633" s="10">
        <v>46107</v>
      </c>
      <c r="B633" s="11">
        <v>17443.330000000002</v>
      </c>
      <c r="C633" s="12">
        <f t="shared" si="212"/>
        <v>-8.3619379184803888E-3</v>
      </c>
      <c r="D633" s="11">
        <f t="shared" si="222"/>
        <v>17277.893000000004</v>
      </c>
      <c r="E633" s="11">
        <f t="shared" si="226"/>
        <v>18119.120599999995</v>
      </c>
      <c r="F633" s="11">
        <f t="shared" si="224"/>
        <v>18842.415499999999</v>
      </c>
      <c r="G633" s="12">
        <f t="shared" si="213"/>
        <v>-8.3970950463526199E-3</v>
      </c>
      <c r="H633" s="19">
        <f t="shared" si="218"/>
        <v>0.38187819668423073</v>
      </c>
      <c r="I633" s="11">
        <f t="shared" si="219"/>
        <v>18526.39</v>
      </c>
      <c r="J633" s="11">
        <f t="shared" si="220"/>
        <v>16399.25</v>
      </c>
      <c r="K633" s="12">
        <f>(B633-MAX($B$2:B633))/MAX($B$2:B633)</f>
        <v>-0.13789853460844631</v>
      </c>
      <c r="L633" s="12">
        <f t="shared" si="221"/>
        <v>-5.8460390826275299E-2</v>
      </c>
      <c r="M633" s="15">
        <f t="shared" si="215"/>
        <v>60.758339349487848</v>
      </c>
      <c r="N633" s="11">
        <f t="shared" si="208"/>
        <v>17313.570092316455</v>
      </c>
      <c r="O633" s="11">
        <f t="shared" si="209"/>
        <v>17547.515739798262</v>
      </c>
      <c r="P633" s="11">
        <f t="shared" si="205"/>
        <v>-233.9456474818071</v>
      </c>
      <c r="Q633" s="11">
        <f t="shared" si="210"/>
        <v>-332.40725950708782</v>
      </c>
      <c r="R633" s="11">
        <f t="shared" si="206"/>
        <v>98.461612025280715</v>
      </c>
      <c r="S633" s="9">
        <f t="shared" si="207"/>
        <v>60</v>
      </c>
      <c r="T633" s="14">
        <f t="shared" si="214"/>
        <v>0</v>
      </c>
      <c r="U633" s="14">
        <f t="shared" si="211"/>
        <v>8.3619379184803888E-3</v>
      </c>
      <c r="V633" s="14">
        <f t="shared" si="225"/>
        <v>9.8788565825246311E-3</v>
      </c>
      <c r="W633" s="14">
        <f t="shared" si="225"/>
        <v>6.3804037729970897E-3</v>
      </c>
      <c r="X633" s="16">
        <f t="shared" si="217"/>
        <v>1.5483121341526322</v>
      </c>
    </row>
    <row r="634" spans="1:24" x14ac:dyDescent="0.25">
      <c r="A634" s="10">
        <v>46108</v>
      </c>
      <c r="B634" s="11">
        <v>17221.05</v>
      </c>
      <c r="C634" s="12">
        <f t="shared" si="212"/>
        <v>-1.2742979694817635E-2</v>
      </c>
      <c r="D634" s="11">
        <f t="shared" si="222"/>
        <v>17212.626</v>
      </c>
      <c r="E634" s="11">
        <f t="shared" si="226"/>
        <v>18075.9038</v>
      </c>
      <c r="F634" s="11">
        <f t="shared" si="224"/>
        <v>18827.730624999997</v>
      </c>
      <c r="G634" s="12">
        <f t="shared" si="213"/>
        <v>-1.2824867870610573E-2</v>
      </c>
      <c r="H634" s="19">
        <f t="shared" si="218"/>
        <v>0.38341244005309211</v>
      </c>
      <c r="I634" s="11">
        <f t="shared" si="219"/>
        <v>18369.939999999999</v>
      </c>
      <c r="J634" s="11">
        <f t="shared" si="220"/>
        <v>16399.25</v>
      </c>
      <c r="K634" s="12">
        <f>(B634-MAX($B$2:B634))/MAX($B$2:B634)</f>
        <v>-0.14888427607680335</v>
      </c>
      <c r="L634" s="12">
        <f t="shared" si="221"/>
        <v>-6.2541848258622523E-2</v>
      </c>
      <c r="M634" s="15">
        <f t="shared" si="215"/>
        <v>48.601532339464114</v>
      </c>
      <c r="N634" s="11">
        <f t="shared" si="208"/>
        <v>17299.336231960078</v>
      </c>
      <c r="O634" s="11">
        <f t="shared" si="209"/>
        <v>17523.333092405795</v>
      </c>
      <c r="P634" s="11">
        <f t="shared" si="205"/>
        <v>-223.99686044571718</v>
      </c>
      <c r="Q634" s="11">
        <f t="shared" si="210"/>
        <v>-310.72517969481373</v>
      </c>
      <c r="R634" s="11">
        <f t="shared" si="206"/>
        <v>86.728319249096558</v>
      </c>
      <c r="S634" s="9">
        <f t="shared" si="207"/>
        <v>60</v>
      </c>
      <c r="T634" s="14">
        <f t="shared" si="214"/>
        <v>0</v>
      </c>
      <c r="U634" s="14">
        <f t="shared" si="211"/>
        <v>1.2742979694817635E-2</v>
      </c>
      <c r="V634" s="14">
        <f t="shared" si="225"/>
        <v>6.8938852653187234E-3</v>
      </c>
      <c r="W634" s="14">
        <f t="shared" si="225"/>
        <v>7.2906166083412062E-3</v>
      </c>
      <c r="X634" s="16">
        <f t="shared" si="217"/>
        <v>0.9455832936587858</v>
      </c>
    </row>
    <row r="635" spans="1:24" x14ac:dyDescent="0.25">
      <c r="A635" s="10">
        <v>46111</v>
      </c>
      <c r="B635" s="11">
        <v>17330.27</v>
      </c>
      <c r="C635" s="12">
        <f t="shared" si="212"/>
        <v>6.342238132982736E-3</v>
      </c>
      <c r="D635" s="11">
        <f t="shared" si="222"/>
        <v>17160.642500000002</v>
      </c>
      <c r="E635" s="11">
        <f t="shared" si="226"/>
        <v>18037.102599999998</v>
      </c>
      <c r="F635" s="11">
        <f t="shared" si="224"/>
        <v>18813.874249999993</v>
      </c>
      <c r="G635" s="12">
        <f t="shared" si="213"/>
        <v>6.3222107749604873E-3</v>
      </c>
      <c r="H635" s="19">
        <f t="shared" si="218"/>
        <v>0.38453934063091805</v>
      </c>
      <c r="I635" s="11">
        <f t="shared" si="219"/>
        <v>18140.55</v>
      </c>
      <c r="J635" s="11">
        <f t="shared" si="220"/>
        <v>16399.25</v>
      </c>
      <c r="K635" s="12">
        <f>(B635-MAX($B$2:B635))/MAX($B$2:B635)</f>
        <v>-0.14348629747695651</v>
      </c>
      <c r="L635" s="12">
        <f t="shared" si="221"/>
        <v>-4.4666782429419127E-2</v>
      </c>
      <c r="M635" s="15">
        <f t="shared" si="215"/>
        <v>54.054607948411579</v>
      </c>
      <c r="N635" s="11">
        <f t="shared" si="208"/>
        <v>17304.095273196988</v>
      </c>
      <c r="O635" s="11">
        <f t="shared" si="209"/>
        <v>17509.032122597961</v>
      </c>
      <c r="P635" s="11">
        <f t="shared" si="205"/>
        <v>-204.93684940097228</v>
      </c>
      <c r="Q635" s="11">
        <f t="shared" si="210"/>
        <v>-289.56751363604548</v>
      </c>
      <c r="R635" s="11">
        <f t="shared" si="206"/>
        <v>84.630664235073198</v>
      </c>
      <c r="S635" s="9">
        <f t="shared" si="207"/>
        <v>60</v>
      </c>
      <c r="T635" s="14">
        <f t="shared" si="214"/>
        <v>6.342238132982736E-3</v>
      </c>
      <c r="U635" s="14">
        <f t="shared" si="211"/>
        <v>0</v>
      </c>
      <c r="V635" s="14">
        <f t="shared" si="225"/>
        <v>7.3469022748174906E-3</v>
      </c>
      <c r="W635" s="14">
        <f t="shared" si="225"/>
        <v>6.2447276595429578E-3</v>
      </c>
      <c r="X635" s="16">
        <f t="shared" si="217"/>
        <v>1.1764968266614848</v>
      </c>
    </row>
    <row r="636" spans="1:24" x14ac:dyDescent="0.25">
      <c r="A636" s="10">
        <v>46112</v>
      </c>
      <c r="B636" s="11">
        <v>17160.54</v>
      </c>
      <c r="C636" s="12">
        <f t="shared" si="212"/>
        <v>-9.7938462585983599E-3</v>
      </c>
      <c r="D636" s="11">
        <f t="shared" si="222"/>
        <v>17111.642</v>
      </c>
      <c r="E636" s="11">
        <f t="shared" si="226"/>
        <v>17996.304</v>
      </c>
      <c r="F636" s="11">
        <f t="shared" si="224"/>
        <v>18798.779124999994</v>
      </c>
      <c r="G636" s="12">
        <f t="shared" si="213"/>
        <v>-9.8421214292033245E-3</v>
      </c>
      <c r="H636" s="19">
        <f t="shared" si="218"/>
        <v>0.38375324815907585</v>
      </c>
      <c r="I636" s="11">
        <f t="shared" si="219"/>
        <v>17590.419999999998</v>
      </c>
      <c r="J636" s="11">
        <f t="shared" si="220"/>
        <v>16399.25</v>
      </c>
      <c r="K636" s="12">
        <f>(B636-MAX($B$2:B636))/MAX($B$2:B636)</f>
        <v>-0.15187486099785005</v>
      </c>
      <c r="L636" s="12">
        <f t="shared" si="221"/>
        <v>-1.2456695632157344E-2</v>
      </c>
      <c r="M636" s="15">
        <f t="shared" si="215"/>
        <v>61.556958440718567</v>
      </c>
      <c r="N636" s="11">
        <f t="shared" si="208"/>
        <v>17282.009846551297</v>
      </c>
      <c r="O636" s="11">
        <f t="shared" si="209"/>
        <v>17483.217891294407</v>
      </c>
      <c r="P636" s="11">
        <f t="shared" si="205"/>
        <v>-201.2080447431108</v>
      </c>
      <c r="Q636" s="11">
        <f t="shared" si="210"/>
        <v>-271.89561985745854</v>
      </c>
      <c r="R636" s="11">
        <f t="shared" si="206"/>
        <v>70.687575114347737</v>
      </c>
      <c r="S636" s="9">
        <f t="shared" si="207"/>
        <v>60</v>
      </c>
      <c r="T636" s="14">
        <f t="shared" si="214"/>
        <v>0</v>
      </c>
      <c r="U636" s="14">
        <f t="shared" si="211"/>
        <v>9.7938462585983599E-3</v>
      </c>
      <c r="V636" s="14">
        <f t="shared" si="225"/>
        <v>7.3469022748174906E-3</v>
      </c>
      <c r="W636" s="14">
        <f t="shared" si="225"/>
        <v>4.5882265244600196E-3</v>
      </c>
      <c r="X636" s="16">
        <f t="shared" si="217"/>
        <v>1.6012509922190763</v>
      </c>
    </row>
    <row r="637" spans="1:24" x14ac:dyDescent="0.25">
      <c r="A637" s="10">
        <v>46113</v>
      </c>
      <c r="B637" s="11">
        <v>17554.23</v>
      </c>
      <c r="C637" s="12">
        <f t="shared" si="212"/>
        <v>2.294158575429428E-2</v>
      </c>
      <c r="D637" s="11">
        <f t="shared" si="222"/>
        <v>17120.503499999999</v>
      </c>
      <c r="E637" s="11">
        <f t="shared" si="226"/>
        <v>17967.2274</v>
      </c>
      <c r="F637" s="11">
        <f t="shared" si="224"/>
        <v>18785.462062499992</v>
      </c>
      <c r="G637" s="12">
        <f t="shared" si="213"/>
        <v>2.2682384414726062E-2</v>
      </c>
      <c r="H637" s="19">
        <f t="shared" si="218"/>
        <v>0.36268622934800465</v>
      </c>
      <c r="I637" s="11">
        <f t="shared" si="219"/>
        <v>17590.419999999998</v>
      </c>
      <c r="J637" s="11">
        <f t="shared" si="220"/>
        <v>16399.25</v>
      </c>
      <c r="K637" s="12">
        <f>(B637-MAX($B$2:B637))/MAX($B$2:B637)</f>
        <v>-0.13241752539105942</v>
      </c>
      <c r="L637" s="12">
        <f t="shared" si="221"/>
        <v>7.0428830586764635E-2</v>
      </c>
      <c r="M637" s="15">
        <f t="shared" si="215"/>
        <v>61.701502432882521</v>
      </c>
      <c r="N637" s="11">
        <f t="shared" si="208"/>
        <v>17323.88987015879</v>
      </c>
      <c r="O637" s="11">
        <f t="shared" si="209"/>
        <v>17488.47804749482</v>
      </c>
      <c r="P637" s="11">
        <f t="shared" si="205"/>
        <v>-164.58817733603064</v>
      </c>
      <c r="Q637" s="11">
        <f t="shared" si="210"/>
        <v>-250.43413135317297</v>
      </c>
      <c r="R637" s="11">
        <f t="shared" si="206"/>
        <v>85.845954017142333</v>
      </c>
      <c r="S637" s="9">
        <f t="shared" si="207"/>
        <v>60</v>
      </c>
      <c r="T637" s="14">
        <f t="shared" si="214"/>
        <v>2.294158575429428E-2</v>
      </c>
      <c r="U637" s="14">
        <f t="shared" si="211"/>
        <v>0</v>
      </c>
      <c r="V637" s="14">
        <f t="shared" si="225"/>
        <v>7.3919471531607005E-3</v>
      </c>
      <c r="W637" s="14">
        <f t="shared" si="225"/>
        <v>4.5882265244600196E-3</v>
      </c>
      <c r="X637" s="16">
        <f t="shared" si="217"/>
        <v>1.6110684844686578</v>
      </c>
    </row>
    <row r="638" spans="1:24" x14ac:dyDescent="0.25">
      <c r="A638" s="10">
        <v>46114</v>
      </c>
      <c r="B638" s="11">
        <v>17525.32</v>
      </c>
      <c r="C638" s="12">
        <f t="shared" si="212"/>
        <v>-1.6468965030080884E-3</v>
      </c>
      <c r="D638" s="11">
        <f t="shared" si="222"/>
        <v>17176.807000000001</v>
      </c>
      <c r="E638" s="11">
        <f t="shared" si="226"/>
        <v>17940.091599999996</v>
      </c>
      <c r="F638" s="11">
        <f t="shared" si="224"/>
        <v>18771.376499999991</v>
      </c>
      <c r="G638" s="12">
        <f t="shared" si="213"/>
        <v>-1.6482541278370364E-3</v>
      </c>
      <c r="H638" s="19">
        <f t="shared" si="218"/>
        <v>0.29023955355284636</v>
      </c>
      <c r="I638" s="11">
        <f t="shared" si="219"/>
        <v>17590.419999999998</v>
      </c>
      <c r="J638" s="11">
        <f t="shared" si="220"/>
        <v>16533.580000000002</v>
      </c>
      <c r="K638" s="12">
        <f>(B638-MAX($B$2:B638))/MAX($B$2:B638)</f>
        <v>-0.13384634393456399</v>
      </c>
      <c r="L638" s="12">
        <f t="shared" si="221"/>
        <v>5.2219136169379787E-2</v>
      </c>
      <c r="M638" s="15">
        <f t="shared" si="215"/>
        <v>57.304556608826694</v>
      </c>
      <c r="N638" s="11">
        <f t="shared" si="208"/>
        <v>17354.879120903592</v>
      </c>
      <c r="O638" s="11">
        <f t="shared" si="209"/>
        <v>17491.207081013723</v>
      </c>
      <c r="P638" s="11">
        <f t="shared" si="205"/>
        <v>-136.32796011013124</v>
      </c>
      <c r="Q638" s="11">
        <f t="shared" si="210"/>
        <v>-227.61289710456464</v>
      </c>
      <c r="R638" s="11">
        <f t="shared" si="206"/>
        <v>91.284936994433394</v>
      </c>
      <c r="S638" s="9">
        <f t="shared" si="207"/>
        <v>60</v>
      </c>
      <c r="T638" s="14">
        <f t="shared" si="214"/>
        <v>0</v>
      </c>
      <c r="U638" s="14">
        <f t="shared" si="211"/>
        <v>1.6468965030080884E-3</v>
      </c>
      <c r="V638" s="14">
        <f t="shared" si="225"/>
        <v>6.3160682574260009E-3</v>
      </c>
      <c r="W638" s="14">
        <f t="shared" si="225"/>
        <v>4.7058619889605979E-3</v>
      </c>
      <c r="X638" s="16">
        <f t="shared" si="217"/>
        <v>1.3421703127381888</v>
      </c>
    </row>
    <row r="639" spans="1:24" x14ac:dyDescent="0.25">
      <c r="A639" s="10">
        <v>46115</v>
      </c>
      <c r="B639" s="11">
        <v>17514.8</v>
      </c>
      <c r="C639" s="12">
        <f t="shared" si="212"/>
        <v>-6.0027434591780615E-4</v>
      </c>
      <c r="D639" s="11">
        <f t="shared" si="222"/>
        <v>17219.768</v>
      </c>
      <c r="E639" s="11">
        <f t="shared" si="226"/>
        <v>17917.385999999999</v>
      </c>
      <c r="F639" s="11">
        <f t="shared" si="224"/>
        <v>18756.976749999994</v>
      </c>
      <c r="G639" s="12">
        <f t="shared" si="213"/>
        <v>-6.0045458269427428E-4</v>
      </c>
      <c r="H639" s="19">
        <f t="shared" si="218"/>
        <v>0.28688015159053376</v>
      </c>
      <c r="I639" s="11">
        <f t="shared" si="219"/>
        <v>17590.419999999998</v>
      </c>
      <c r="J639" s="11">
        <f t="shared" si="220"/>
        <v>16533.580000000002</v>
      </c>
      <c r="K639" s="12">
        <f>(B639-MAX($B$2:B639))/MAX($B$2:B639)</f>
        <v>-0.13436627375392299</v>
      </c>
      <c r="L639" s="12">
        <f t="shared" si="221"/>
        <v>9.404890958245371E-3</v>
      </c>
      <c r="M639" s="15">
        <f t="shared" si="215"/>
        <v>57.071030107555309</v>
      </c>
      <c r="N639" s="11">
        <f t="shared" si="208"/>
        <v>17379.482333072268</v>
      </c>
      <c r="O639" s="11">
        <f t="shared" si="209"/>
        <v>17492.954704642336</v>
      </c>
      <c r="P639" s="11">
        <f t="shared" si="205"/>
        <v>-113.47237157006748</v>
      </c>
      <c r="Q639" s="11">
        <f t="shared" si="210"/>
        <v>-204.78479199766522</v>
      </c>
      <c r="R639" s="11">
        <f t="shared" si="206"/>
        <v>91.312420427597743</v>
      </c>
      <c r="S639" s="9">
        <f t="shared" si="207"/>
        <v>60</v>
      </c>
      <c r="T639" s="14">
        <f t="shared" si="214"/>
        <v>0</v>
      </c>
      <c r="U639" s="14">
        <f t="shared" si="211"/>
        <v>6.0027434591780615E-4</v>
      </c>
      <c r="V639" s="14">
        <f t="shared" si="225"/>
        <v>6.3131123713200399E-3</v>
      </c>
      <c r="W639" s="14">
        <f t="shared" si="225"/>
        <v>4.7487387279547266E-3</v>
      </c>
      <c r="X639" s="16">
        <f t="shared" si="217"/>
        <v>1.3294292933313445</v>
      </c>
    </row>
    <row r="640" spans="1:24" x14ac:dyDescent="0.25">
      <c r="A640" s="10">
        <v>46118</v>
      </c>
      <c r="B640" s="11">
        <v>17599.7</v>
      </c>
      <c r="C640" s="12">
        <f t="shared" si="212"/>
        <v>4.8473291159476517E-3</v>
      </c>
      <c r="D640" s="11">
        <f t="shared" si="222"/>
        <v>17232.172500000001</v>
      </c>
      <c r="E640" s="11">
        <f t="shared" si="226"/>
        <v>17893.538199999999</v>
      </c>
      <c r="F640" s="11">
        <f t="shared" si="224"/>
        <v>18742.953437499993</v>
      </c>
      <c r="G640" s="12">
        <f t="shared" si="213"/>
        <v>4.8356186439294149E-3</v>
      </c>
      <c r="H640" s="19">
        <f t="shared" si="218"/>
        <v>0.24884623877586751</v>
      </c>
      <c r="I640" s="11">
        <f t="shared" si="219"/>
        <v>17599.7</v>
      </c>
      <c r="J640" s="11">
        <f t="shared" si="220"/>
        <v>16533.580000000002</v>
      </c>
      <c r="K640" s="12">
        <f>(B640-MAX($B$2:B640))/MAX($B$2:B640)</f>
        <v>-0.13017026218894404</v>
      </c>
      <c r="L640" s="12">
        <f t="shared" si="221"/>
        <v>2.9370307073415258E-2</v>
      </c>
      <c r="M640" s="15">
        <f t="shared" si="215"/>
        <v>65.602262593119804</v>
      </c>
      <c r="N640" s="11">
        <f t="shared" si="208"/>
        <v>17413.361974138075</v>
      </c>
      <c r="O640" s="11">
        <f t="shared" si="209"/>
        <v>17500.861763557717</v>
      </c>
      <c r="P640" s="11">
        <f t="shared" si="205"/>
        <v>-87.499789419642184</v>
      </c>
      <c r="Q640" s="11">
        <f t="shared" si="210"/>
        <v>-181.32779148206063</v>
      </c>
      <c r="R640" s="11">
        <f t="shared" si="206"/>
        <v>93.828002062418449</v>
      </c>
      <c r="S640" s="9">
        <f t="shared" si="207"/>
        <v>60</v>
      </c>
      <c r="T640" s="14">
        <f t="shared" si="214"/>
        <v>4.8473291159476517E-3</v>
      </c>
      <c r="U640" s="14">
        <f t="shared" si="211"/>
        <v>0</v>
      </c>
      <c r="V640" s="14">
        <f t="shared" ref="V640:W655" si="227">AVERAGE(T627:T640)</f>
        <v>6.6593501653163011E-3</v>
      </c>
      <c r="W640" s="14">
        <f t="shared" si="227"/>
        <v>3.4917481384405535E-3</v>
      </c>
      <c r="X640" s="16">
        <f t="shared" si="217"/>
        <v>1.9071679575063587</v>
      </c>
    </row>
    <row r="641" spans="1:24" x14ac:dyDescent="0.25">
      <c r="A641" s="10">
        <v>46119</v>
      </c>
      <c r="B641" s="11">
        <v>17391.2</v>
      </c>
      <c r="C641" s="12">
        <f t="shared" si="212"/>
        <v>-1.1846792843059784E-2</v>
      </c>
      <c r="D641" s="11">
        <f t="shared" si="222"/>
        <v>17246.855499999998</v>
      </c>
      <c r="E641" s="11">
        <f t="shared" si="226"/>
        <v>17868.490999999998</v>
      </c>
      <c r="F641" s="11">
        <f t="shared" si="224"/>
        <v>18727.375499999995</v>
      </c>
      <c r="G641" s="12">
        <f t="shared" si="213"/>
        <v>-1.1917525283452966E-2</v>
      </c>
      <c r="H641" s="19">
        <f t="shared" si="218"/>
        <v>0.24670563817010591</v>
      </c>
      <c r="I641" s="11">
        <f t="shared" si="219"/>
        <v>17599.7</v>
      </c>
      <c r="J641" s="11">
        <f t="shared" si="220"/>
        <v>16533.580000000002</v>
      </c>
      <c r="K641" s="12">
        <f>(B641-MAX($B$2:B641))/MAX($B$2:B641)</f>
        <v>-0.14047495490152467</v>
      </c>
      <c r="L641" s="12">
        <f t="shared" si="221"/>
        <v>5.1871403531479565E-2</v>
      </c>
      <c r="M641" s="15">
        <f t="shared" si="215"/>
        <v>59.191388057745193</v>
      </c>
      <c r="N641" s="11">
        <f t="shared" si="208"/>
        <v>17409.952439655295</v>
      </c>
      <c r="O641" s="11">
        <f t="shared" si="209"/>
        <v>17492.738669960851</v>
      </c>
      <c r="P641" s="11">
        <f t="shared" si="205"/>
        <v>-82.786230305555364</v>
      </c>
      <c r="Q641" s="11">
        <f t="shared" si="210"/>
        <v>-161.6194792467596</v>
      </c>
      <c r="R641" s="11">
        <f t="shared" si="206"/>
        <v>78.833248941204232</v>
      </c>
      <c r="S641" s="9">
        <f t="shared" si="207"/>
        <v>60</v>
      </c>
      <c r="T641" s="14">
        <f t="shared" si="214"/>
        <v>0</v>
      </c>
      <c r="U641" s="14">
        <f t="shared" si="211"/>
        <v>1.1846792843059784E-2</v>
      </c>
      <c r="V641" s="14">
        <f t="shared" si="227"/>
        <v>6.2920332046802396E-3</v>
      </c>
      <c r="W641" s="14">
        <f t="shared" si="227"/>
        <v>4.3379476272305383E-3</v>
      </c>
      <c r="X641" s="16">
        <f t="shared" si="217"/>
        <v>1.4504631557060179</v>
      </c>
    </row>
    <row r="642" spans="1:24" x14ac:dyDescent="0.25">
      <c r="A642" s="10">
        <v>46120</v>
      </c>
      <c r="B642" s="11">
        <v>18102.52</v>
      </c>
      <c r="C642" s="12">
        <f t="shared" si="212"/>
        <v>4.0901145406872397E-2</v>
      </c>
      <c r="D642" s="11">
        <f t="shared" si="222"/>
        <v>17325.302500000002</v>
      </c>
      <c r="E642" s="11">
        <f t="shared" si="226"/>
        <v>17862.841599999996</v>
      </c>
      <c r="F642" s="11">
        <f t="shared" si="224"/>
        <v>18716.399812499996</v>
      </c>
      <c r="G642" s="12">
        <f t="shared" si="213"/>
        <v>4.0086823939172463E-2</v>
      </c>
      <c r="H642" s="19">
        <f t="shared" si="218"/>
        <v>0.24899347301966732</v>
      </c>
      <c r="I642" s="11">
        <f t="shared" si="219"/>
        <v>18102.52</v>
      </c>
      <c r="J642" s="11">
        <f t="shared" si="220"/>
        <v>16855.82</v>
      </c>
      <c r="K642" s="12">
        <f>(B642-MAX($B$2:B642))/MAX($B$2:B642)</f>
        <v>-0.10531939605110335</v>
      </c>
      <c r="L642" s="12">
        <f t="shared" si="221"/>
        <v>7.0999132670629184E-2</v>
      </c>
      <c r="M642" s="15">
        <f t="shared" si="215"/>
        <v>66.718715502156854</v>
      </c>
      <c r="N642" s="11">
        <f t="shared" si="208"/>
        <v>17516.501295092941</v>
      </c>
      <c r="O642" s="11">
        <f t="shared" si="209"/>
        <v>17537.907657371157</v>
      </c>
      <c r="P642" s="11">
        <f t="shared" ref="P642:P705" si="228">N642-O642</f>
        <v>-21.406362278215965</v>
      </c>
      <c r="Q642" s="11">
        <f t="shared" si="210"/>
        <v>-133.57685585305089</v>
      </c>
      <c r="R642" s="11">
        <f t="shared" ref="R642:R705" si="229">P642-Q642</f>
        <v>112.17049357483492</v>
      </c>
      <c r="S642" s="9">
        <f t="shared" ref="S642:S705" si="230">IF(AND(D642&gt;E642,P642&gt;Q642),100,IF(OR(D642&gt;E642,P642&gt;Q642),60,20))</f>
        <v>60</v>
      </c>
      <c r="T642" s="14">
        <f t="shared" si="214"/>
        <v>4.0901145406872397E-2</v>
      </c>
      <c r="U642" s="14">
        <f t="shared" si="211"/>
        <v>0</v>
      </c>
      <c r="V642" s="14">
        <f t="shared" si="227"/>
        <v>8.6962476951034495E-3</v>
      </c>
      <c r="W642" s="14">
        <f t="shared" si="227"/>
        <v>4.3379476272305383E-3</v>
      </c>
      <c r="X642" s="16">
        <f t="shared" si="217"/>
        <v>2.0046917211527902</v>
      </c>
    </row>
    <row r="643" spans="1:24" x14ac:dyDescent="0.25">
      <c r="A643" s="10">
        <v>46121</v>
      </c>
      <c r="B643" s="11">
        <v>18063.02</v>
      </c>
      <c r="C643" s="12">
        <f t="shared" si="212"/>
        <v>-2.1820166474060265E-3</v>
      </c>
      <c r="D643" s="11">
        <f t="shared" si="222"/>
        <v>17383.330500000004</v>
      </c>
      <c r="E643" s="11">
        <f t="shared" si="226"/>
        <v>17851.7762</v>
      </c>
      <c r="F643" s="11">
        <f t="shared" si="224"/>
        <v>18705.261874999993</v>
      </c>
      <c r="G643" s="12">
        <f t="shared" si="213"/>
        <v>-2.1844007144114145E-3</v>
      </c>
      <c r="H643" s="19">
        <f t="shared" si="218"/>
        <v>0.24109984035316043</v>
      </c>
      <c r="I643" s="11">
        <f t="shared" si="219"/>
        <v>18102.52</v>
      </c>
      <c r="J643" s="11">
        <f t="shared" si="220"/>
        <v>16855.82</v>
      </c>
      <c r="K643" s="12">
        <f>(B643-MAX($B$2:B643))/MAX($B$2:B643)</f>
        <v>-0.10727160402303108</v>
      </c>
      <c r="L643" s="12">
        <f t="shared" si="221"/>
        <v>5.2804532247676672E-2</v>
      </c>
      <c r="M643" s="15">
        <f t="shared" si="215"/>
        <v>60.303238144125288</v>
      </c>
      <c r="N643" s="11">
        <f t="shared" ref="N643:N706" si="231">(B643*(2/13))+N642*(1-2/13)</f>
        <v>17600.581095847876</v>
      </c>
      <c r="O643" s="11">
        <f t="shared" ref="O643:O706" si="232">(B643*(2/27))+O642*(1-2/27)</f>
        <v>17576.804867936258</v>
      </c>
      <c r="P643" s="11">
        <f t="shared" si="228"/>
        <v>23.776227911617752</v>
      </c>
      <c r="Q643" s="11">
        <f t="shared" ref="Q643:Q706" si="233">(P643*(2/10))+Q642*(1-2/10)</f>
        <v>-102.10623910011716</v>
      </c>
      <c r="R643" s="11">
        <f t="shared" si="229"/>
        <v>125.88246701173492</v>
      </c>
      <c r="S643" s="9">
        <f t="shared" si="230"/>
        <v>60</v>
      </c>
      <c r="T643" s="14">
        <f t="shared" si="214"/>
        <v>0</v>
      </c>
      <c r="U643" s="14">
        <f t="shared" ref="U643:U706" si="234">ABS(MIN(C643,0))</f>
        <v>2.1820166474060265E-3</v>
      </c>
      <c r="V643" s="14">
        <f t="shared" si="227"/>
        <v>6.8265278642697701E-3</v>
      </c>
      <c r="W643" s="14">
        <f t="shared" si="227"/>
        <v>4.4938059591881118E-3</v>
      </c>
      <c r="X643" s="16">
        <f t="shared" si="217"/>
        <v>1.5190971586817485</v>
      </c>
    </row>
    <row r="644" spans="1:24" x14ac:dyDescent="0.25">
      <c r="A644" s="10">
        <v>46122</v>
      </c>
      <c r="B644" s="11">
        <v>18447.349999999999</v>
      </c>
      <c r="C644" s="12">
        <f t="shared" ref="C644:C707" si="235">(B644/B643)-1</f>
        <v>2.1277172920142862E-2</v>
      </c>
      <c r="D644" s="11">
        <f t="shared" si="222"/>
        <v>17447.845500000003</v>
      </c>
      <c r="E644" s="11">
        <f t="shared" si="226"/>
        <v>17841.446799999998</v>
      </c>
      <c r="F644" s="11">
        <f t="shared" si="224"/>
        <v>18697.150999999994</v>
      </c>
      <c r="G644" s="12">
        <f t="shared" ref="G644:G707" si="236">LN(B644/B643)</f>
        <v>2.1053974348645862E-2</v>
      </c>
      <c r="H644" s="19">
        <f t="shared" si="218"/>
        <v>0.24593009774450547</v>
      </c>
      <c r="I644" s="11">
        <f t="shared" si="219"/>
        <v>18447.349999999999</v>
      </c>
      <c r="J644" s="11">
        <f t="shared" si="220"/>
        <v>16855.82</v>
      </c>
      <c r="K644" s="12">
        <f>(B644-MAX($B$2:B644))/MAX($B$2:B644)</f>
        <v>-8.8276867571107392E-2</v>
      </c>
      <c r="L644" s="12">
        <f t="shared" si="221"/>
        <v>7.5160743593569279E-2</v>
      </c>
      <c r="M644" s="15">
        <f t="shared" si="215"/>
        <v>71.058611286713898</v>
      </c>
      <c r="N644" s="11">
        <f t="shared" si="231"/>
        <v>17730.853234948201</v>
      </c>
      <c r="O644" s="11">
        <f t="shared" si="232"/>
        <v>17641.289692533574</v>
      </c>
      <c r="P644" s="11">
        <f t="shared" si="228"/>
        <v>89.563542414627591</v>
      </c>
      <c r="Q644" s="11">
        <f t="shared" si="233"/>
        <v>-63.772282797168216</v>
      </c>
      <c r="R644" s="11">
        <f t="shared" si="229"/>
        <v>153.33582521179579</v>
      </c>
      <c r="S644" s="9">
        <f t="shared" si="230"/>
        <v>60</v>
      </c>
      <c r="T644" s="14">
        <f t="shared" ref="T644:T707" si="237">MAX(C644,0)</f>
        <v>2.1277172920142862E-2</v>
      </c>
      <c r="U644" s="14">
        <f t="shared" si="234"/>
        <v>0</v>
      </c>
      <c r="V644" s="14">
        <f t="shared" si="227"/>
        <v>8.3463259299942603E-3</v>
      </c>
      <c r="W644" s="14">
        <f t="shared" si="227"/>
        <v>3.3993665045478788E-3</v>
      </c>
      <c r="X644" s="16">
        <f t="shared" si="217"/>
        <v>2.4552592133940365</v>
      </c>
    </row>
    <row r="645" spans="1:24" x14ac:dyDescent="0.25">
      <c r="A645" s="10">
        <v>46125</v>
      </c>
      <c r="B645" s="11">
        <v>18347.189999999999</v>
      </c>
      <c r="C645" s="12">
        <f t="shared" si="235"/>
        <v>-5.429506135027462E-3</v>
      </c>
      <c r="D645" s="11">
        <f t="shared" si="222"/>
        <v>17507.317000000003</v>
      </c>
      <c r="E645" s="11">
        <f t="shared" si="226"/>
        <v>17829.279999999995</v>
      </c>
      <c r="F645" s="11">
        <f t="shared" si="224"/>
        <v>18689.198687499997</v>
      </c>
      <c r="G645" s="12">
        <f t="shared" si="236"/>
        <v>-5.4442994747801359E-3</v>
      </c>
      <c r="H645" s="19">
        <f t="shared" si="218"/>
        <v>0.24775458617374185</v>
      </c>
      <c r="I645" s="11">
        <f t="shared" si="219"/>
        <v>18447.349999999999</v>
      </c>
      <c r="J645" s="11">
        <f t="shared" si="220"/>
        <v>16855.82</v>
      </c>
      <c r="K645" s="12">
        <f>(B645-MAX($B$2:B645))/MAX($B$2:B645)</f>
        <v>-9.3227073912076575E-2</v>
      </c>
      <c r="L645" s="12">
        <f t="shared" si="221"/>
        <v>8.8478044972003733E-2</v>
      </c>
      <c r="M645" s="15">
        <f t="shared" si="215"/>
        <v>68.956401902503103</v>
      </c>
      <c r="N645" s="11">
        <f t="shared" si="231"/>
        <v>17825.674275725403</v>
      </c>
      <c r="O645" s="11">
        <f t="shared" si="232"/>
        <v>17693.578604197752</v>
      </c>
      <c r="P645" s="11">
        <f t="shared" si="228"/>
        <v>132.09567152765158</v>
      </c>
      <c r="Q645" s="11">
        <f t="shared" si="233"/>
        <v>-24.598691932204257</v>
      </c>
      <c r="R645" s="11">
        <f t="shared" si="229"/>
        <v>156.69436345985582</v>
      </c>
      <c r="S645" s="9">
        <f t="shared" si="230"/>
        <v>60</v>
      </c>
      <c r="T645" s="14">
        <f t="shared" si="237"/>
        <v>0</v>
      </c>
      <c r="U645" s="14">
        <f t="shared" si="234"/>
        <v>5.429506135027462E-3</v>
      </c>
      <c r="V645" s="14">
        <f t="shared" si="227"/>
        <v>8.3463259299942603E-3</v>
      </c>
      <c r="W645" s="14">
        <f t="shared" si="227"/>
        <v>3.7574464533082536E-3</v>
      </c>
      <c r="X645" s="16">
        <f t="shared" si="217"/>
        <v>2.2212760803672174</v>
      </c>
    </row>
    <row r="646" spans="1:24" x14ac:dyDescent="0.25">
      <c r="A646" s="10">
        <v>46126</v>
      </c>
      <c r="B646" s="11">
        <v>18754.2</v>
      </c>
      <c r="C646" s="12">
        <f t="shared" si="235"/>
        <v>2.2183778551374989E-2</v>
      </c>
      <c r="D646" s="11">
        <f t="shared" si="222"/>
        <v>17602.236000000001</v>
      </c>
      <c r="E646" s="11">
        <f t="shared" si="226"/>
        <v>17831.024999999998</v>
      </c>
      <c r="F646" s="11">
        <f t="shared" si="224"/>
        <v>18681.523249999998</v>
      </c>
      <c r="G646" s="12">
        <f t="shared" si="236"/>
        <v>2.1941298072706686E-2</v>
      </c>
      <c r="H646" s="19">
        <f t="shared" si="218"/>
        <v>0.2429254735390822</v>
      </c>
      <c r="I646" s="11">
        <f t="shared" si="219"/>
        <v>18754.2</v>
      </c>
      <c r="J646" s="11">
        <f t="shared" si="220"/>
        <v>16942.5</v>
      </c>
      <c r="K646" s="12">
        <f>(B646-MAX($B$2:B646))/MAX($B$2:B646)</f>
        <v>-7.3111424123359733E-2</v>
      </c>
      <c r="L646" s="12">
        <f t="shared" si="221"/>
        <v>0.10693227091633473</v>
      </c>
      <c r="M646" s="15">
        <f t="shared" si="215"/>
        <v>69.254810692010167</v>
      </c>
      <c r="N646" s="11">
        <f t="shared" si="231"/>
        <v>17968.524387152265</v>
      </c>
      <c r="O646" s="11">
        <f t="shared" si="232"/>
        <v>17772.143152034954</v>
      </c>
      <c r="P646" s="11">
        <f t="shared" si="228"/>
        <v>196.38123511731101</v>
      </c>
      <c r="Q646" s="11">
        <f t="shared" si="233"/>
        <v>19.597293477698798</v>
      </c>
      <c r="R646" s="11">
        <f t="shared" si="229"/>
        <v>176.78394163961221</v>
      </c>
      <c r="S646" s="9">
        <f t="shared" si="230"/>
        <v>60</v>
      </c>
      <c r="T646" s="14">
        <f t="shared" si="237"/>
        <v>2.2183778551374989E-2</v>
      </c>
      <c r="U646" s="14">
        <f t="shared" si="234"/>
        <v>0</v>
      </c>
      <c r="V646" s="14">
        <f t="shared" si="227"/>
        <v>8.4638035629724939E-3</v>
      </c>
      <c r="W646" s="14">
        <f t="shared" si="227"/>
        <v>3.7574464533082536E-3</v>
      </c>
      <c r="X646" s="16">
        <f t="shared" si="217"/>
        <v>2.2525413650327648</v>
      </c>
    </row>
    <row r="647" spans="1:24" x14ac:dyDescent="0.25">
      <c r="A647" s="10">
        <v>46127</v>
      </c>
      <c r="B647" s="11">
        <v>18743.91</v>
      </c>
      <c r="C647" s="12">
        <f t="shared" si="235"/>
        <v>-5.4867709633044104E-4</v>
      </c>
      <c r="D647" s="11">
        <f t="shared" si="222"/>
        <v>17692.306499999999</v>
      </c>
      <c r="E647" s="11">
        <f t="shared" si="226"/>
        <v>17835.421999999999</v>
      </c>
      <c r="F647" s="11">
        <f t="shared" si="224"/>
        <v>18673.689249999999</v>
      </c>
      <c r="G647" s="12">
        <f t="shared" si="236"/>
        <v>-5.4882767469024377E-4</v>
      </c>
      <c r="H647" s="19">
        <f t="shared" si="218"/>
        <v>0.24382405583155789</v>
      </c>
      <c r="I647" s="11">
        <f t="shared" si="219"/>
        <v>18754.2</v>
      </c>
      <c r="J647" s="11">
        <f t="shared" si="220"/>
        <v>17065.2</v>
      </c>
      <c r="K647" s="12">
        <f>(B647-MAX($B$2:B647))/MAX($B$2:B647)</f>
        <v>-7.3619986655793612E-2</v>
      </c>
      <c r="L647" s="12">
        <f t="shared" si="221"/>
        <v>9.8370367765979738E-2</v>
      </c>
      <c r="M647" s="15">
        <f t="shared" si="215"/>
        <v>72.56870002446793</v>
      </c>
      <c r="N647" s="11">
        <f t="shared" si="231"/>
        <v>18087.814481436533</v>
      </c>
      <c r="O647" s="11">
        <f t="shared" si="232"/>
        <v>17844.125881513846</v>
      </c>
      <c r="P647" s="11">
        <f t="shared" si="228"/>
        <v>243.68859992268699</v>
      </c>
      <c r="Q647" s="11">
        <f t="shared" si="233"/>
        <v>64.415554766696431</v>
      </c>
      <c r="R647" s="11">
        <f t="shared" si="229"/>
        <v>179.27304515599056</v>
      </c>
      <c r="S647" s="9">
        <f t="shared" si="230"/>
        <v>60</v>
      </c>
      <c r="T647" s="14">
        <f t="shared" si="237"/>
        <v>0</v>
      </c>
      <c r="U647" s="14">
        <f t="shared" si="234"/>
        <v>5.4867709633044104E-4</v>
      </c>
      <c r="V647" s="14">
        <f t="shared" si="227"/>
        <v>8.4638035629724939E-3</v>
      </c>
      <c r="W647" s="14">
        <f t="shared" si="227"/>
        <v>3.1993563945832575E-3</v>
      </c>
      <c r="X647" s="16">
        <f t="shared" si="217"/>
        <v>2.6454706881991412</v>
      </c>
    </row>
    <row r="648" spans="1:24" x14ac:dyDescent="0.25">
      <c r="A648" s="10">
        <v>46128</v>
      </c>
      <c r="B648" s="11">
        <v>18739.54</v>
      </c>
      <c r="C648" s="12">
        <f t="shared" si="235"/>
        <v>-2.3314239131533299E-4</v>
      </c>
      <c r="D648" s="11">
        <f t="shared" si="222"/>
        <v>17776.023499999999</v>
      </c>
      <c r="E648" s="11">
        <f t="shared" si="226"/>
        <v>17841.417000000001</v>
      </c>
      <c r="F648" s="11">
        <f t="shared" si="224"/>
        <v>18665.402875</v>
      </c>
      <c r="G648" s="12">
        <f t="shared" si="236"/>
        <v>-2.3316957322756655E-4</v>
      </c>
      <c r="H648" s="19">
        <f t="shared" si="218"/>
        <v>0.24438038899613862</v>
      </c>
      <c r="I648" s="11">
        <f t="shared" si="219"/>
        <v>18754.2</v>
      </c>
      <c r="J648" s="11">
        <f t="shared" si="220"/>
        <v>17160.54</v>
      </c>
      <c r="K648" s="12">
        <f>(B648-MAX($B$2:B648))/MAX($B$2:B648)</f>
        <v>-7.3835965107371393E-2</v>
      </c>
      <c r="L648" s="12">
        <f t="shared" si="221"/>
        <v>7.0103186975713605E-2</v>
      </c>
      <c r="M648" s="15">
        <f t="shared" si="215"/>
        <v>78.589766054077742</v>
      </c>
      <c r="N648" s="11">
        <f t="shared" si="231"/>
        <v>18188.079945830912</v>
      </c>
      <c r="O648" s="11">
        <f t="shared" si="232"/>
        <v>17910.452853253562</v>
      </c>
      <c r="P648" s="11">
        <f t="shared" si="228"/>
        <v>277.62709257734969</v>
      </c>
      <c r="Q648" s="11">
        <f t="shared" si="233"/>
        <v>107.05786232882708</v>
      </c>
      <c r="R648" s="11">
        <f t="shared" si="229"/>
        <v>170.56923024852262</v>
      </c>
      <c r="S648" s="9">
        <f t="shared" si="230"/>
        <v>60</v>
      </c>
      <c r="T648" s="14">
        <f t="shared" si="237"/>
        <v>0</v>
      </c>
      <c r="U648" s="14">
        <f t="shared" si="234"/>
        <v>2.3314239131533299E-4</v>
      </c>
      <c r="V648" s="14">
        <f t="shared" si="227"/>
        <v>8.4638035629724939E-3</v>
      </c>
      <c r="W648" s="14">
        <f t="shared" si="227"/>
        <v>2.3057965871902358E-3</v>
      </c>
      <c r="X648" s="16">
        <f t="shared" si="217"/>
        <v>3.6706635832461671</v>
      </c>
    </row>
    <row r="649" spans="1:24" x14ac:dyDescent="0.25">
      <c r="A649" s="10">
        <v>46129</v>
      </c>
      <c r="B649" s="11">
        <v>19238.41</v>
      </c>
      <c r="C649" s="12">
        <f t="shared" si="235"/>
        <v>2.6621251108618349E-2</v>
      </c>
      <c r="D649" s="11">
        <f t="shared" si="222"/>
        <v>17862.348999999998</v>
      </c>
      <c r="E649" s="11">
        <f t="shared" si="226"/>
        <v>17857.169999999998</v>
      </c>
      <c r="F649" s="11">
        <f t="shared" si="224"/>
        <v>18659.183562500002</v>
      </c>
      <c r="G649" s="12">
        <f t="shared" si="236"/>
        <v>2.6273071405771717E-2</v>
      </c>
      <c r="H649" s="19">
        <f t="shared" si="218"/>
        <v>0.24488280516583646</v>
      </c>
      <c r="I649" s="11">
        <f t="shared" si="219"/>
        <v>19238.41</v>
      </c>
      <c r="J649" s="11">
        <f t="shared" si="220"/>
        <v>17160.54</v>
      </c>
      <c r="K649" s="12">
        <f>(B649-MAX($B$2:B649))/MAX($B$2:B649)</f>
        <v>-4.9180319766723511E-2</v>
      </c>
      <c r="L649" s="12">
        <f t="shared" si="221"/>
        <v>0.11568537391887279</v>
      </c>
      <c r="M649" s="15">
        <f t="shared" si="215"/>
        <v>81.128028220916008</v>
      </c>
      <c r="N649" s="11">
        <f t="shared" si="231"/>
        <v>18349.669184933849</v>
      </c>
      <c r="O649" s="11">
        <f t="shared" si="232"/>
        <v>18008.820049308855</v>
      </c>
      <c r="P649" s="11">
        <f t="shared" si="228"/>
        <v>340.84913562499423</v>
      </c>
      <c r="Q649" s="11">
        <f t="shared" si="233"/>
        <v>153.81611698806051</v>
      </c>
      <c r="R649" s="11">
        <f t="shared" si="229"/>
        <v>187.03301863693372</v>
      </c>
      <c r="S649" s="9">
        <f t="shared" si="230"/>
        <v>100</v>
      </c>
      <c r="T649" s="14">
        <f t="shared" si="237"/>
        <v>2.6621251108618349E-2</v>
      </c>
      <c r="U649" s="14">
        <f t="shared" si="234"/>
        <v>0</v>
      </c>
      <c r="V649" s="14">
        <f t="shared" si="227"/>
        <v>9.9123044898036094E-3</v>
      </c>
      <c r="W649" s="14">
        <f t="shared" si="227"/>
        <v>2.3057965871902358E-3</v>
      </c>
      <c r="X649" s="16">
        <f t="shared" si="217"/>
        <v>4.2988633710670907</v>
      </c>
    </row>
    <row r="650" spans="1:24" x14ac:dyDescent="0.25">
      <c r="A650" s="10">
        <v>46132</v>
      </c>
      <c r="B650" s="11">
        <v>19041.05</v>
      </c>
      <c r="C650" s="12">
        <f t="shared" si="235"/>
        <v>-1.0258644035551878E-2</v>
      </c>
      <c r="D650" s="11">
        <f t="shared" si="222"/>
        <v>17952.222499999996</v>
      </c>
      <c r="E650" s="11">
        <f t="shared" si="226"/>
        <v>17875.537</v>
      </c>
      <c r="F650" s="11">
        <f t="shared" si="224"/>
        <v>18652.326250000002</v>
      </c>
      <c r="G650" s="12">
        <f t="shared" si="236"/>
        <v>-1.0311626588520115E-2</v>
      </c>
      <c r="H650" s="19">
        <f t="shared" si="218"/>
        <v>0.23991371718915536</v>
      </c>
      <c r="I650" s="11">
        <f t="shared" si="219"/>
        <v>19238.41</v>
      </c>
      <c r="J650" s="11">
        <f t="shared" si="220"/>
        <v>17160.54</v>
      </c>
      <c r="K650" s="12">
        <f>(B650-MAX($B$2:B650))/MAX($B$2:B650)</f>
        <v>-5.8934440408233903E-2</v>
      </c>
      <c r="L650" s="12">
        <f t="shared" si="221"/>
        <v>0.10469993734190419</v>
      </c>
      <c r="M650" s="15">
        <f t="shared" si="215"/>
        <v>80.908179106713703</v>
      </c>
      <c r="N650" s="11">
        <f t="shared" si="231"/>
        <v>18456.035464174794</v>
      </c>
      <c r="O650" s="11">
        <f t="shared" si="232"/>
        <v>18085.281527137831</v>
      </c>
      <c r="P650" s="11">
        <f t="shared" si="228"/>
        <v>370.75393703696318</v>
      </c>
      <c r="Q650" s="11">
        <f t="shared" si="233"/>
        <v>197.20368099784105</v>
      </c>
      <c r="R650" s="11">
        <f t="shared" si="229"/>
        <v>173.55025603912213</v>
      </c>
      <c r="S650" s="9">
        <f t="shared" si="230"/>
        <v>100</v>
      </c>
      <c r="T650" s="14">
        <f t="shared" si="237"/>
        <v>0</v>
      </c>
      <c r="U650" s="14">
        <f t="shared" si="234"/>
        <v>1.0258644035551878E-2</v>
      </c>
      <c r="V650" s="14">
        <f t="shared" si="227"/>
        <v>9.9123044898036094E-3</v>
      </c>
      <c r="W650" s="14">
        <f t="shared" si="227"/>
        <v>2.3389964284012015E-3</v>
      </c>
      <c r="X650" s="16">
        <f t="shared" si="217"/>
        <v>4.2378450729739123</v>
      </c>
    </row>
    <row r="651" spans="1:24" x14ac:dyDescent="0.25">
      <c r="A651" s="10">
        <v>46133</v>
      </c>
      <c r="B651" s="11">
        <v>19160.13</v>
      </c>
      <c r="C651" s="12">
        <f t="shared" si="235"/>
        <v>6.2538567988636995E-3</v>
      </c>
      <c r="D651" s="11">
        <f t="shared" si="222"/>
        <v>18048.408999999996</v>
      </c>
      <c r="E651" s="11">
        <f t="shared" si="226"/>
        <v>17892.603600000002</v>
      </c>
      <c r="F651" s="11">
        <f t="shared" si="224"/>
        <v>18646.7340625</v>
      </c>
      <c r="G651" s="12">
        <f t="shared" si="236"/>
        <v>6.2343825868820023E-3</v>
      </c>
      <c r="H651" s="19">
        <f t="shared" si="218"/>
        <v>0.23909785345229936</v>
      </c>
      <c r="I651" s="11">
        <f t="shared" si="219"/>
        <v>19238.41</v>
      </c>
      <c r="J651" s="11">
        <f t="shared" si="220"/>
        <v>17160.54</v>
      </c>
      <c r="K651" s="12">
        <f>(B651-MAX($B$2:B651))/MAX($B$2:B651)</f>
        <v>-5.3049151160204561E-2</v>
      </c>
      <c r="L651" s="12">
        <f t="shared" si="221"/>
        <v>8.9236641308166664E-2</v>
      </c>
      <c r="M651" s="15">
        <f t="shared" si="215"/>
        <v>78.85045039393826</v>
      </c>
      <c r="N651" s="11">
        <f t="shared" si="231"/>
        <v>18564.357700455595</v>
      </c>
      <c r="O651" s="11">
        <f t="shared" si="232"/>
        <v>18164.899932535027</v>
      </c>
      <c r="P651" s="11">
        <f t="shared" si="228"/>
        <v>399.45776792056859</v>
      </c>
      <c r="Q651" s="11">
        <f t="shared" si="233"/>
        <v>237.65449838238658</v>
      </c>
      <c r="R651" s="11">
        <f t="shared" si="229"/>
        <v>161.80326953818201</v>
      </c>
      <c r="S651" s="9">
        <f t="shared" si="230"/>
        <v>100</v>
      </c>
      <c r="T651" s="14">
        <f t="shared" si="237"/>
        <v>6.2538567988636995E-3</v>
      </c>
      <c r="U651" s="14">
        <f t="shared" si="234"/>
        <v>0</v>
      </c>
      <c r="V651" s="14">
        <f t="shared" si="227"/>
        <v>8.7203238501299962E-3</v>
      </c>
      <c r="W651" s="14">
        <f t="shared" si="227"/>
        <v>2.3389964284012015E-3</v>
      </c>
      <c r="X651" s="16">
        <f t="shared" si="217"/>
        <v>3.7282330764783125</v>
      </c>
    </row>
    <row r="652" spans="1:24" x14ac:dyDescent="0.25">
      <c r="A652" s="10">
        <v>46134</v>
      </c>
      <c r="B652" s="11">
        <v>19158.599999999999</v>
      </c>
      <c r="C652" s="12">
        <f t="shared" si="235"/>
        <v>-7.98533204108276E-5</v>
      </c>
      <c r="D652" s="11">
        <f t="shared" si="222"/>
        <v>18126.817999999996</v>
      </c>
      <c r="E652" s="11">
        <f t="shared" si="226"/>
        <v>17908.998200000002</v>
      </c>
      <c r="F652" s="11">
        <f t="shared" si="224"/>
        <v>18641.026312499998</v>
      </c>
      <c r="G652" s="12">
        <f t="shared" si="236"/>
        <v>-7.9856508856957726E-5</v>
      </c>
      <c r="H652" s="19">
        <f t="shared" si="218"/>
        <v>0.23296700974068354</v>
      </c>
      <c r="I652" s="11">
        <f t="shared" si="219"/>
        <v>19238.41</v>
      </c>
      <c r="J652" s="11">
        <f t="shared" si="220"/>
        <v>17160.54</v>
      </c>
      <c r="K652" s="12">
        <f>(B652-MAX($B$2:B652))/MAX($B$2:B652)</f>
        <v>-5.3124768329750237E-2</v>
      </c>
      <c r="L652" s="12">
        <f t="shared" si="221"/>
        <v>9.8333861711037862E-2</v>
      </c>
      <c r="M652" s="15">
        <f t="shared" si="215"/>
        <v>79.656657406886836</v>
      </c>
      <c r="N652" s="11">
        <f t="shared" si="231"/>
        <v>18655.779592693194</v>
      </c>
      <c r="O652" s="11">
        <f t="shared" si="232"/>
        <v>18238.507344939841</v>
      </c>
      <c r="P652" s="11">
        <f t="shared" si="228"/>
        <v>417.27224775335344</v>
      </c>
      <c r="Q652" s="11">
        <f t="shared" si="233"/>
        <v>273.57804825657996</v>
      </c>
      <c r="R652" s="11">
        <f t="shared" si="229"/>
        <v>143.69419949677348</v>
      </c>
      <c r="S652" s="9">
        <f t="shared" si="230"/>
        <v>100</v>
      </c>
      <c r="T652" s="14">
        <f t="shared" si="237"/>
        <v>0</v>
      </c>
      <c r="U652" s="14">
        <f t="shared" si="234"/>
        <v>7.98533204108276E-5</v>
      </c>
      <c r="V652" s="14">
        <f t="shared" si="227"/>
        <v>8.7203238501299962E-3</v>
      </c>
      <c r="W652" s="14">
        <f t="shared" si="227"/>
        <v>2.227064772501397E-3</v>
      </c>
      <c r="X652" s="16">
        <f t="shared" si="217"/>
        <v>3.9156130337132016</v>
      </c>
    </row>
    <row r="653" spans="1:24" x14ac:dyDescent="0.25">
      <c r="A653" s="10">
        <v>46135</v>
      </c>
      <c r="B653" s="11">
        <v>19138.849999999999</v>
      </c>
      <c r="C653" s="12">
        <f t="shared" si="235"/>
        <v>-1.0308686438466053E-3</v>
      </c>
      <c r="D653" s="11">
        <f t="shared" si="222"/>
        <v>18211.593999999997</v>
      </c>
      <c r="E653" s="11">
        <f t="shared" si="226"/>
        <v>17925.707999999999</v>
      </c>
      <c r="F653" s="11">
        <f t="shared" si="224"/>
        <v>18634.903312500002</v>
      </c>
      <c r="G653" s="12">
        <f t="shared" si="236"/>
        <v>-1.0314003543742539E-3</v>
      </c>
      <c r="H653" s="19">
        <f t="shared" si="218"/>
        <v>0.22909013685118049</v>
      </c>
      <c r="I653" s="11">
        <f t="shared" si="219"/>
        <v>19238.41</v>
      </c>
      <c r="J653" s="11">
        <f t="shared" si="220"/>
        <v>17160.54</v>
      </c>
      <c r="K653" s="12">
        <f>(B653-MAX($B$2:B653))/MAX($B$2:B653)</f>
        <v>-5.4100872315714109E-2</v>
      </c>
      <c r="L653" s="12">
        <f t="shared" si="221"/>
        <v>0.1113637089492221</v>
      </c>
      <c r="M653" s="15">
        <f t="shared" si="215"/>
        <v>79.433488677741437</v>
      </c>
      <c r="N653" s="11">
        <f t="shared" si="231"/>
        <v>18730.098116894242</v>
      </c>
      <c r="O653" s="11">
        <f t="shared" si="232"/>
        <v>18305.199393462815</v>
      </c>
      <c r="P653" s="11">
        <f t="shared" si="228"/>
        <v>424.89872343142633</v>
      </c>
      <c r="Q653" s="11">
        <f t="shared" si="233"/>
        <v>303.84218329154925</v>
      </c>
      <c r="R653" s="11">
        <f t="shared" si="229"/>
        <v>121.05654013987709</v>
      </c>
      <c r="S653" s="9">
        <f t="shared" si="230"/>
        <v>100</v>
      </c>
      <c r="T653" s="14">
        <f t="shared" si="237"/>
        <v>0</v>
      </c>
      <c r="U653" s="14">
        <f t="shared" si="234"/>
        <v>1.0308686438466053E-3</v>
      </c>
      <c r="V653" s="14">
        <f t="shared" si="227"/>
        <v>8.7203238501299962E-3</v>
      </c>
      <c r="W653" s="14">
        <f t="shared" si="227"/>
        <v>2.2578215080677399E-3</v>
      </c>
      <c r="X653" s="16">
        <f t="shared" si="217"/>
        <v>3.8622733546341812</v>
      </c>
    </row>
    <row r="654" spans="1:24" x14ac:dyDescent="0.25">
      <c r="A654" s="10">
        <v>46136</v>
      </c>
      <c r="B654" s="11">
        <v>18815.18</v>
      </c>
      <c r="C654" s="12">
        <f t="shared" si="235"/>
        <v>-1.6911674421399292E-2</v>
      </c>
      <c r="D654" s="11">
        <f t="shared" si="222"/>
        <v>18291.300499999998</v>
      </c>
      <c r="E654" s="11">
        <f t="shared" si="226"/>
        <v>17934.697800000002</v>
      </c>
      <c r="F654" s="11">
        <f t="shared" si="224"/>
        <v>18626.584875000004</v>
      </c>
      <c r="G654" s="12">
        <f t="shared" si="236"/>
        <v>-1.7056309790539462E-2</v>
      </c>
      <c r="H654" s="19">
        <f t="shared" si="218"/>
        <v>0.2338119408516888</v>
      </c>
      <c r="I654" s="11">
        <f t="shared" si="219"/>
        <v>19238.41</v>
      </c>
      <c r="J654" s="11">
        <f t="shared" si="220"/>
        <v>17160.54</v>
      </c>
      <c r="K654" s="12">
        <f>(B654-MAX($B$2:B654))/MAX($B$2:B654)</f>
        <v>-7.0097610398596369E-2</v>
      </c>
      <c r="L654" s="12">
        <f t="shared" si="221"/>
        <v>8.5683027442734483E-2</v>
      </c>
      <c r="M654" s="15">
        <f t="shared" si="215"/>
        <v>70.727769274402817</v>
      </c>
      <c r="N654" s="11">
        <f t="shared" si="231"/>
        <v>18743.187637372052</v>
      </c>
      <c r="O654" s="11">
        <f t="shared" si="232"/>
        <v>18342.975734687792</v>
      </c>
      <c r="P654" s="11">
        <f t="shared" si="228"/>
        <v>400.21190268425926</v>
      </c>
      <c r="Q654" s="11">
        <f t="shared" si="233"/>
        <v>323.11612717009126</v>
      </c>
      <c r="R654" s="11">
        <f t="shared" si="229"/>
        <v>77.095775514167997</v>
      </c>
      <c r="S654" s="9">
        <f t="shared" si="230"/>
        <v>100</v>
      </c>
      <c r="T654" s="14">
        <f t="shared" si="237"/>
        <v>0</v>
      </c>
      <c r="U654" s="14">
        <f t="shared" si="234"/>
        <v>1.6911674421399292E-2</v>
      </c>
      <c r="V654" s="14">
        <f t="shared" si="227"/>
        <v>8.3740860561337359E-3</v>
      </c>
      <c r="W654" s="14">
        <f t="shared" si="227"/>
        <v>3.4657982524534036E-3</v>
      </c>
      <c r="X654" s="16">
        <f t="shared" si="217"/>
        <v>2.4162070167257443</v>
      </c>
    </row>
    <row r="655" spans="1:24" x14ac:dyDescent="0.25">
      <c r="A655" s="10">
        <v>46139</v>
      </c>
      <c r="B655" s="11">
        <v>18819.61</v>
      </c>
      <c r="C655" s="12">
        <f t="shared" si="235"/>
        <v>2.3544818598608686E-4</v>
      </c>
      <c r="D655" s="11">
        <f t="shared" si="222"/>
        <v>18365.767499999998</v>
      </c>
      <c r="E655" s="11">
        <f t="shared" si="226"/>
        <v>17938.181400000001</v>
      </c>
      <c r="F655" s="11">
        <f t="shared" si="224"/>
        <v>18618.656500000001</v>
      </c>
      <c r="G655" s="12">
        <f t="shared" si="236"/>
        <v>2.3542047241193329E-4</v>
      </c>
      <c r="H655" s="19">
        <f t="shared" si="218"/>
        <v>0.23415544378007494</v>
      </c>
      <c r="I655" s="11">
        <f t="shared" si="219"/>
        <v>19238.41</v>
      </c>
      <c r="J655" s="11">
        <f t="shared" si="220"/>
        <v>17160.54</v>
      </c>
      <c r="K655" s="12">
        <f>(B655-MAX($B$2:B655))/MAX($B$2:B655)</f>
        <v>-6.9878666567820671E-2</v>
      </c>
      <c r="L655" s="12">
        <f t="shared" si="221"/>
        <v>9.6679358574963237E-2</v>
      </c>
      <c r="M655" s="15">
        <f t="shared" si="215"/>
        <v>76.208181666605967</v>
      </c>
      <c r="N655" s="11">
        <f t="shared" si="231"/>
        <v>18754.944923930198</v>
      </c>
      <c r="O655" s="11">
        <f t="shared" si="232"/>
        <v>18378.281976562772</v>
      </c>
      <c r="P655" s="11">
        <f t="shared" si="228"/>
        <v>376.66294736742566</v>
      </c>
      <c r="Q655" s="11">
        <f t="shared" si="233"/>
        <v>333.82549120955815</v>
      </c>
      <c r="R655" s="11">
        <f t="shared" si="229"/>
        <v>42.837456157867507</v>
      </c>
      <c r="S655" s="9">
        <f t="shared" si="230"/>
        <v>100</v>
      </c>
      <c r="T655" s="14">
        <f t="shared" si="237"/>
        <v>2.3544818598608686E-4</v>
      </c>
      <c r="U655" s="14">
        <f t="shared" si="234"/>
        <v>0</v>
      </c>
      <c r="V655" s="14">
        <f t="shared" si="227"/>
        <v>8.3909037837041709E-3</v>
      </c>
      <c r="W655" s="14">
        <f t="shared" si="227"/>
        <v>2.6195987636634189E-3</v>
      </c>
      <c r="X655" s="16">
        <f t="shared" si="217"/>
        <v>3.2031255702570953</v>
      </c>
    </row>
    <row r="656" spans="1:24" x14ac:dyDescent="0.25">
      <c r="A656" s="10">
        <v>46140</v>
      </c>
      <c r="B656" s="11">
        <v>18715.25</v>
      </c>
      <c r="C656" s="12">
        <f t="shared" si="235"/>
        <v>-5.5452796311932229E-3</v>
      </c>
      <c r="D656" s="11">
        <f t="shared" si="222"/>
        <v>18443.502999999997</v>
      </c>
      <c r="E656" s="11">
        <f t="shared" si="226"/>
        <v>17941.024000000001</v>
      </c>
      <c r="F656" s="11">
        <f t="shared" si="224"/>
        <v>18610.3739375</v>
      </c>
      <c r="G656" s="12">
        <f t="shared" si="236"/>
        <v>-5.5607117710828801E-3</v>
      </c>
      <c r="H656" s="19">
        <f t="shared" si="218"/>
        <v>0.23124403407613983</v>
      </c>
      <c r="I656" s="11">
        <f t="shared" si="219"/>
        <v>19238.41</v>
      </c>
      <c r="J656" s="11">
        <f t="shared" si="220"/>
        <v>17391.2</v>
      </c>
      <c r="K656" s="12">
        <f>(B656-MAX($B$2:B656))/MAX($B$2:B656)</f>
        <v>-7.5036449452640416E-2</v>
      </c>
      <c r="L656" s="12">
        <f t="shared" si="221"/>
        <v>6.6139044549376358E-2</v>
      </c>
      <c r="M656" s="15">
        <f t="shared" ref="M656:M719" si="238">IF(X656=0,100,100-(100/(1+X656)))</f>
        <v>64.458922020486455</v>
      </c>
      <c r="N656" s="11">
        <f t="shared" si="231"/>
        <v>18748.83801255632</v>
      </c>
      <c r="O656" s="11">
        <f t="shared" si="232"/>
        <v>18403.242570891456</v>
      </c>
      <c r="P656" s="11">
        <f t="shared" si="228"/>
        <v>345.59544166486376</v>
      </c>
      <c r="Q656" s="11">
        <f t="shared" si="233"/>
        <v>336.17948130061927</v>
      </c>
      <c r="R656" s="11">
        <f t="shared" si="229"/>
        <v>9.4159603642444836</v>
      </c>
      <c r="S656" s="9">
        <f t="shared" si="230"/>
        <v>100</v>
      </c>
      <c r="T656" s="14">
        <f t="shared" si="237"/>
        <v>0</v>
      </c>
      <c r="U656" s="14">
        <f t="shared" si="234"/>
        <v>5.5452796311932229E-3</v>
      </c>
      <c r="V656" s="14">
        <f t="shared" ref="V656:W671" si="239">AVERAGE(T643:T656)</f>
        <v>5.4693933974989993E-3</v>
      </c>
      <c r="W656" s="14">
        <f t="shared" si="239"/>
        <v>3.0156901658915064E-3</v>
      </c>
      <c r="X656" s="16">
        <f t="shared" ref="X656:X719" si="240">IF(W656=0,0,V656/W656)</f>
        <v>1.8136456653802573</v>
      </c>
    </row>
    <row r="657" spans="1:24" x14ac:dyDescent="0.25">
      <c r="A657" s="10">
        <v>46141</v>
      </c>
      <c r="B657" s="11">
        <v>18699.53</v>
      </c>
      <c r="C657" s="12">
        <f t="shared" si="235"/>
        <v>-8.3995671978742692E-4</v>
      </c>
      <c r="D657" s="11">
        <f t="shared" si="222"/>
        <v>18500.768</v>
      </c>
      <c r="E657" s="11">
        <f t="shared" si="226"/>
        <v>17938.462599999999</v>
      </c>
      <c r="F657" s="11">
        <f t="shared" si="224"/>
        <v>18605.237874999999</v>
      </c>
      <c r="G657" s="12">
        <f t="shared" si="236"/>
        <v>-8.4030968109497384E-4</v>
      </c>
      <c r="H657" s="19">
        <f t="shared" si="218"/>
        <v>0.22135534705374108</v>
      </c>
      <c r="I657" s="11">
        <f t="shared" si="219"/>
        <v>19238.41</v>
      </c>
      <c r="J657" s="11">
        <f t="shared" si="220"/>
        <v>17391.2</v>
      </c>
      <c r="K657" s="12">
        <f>(B657-MAX($B$2:B657))/MAX($B$2:B657)</f>
        <v>-7.5813378802481096E-2</v>
      </c>
      <c r="L657" s="12">
        <f t="shared" si="221"/>
        <v>6.7000773737655006E-2</v>
      </c>
      <c r="M657" s="15">
        <f t="shared" si="238"/>
        <v>65.19547708038229</v>
      </c>
      <c r="N657" s="11">
        <f t="shared" si="231"/>
        <v>18741.252164470734</v>
      </c>
      <c r="O657" s="11">
        <f t="shared" si="232"/>
        <v>18425.189787862459</v>
      </c>
      <c r="P657" s="11">
        <f t="shared" si="228"/>
        <v>316.06237660827537</v>
      </c>
      <c r="Q657" s="11">
        <f t="shared" si="233"/>
        <v>332.15606036215047</v>
      </c>
      <c r="R657" s="11">
        <f t="shared" si="229"/>
        <v>-16.093683753875098</v>
      </c>
      <c r="S657" s="9">
        <f t="shared" si="230"/>
        <v>60</v>
      </c>
      <c r="T657" s="14">
        <f t="shared" si="237"/>
        <v>0</v>
      </c>
      <c r="U657" s="14">
        <f t="shared" si="234"/>
        <v>8.3995671978742692E-4</v>
      </c>
      <c r="V657" s="14">
        <f t="shared" si="239"/>
        <v>5.4693933974989993E-3</v>
      </c>
      <c r="W657" s="14">
        <f t="shared" si="239"/>
        <v>2.9198287424901776E-3</v>
      </c>
      <c r="X657" s="16">
        <f t="shared" si="240"/>
        <v>1.8731897929172463</v>
      </c>
    </row>
    <row r="658" spans="1:24" x14ac:dyDescent="0.25">
      <c r="A658" s="10">
        <v>46142</v>
      </c>
      <c r="B658" s="11">
        <v>18583.53</v>
      </c>
      <c r="C658" s="12">
        <f t="shared" si="235"/>
        <v>-6.2033644695882462E-3</v>
      </c>
      <c r="D658" s="11">
        <f t="shared" si="222"/>
        <v>18553.678500000002</v>
      </c>
      <c r="E658" s="11">
        <f t="shared" si="226"/>
        <v>17935.652000000002</v>
      </c>
      <c r="F658" s="11">
        <f t="shared" si="224"/>
        <v>18597.370437499998</v>
      </c>
      <c r="G658" s="12">
        <f t="shared" si="236"/>
        <v>-6.2226852790842847E-3</v>
      </c>
      <c r="H658" s="19">
        <f t="shared" si="218"/>
        <v>0.22326065014100713</v>
      </c>
      <c r="I658" s="11">
        <f t="shared" si="219"/>
        <v>19238.41</v>
      </c>
      <c r="J658" s="11">
        <f t="shared" si="220"/>
        <v>17391.2</v>
      </c>
      <c r="K658" s="12">
        <f>(B658-MAX($B$2:B658))/MAX($B$2:B658)</f>
        <v>-8.1546445251686611E-2</v>
      </c>
      <c r="L658" s="12">
        <f t="shared" si="221"/>
        <v>6.1018681343777859E-2</v>
      </c>
      <c r="M658" s="15">
        <f t="shared" si="238"/>
        <v>54.011401021195901</v>
      </c>
      <c r="N658" s="11">
        <f t="shared" si="231"/>
        <v>18716.98721609062</v>
      </c>
      <c r="O658" s="11">
        <f t="shared" si="232"/>
        <v>18436.918692465239</v>
      </c>
      <c r="P658" s="11">
        <f t="shared" si="228"/>
        <v>280.0685236253812</v>
      </c>
      <c r="Q658" s="11">
        <f t="shared" si="233"/>
        <v>321.73855301479665</v>
      </c>
      <c r="R658" s="11">
        <f t="shared" si="229"/>
        <v>-41.670029389415447</v>
      </c>
      <c r="S658" s="9">
        <f t="shared" si="230"/>
        <v>60</v>
      </c>
      <c r="T658" s="14">
        <f t="shared" si="237"/>
        <v>0</v>
      </c>
      <c r="U658" s="14">
        <f t="shared" si="234"/>
        <v>6.2033644695882462E-3</v>
      </c>
      <c r="V658" s="14">
        <f t="shared" si="239"/>
        <v>3.9495953317745091E-3</v>
      </c>
      <c r="W658" s="14">
        <f t="shared" si="239"/>
        <v>3.362926204603624E-3</v>
      </c>
      <c r="X658" s="16">
        <f t="shared" si="240"/>
        <v>1.1744519776758033</v>
      </c>
    </row>
    <row r="659" spans="1:24" x14ac:dyDescent="0.25">
      <c r="A659" s="10">
        <v>46146</v>
      </c>
      <c r="B659" s="11">
        <v>18696.59</v>
      </c>
      <c r="C659" s="12">
        <f t="shared" si="235"/>
        <v>6.0838818028652319E-3</v>
      </c>
      <c r="D659" s="11">
        <f t="shared" si="222"/>
        <v>18612.768000000004</v>
      </c>
      <c r="E659" s="11">
        <f t="shared" si="226"/>
        <v>17935.825800000002</v>
      </c>
      <c r="F659" s="11">
        <f t="shared" si="224"/>
        <v>18590.013312499996</v>
      </c>
      <c r="G659" s="12">
        <f t="shared" si="236"/>
        <v>6.0654497152848041E-3</v>
      </c>
      <c r="H659" s="19">
        <f t="shared" si="218"/>
        <v>0.22311582576342429</v>
      </c>
      <c r="I659" s="11">
        <f t="shared" si="219"/>
        <v>19238.41</v>
      </c>
      <c r="J659" s="11">
        <f t="shared" si="220"/>
        <v>17391.2</v>
      </c>
      <c r="K659" s="12">
        <f>(B659-MAX($B$2:B659))/MAX($B$2:B659)</f>
        <v>-7.5958682383176407E-2</v>
      </c>
      <c r="L659" s="12">
        <f t="shared" si="221"/>
        <v>6.2324357801553321E-2</v>
      </c>
      <c r="M659" s="15">
        <f t="shared" si="238"/>
        <v>59.573336663168554</v>
      </c>
      <c r="N659" s="11">
        <f t="shared" si="231"/>
        <v>18713.849182845908</v>
      </c>
      <c r="O659" s="11">
        <f t="shared" si="232"/>
        <v>18456.153604134481</v>
      </c>
      <c r="P659" s="11">
        <f t="shared" si="228"/>
        <v>257.69557871142752</v>
      </c>
      <c r="Q659" s="11">
        <f t="shared" si="233"/>
        <v>308.92995815412286</v>
      </c>
      <c r="R659" s="11">
        <f t="shared" si="229"/>
        <v>-51.234379442695342</v>
      </c>
      <c r="S659" s="9">
        <f t="shared" si="230"/>
        <v>60</v>
      </c>
      <c r="T659" s="14">
        <f t="shared" si="237"/>
        <v>6.0838818028652319E-3</v>
      </c>
      <c r="U659" s="14">
        <f t="shared" si="234"/>
        <v>0</v>
      </c>
      <c r="V659" s="14">
        <f t="shared" si="239"/>
        <v>4.384158317693454E-3</v>
      </c>
      <c r="W659" s="14">
        <f t="shared" si="239"/>
        <v>2.9751043378159481E-3</v>
      </c>
      <c r="X659" s="16">
        <f t="shared" si="240"/>
        <v>1.4736149794705706</v>
      </c>
    </row>
    <row r="660" spans="1:24" x14ac:dyDescent="0.25">
      <c r="A660" s="10">
        <v>46147</v>
      </c>
      <c r="B660" s="11">
        <v>18630.919999999998</v>
      </c>
      <c r="C660" s="12">
        <f t="shared" si="235"/>
        <v>-3.5124052033018716E-3</v>
      </c>
      <c r="D660" s="11">
        <f t="shared" si="222"/>
        <v>18664.329000000005</v>
      </c>
      <c r="E660" s="11">
        <f t="shared" si="226"/>
        <v>17933.712800000001</v>
      </c>
      <c r="F660" s="11">
        <f t="shared" si="224"/>
        <v>18582.525374999997</v>
      </c>
      <c r="G660" s="12">
        <f t="shared" si="236"/>
        <v>-3.5185881807851828E-3</v>
      </c>
      <c r="H660" s="19">
        <f t="shared" si="218"/>
        <v>0.22430324400517251</v>
      </c>
      <c r="I660" s="11">
        <f t="shared" si="219"/>
        <v>19238.41</v>
      </c>
      <c r="J660" s="11">
        <f t="shared" si="220"/>
        <v>17391.2</v>
      </c>
      <c r="K660" s="12">
        <f>(B660-MAX($B$2:B660))/MAX($B$2:B660)</f>
        <v>-7.9204289915239659E-2</v>
      </c>
      <c r="L660" s="12">
        <f t="shared" si="221"/>
        <v>7.1284327705966044E-2</v>
      </c>
      <c r="M660" s="15">
        <f t="shared" si="238"/>
        <v>46.461861034754754</v>
      </c>
      <c r="N660" s="11">
        <f t="shared" si="231"/>
        <v>18701.090847023461</v>
      </c>
      <c r="O660" s="11">
        <f t="shared" si="232"/>
        <v>18469.099263087483</v>
      </c>
      <c r="P660" s="11">
        <f t="shared" si="228"/>
        <v>231.99158393597827</v>
      </c>
      <c r="Q660" s="11">
        <f t="shared" si="233"/>
        <v>293.54228331049399</v>
      </c>
      <c r="R660" s="11">
        <f t="shared" si="229"/>
        <v>-61.550699374515716</v>
      </c>
      <c r="S660" s="9">
        <f t="shared" si="230"/>
        <v>60</v>
      </c>
      <c r="T660" s="14">
        <f t="shared" si="237"/>
        <v>0</v>
      </c>
      <c r="U660" s="14">
        <f t="shared" si="234"/>
        <v>3.5124052033018716E-3</v>
      </c>
      <c r="V660" s="14">
        <f t="shared" si="239"/>
        <v>2.7996027068809548E-3</v>
      </c>
      <c r="W660" s="14">
        <f t="shared" si="239"/>
        <v>3.2259904237660819E-3</v>
      </c>
      <c r="X660" s="16">
        <f t="shared" si="240"/>
        <v>0.8678273457528265</v>
      </c>
    </row>
    <row r="661" spans="1:24" x14ac:dyDescent="0.25">
      <c r="A661" s="10">
        <v>46148</v>
      </c>
      <c r="B661" s="11">
        <v>18939.740000000002</v>
      </c>
      <c r="C661" s="12">
        <f t="shared" si="235"/>
        <v>1.6575670981358037E-2</v>
      </c>
      <c r="D661" s="11">
        <f t="shared" si="222"/>
        <v>18741.756000000001</v>
      </c>
      <c r="E661" s="11">
        <f t="shared" si="226"/>
        <v>17938.486800000002</v>
      </c>
      <c r="F661" s="11">
        <f t="shared" si="224"/>
        <v>18578.337687499999</v>
      </c>
      <c r="G661" s="12">
        <f t="shared" si="236"/>
        <v>1.6439793992730177E-2</v>
      </c>
      <c r="H661" s="19">
        <f t="shared" ref="H661:H724" si="241">STDEV(G642:G661)*SQRT(252)</f>
        <v>0.22212147884423097</v>
      </c>
      <c r="I661" s="11">
        <f t="shared" ref="I661:I724" si="242">MAX(B642:B661)</f>
        <v>19238.41</v>
      </c>
      <c r="J661" s="11">
        <f t="shared" ref="J661:J724" si="243">MIN(B642:B661)</f>
        <v>18063.02</v>
      </c>
      <c r="K661" s="12">
        <f>(B661-MAX($B$2:B661))/MAX($B$2:B661)</f>
        <v>-6.3941483183828723E-2</v>
      </c>
      <c r="L661" s="12">
        <f t="shared" ref="L661:L724" si="244">(B661/B642)-1</f>
        <v>4.6248809558006254E-2</v>
      </c>
      <c r="M661" s="15">
        <f t="shared" si="238"/>
        <v>55.556052676691628</v>
      </c>
      <c r="N661" s="11">
        <f t="shared" si="231"/>
        <v>18737.806101327544</v>
      </c>
      <c r="O661" s="11">
        <f t="shared" si="232"/>
        <v>18503.961539895816</v>
      </c>
      <c r="P661" s="11">
        <f t="shared" si="228"/>
        <v>233.84456143172793</v>
      </c>
      <c r="Q661" s="11">
        <f t="shared" si="233"/>
        <v>281.60273893474078</v>
      </c>
      <c r="R661" s="11">
        <f t="shared" si="229"/>
        <v>-47.75817750301286</v>
      </c>
      <c r="S661" s="9">
        <f t="shared" si="230"/>
        <v>60</v>
      </c>
      <c r="T661" s="14">
        <f t="shared" si="237"/>
        <v>1.6575670981358037E-2</v>
      </c>
      <c r="U661" s="14">
        <f t="shared" si="234"/>
        <v>0</v>
      </c>
      <c r="V661" s="14">
        <f t="shared" si="239"/>
        <v>3.9835792055493858E-3</v>
      </c>
      <c r="W661" s="14">
        <f t="shared" si="239"/>
        <v>3.1867992025996217E-3</v>
      </c>
      <c r="X661" s="16">
        <f t="shared" si="240"/>
        <v>1.250025167039013</v>
      </c>
    </row>
    <row r="662" spans="1:24" x14ac:dyDescent="0.25">
      <c r="A662" s="10">
        <v>46149</v>
      </c>
      <c r="B662" s="11">
        <v>18921.2</v>
      </c>
      <c r="C662" s="12">
        <f t="shared" si="235"/>
        <v>-9.7889411364682211E-4</v>
      </c>
      <c r="D662" s="11">
        <f t="shared" ref="D662:D725" si="245">AVERAGE(B643:B662)</f>
        <v>18782.689999999999</v>
      </c>
      <c r="E662" s="11">
        <f t="shared" si="226"/>
        <v>17943.875599999999</v>
      </c>
      <c r="F662" s="11">
        <f t="shared" si="224"/>
        <v>18573.8056875</v>
      </c>
      <c r="G662" s="12">
        <f t="shared" si="236"/>
        <v>-9.7937354338919276E-4</v>
      </c>
      <c r="H662" s="19">
        <f t="shared" si="241"/>
        <v>0.17766522070676738</v>
      </c>
      <c r="I662" s="11">
        <f t="shared" si="242"/>
        <v>19238.41</v>
      </c>
      <c r="J662" s="11">
        <f t="shared" si="243"/>
        <v>18063.02</v>
      </c>
      <c r="K662" s="12">
        <f>(B662-MAX($B$2:B662))/MAX($B$2:B662)</f>
        <v>-6.4857785355969019E-2</v>
      </c>
      <c r="L662" s="12">
        <f t="shared" si="244"/>
        <v>4.751032773035746E-2</v>
      </c>
      <c r="M662" s="15">
        <f t="shared" si="238"/>
        <v>55.146376101589645</v>
      </c>
      <c r="N662" s="11">
        <f t="shared" si="231"/>
        <v>18766.020547277152</v>
      </c>
      <c r="O662" s="11">
        <f t="shared" si="232"/>
        <v>18534.868092496126</v>
      </c>
      <c r="P662" s="11">
        <f t="shared" si="228"/>
        <v>231.15245478102588</v>
      </c>
      <c r="Q662" s="11">
        <f t="shared" si="233"/>
        <v>271.5126821039978</v>
      </c>
      <c r="R662" s="11">
        <f t="shared" si="229"/>
        <v>-40.360227322971923</v>
      </c>
      <c r="S662" s="9">
        <f t="shared" si="230"/>
        <v>60</v>
      </c>
      <c r="T662" s="14">
        <f t="shared" si="237"/>
        <v>0</v>
      </c>
      <c r="U662" s="14">
        <f t="shared" si="234"/>
        <v>9.7889411364682211E-4</v>
      </c>
      <c r="V662" s="14">
        <f t="shared" si="239"/>
        <v>3.9835792055493858E-3</v>
      </c>
      <c r="W662" s="14">
        <f t="shared" si="239"/>
        <v>3.2400671827661565E-3</v>
      </c>
      <c r="X662" s="16">
        <f t="shared" si="240"/>
        <v>1.2294742611319767</v>
      </c>
    </row>
    <row r="663" spans="1:24" x14ac:dyDescent="0.25">
      <c r="A663" s="10">
        <v>46150</v>
      </c>
      <c r="B663" s="11">
        <v>18950.939999999999</v>
      </c>
      <c r="C663" s="12">
        <f t="shared" si="235"/>
        <v>1.5717819165801394E-3</v>
      </c>
      <c r="D663" s="11">
        <f t="shared" si="245"/>
        <v>18827.086000000003</v>
      </c>
      <c r="E663" s="11">
        <f t="shared" si="226"/>
        <v>17951.244600000002</v>
      </c>
      <c r="F663" s="11">
        <f t="shared" si="224"/>
        <v>18569.833625000003</v>
      </c>
      <c r="G663" s="12">
        <f t="shared" si="236"/>
        <v>1.5705479602211372E-3</v>
      </c>
      <c r="H663" s="19">
        <f t="shared" si="241"/>
        <v>0.17693140901530666</v>
      </c>
      <c r="I663" s="11">
        <f t="shared" si="242"/>
        <v>19238.41</v>
      </c>
      <c r="J663" s="11">
        <f t="shared" si="243"/>
        <v>18347.189999999999</v>
      </c>
      <c r="K663" s="12">
        <f>(B663-MAX($B$2:B663))/MAX($B$2:B663)</f>
        <v>-6.3387945733560741E-2</v>
      </c>
      <c r="L663" s="12">
        <f t="shared" si="244"/>
        <v>2.729877191032859E-2</v>
      </c>
      <c r="M663" s="15">
        <f t="shared" si="238"/>
        <v>40.378551006664608</v>
      </c>
      <c r="N663" s="11">
        <f t="shared" si="231"/>
        <v>18794.469693849896</v>
      </c>
      <c r="O663" s="11">
        <f t="shared" si="232"/>
        <v>18565.688233792709</v>
      </c>
      <c r="P663" s="11">
        <f t="shared" si="228"/>
        <v>228.78146005718736</v>
      </c>
      <c r="Q663" s="11">
        <f t="shared" si="233"/>
        <v>262.96643769463572</v>
      </c>
      <c r="R663" s="11">
        <f t="shared" si="229"/>
        <v>-34.184977637448355</v>
      </c>
      <c r="S663" s="9">
        <f t="shared" si="230"/>
        <v>60</v>
      </c>
      <c r="T663" s="14">
        <f t="shared" si="237"/>
        <v>1.5717819165801394E-3</v>
      </c>
      <c r="U663" s="14">
        <f t="shared" si="234"/>
        <v>0</v>
      </c>
      <c r="V663" s="14">
        <f t="shared" si="239"/>
        <v>2.1943314061180852E-3</v>
      </c>
      <c r="W663" s="14">
        <f t="shared" si="239"/>
        <v>3.2400671827661565E-3</v>
      </c>
      <c r="X663" s="16">
        <f t="shared" si="240"/>
        <v>0.67724873662795759</v>
      </c>
    </row>
    <row r="664" spans="1:24" x14ac:dyDescent="0.25">
      <c r="A664" s="10">
        <v>46153</v>
      </c>
      <c r="B664" s="11">
        <v>18850.91</v>
      </c>
      <c r="C664" s="12">
        <f t="shared" si="235"/>
        <v>-5.2783661390938263E-3</v>
      </c>
      <c r="D664" s="11">
        <f t="shared" si="245"/>
        <v>18847.263999999999</v>
      </c>
      <c r="E664" s="11">
        <f t="shared" si="226"/>
        <v>17957.735000000001</v>
      </c>
      <c r="F664" s="11">
        <f t="shared" si="224"/>
        <v>18563.907562500004</v>
      </c>
      <c r="G664" s="12">
        <f t="shared" si="236"/>
        <v>-5.2923459289756459E-3</v>
      </c>
      <c r="H664" s="19">
        <f t="shared" si="241"/>
        <v>0.16435803483993949</v>
      </c>
      <c r="I664" s="11">
        <f t="shared" si="242"/>
        <v>19238.41</v>
      </c>
      <c r="J664" s="11">
        <f t="shared" si="243"/>
        <v>18347.189999999999</v>
      </c>
      <c r="K664" s="12">
        <f>(B664-MAX($B$2:B664))/MAX($B$2:B664)</f>
        <v>-6.8331727086267835E-2</v>
      </c>
      <c r="L664" s="12">
        <f t="shared" si="244"/>
        <v>2.7454885462024459E-2</v>
      </c>
      <c r="M664" s="15">
        <f t="shared" si="238"/>
        <v>43.206859327733987</v>
      </c>
      <c r="N664" s="11">
        <f t="shared" si="231"/>
        <v>18803.15281787299</v>
      </c>
      <c r="O664" s="11">
        <f t="shared" si="232"/>
        <v>18586.815772030288</v>
      </c>
      <c r="P664" s="11">
        <f t="shared" si="228"/>
        <v>216.33704584270163</v>
      </c>
      <c r="Q664" s="11">
        <f t="shared" si="233"/>
        <v>253.6405593242489</v>
      </c>
      <c r="R664" s="11">
        <f t="shared" si="229"/>
        <v>-37.30351348154727</v>
      </c>
      <c r="S664" s="9">
        <f t="shared" si="230"/>
        <v>60</v>
      </c>
      <c r="T664" s="14">
        <f t="shared" si="237"/>
        <v>0</v>
      </c>
      <c r="U664" s="14">
        <f t="shared" si="234"/>
        <v>5.2783661390938263E-3</v>
      </c>
      <c r="V664" s="14">
        <f t="shared" si="239"/>
        <v>2.1943314061180852E-3</v>
      </c>
      <c r="W664" s="14">
        <f t="shared" si="239"/>
        <v>2.8843330473048673E-3</v>
      </c>
      <c r="X664" s="16">
        <f t="shared" si="240"/>
        <v>0.76077601654513427</v>
      </c>
    </row>
    <row r="665" spans="1:24" x14ac:dyDescent="0.25">
      <c r="A665" s="10">
        <v>46154</v>
      </c>
      <c r="B665" s="11">
        <v>18776.54</v>
      </c>
      <c r="C665" s="12">
        <f t="shared" si="235"/>
        <v>-3.9451676338171371E-3</v>
      </c>
      <c r="D665" s="11">
        <f t="shared" si="245"/>
        <v>18868.731499999998</v>
      </c>
      <c r="E665" s="11">
        <f t="shared" si="226"/>
        <v>17965.867000000006</v>
      </c>
      <c r="F665" s="11">
        <f t="shared" si="224"/>
        <v>18556.610124999999</v>
      </c>
      <c r="G665" s="12">
        <f t="shared" si="236"/>
        <v>-3.9529703363874735E-3</v>
      </c>
      <c r="H665" s="19">
        <f t="shared" si="241"/>
        <v>0.16365637464677674</v>
      </c>
      <c r="I665" s="11">
        <f t="shared" si="242"/>
        <v>19238.41</v>
      </c>
      <c r="J665" s="11">
        <f t="shared" si="243"/>
        <v>18583.53</v>
      </c>
      <c r="K665" s="12">
        <f>(B665-MAX($B$2:B665))/MAX($B$2:B665)</f>
        <v>-7.2007314602021352E-2</v>
      </c>
      <c r="L665" s="12">
        <f t="shared" si="244"/>
        <v>1.1911998379030564E-3</v>
      </c>
      <c r="M665" s="15">
        <f t="shared" si="238"/>
        <v>35.566003026732318</v>
      </c>
      <c r="N665" s="11">
        <f t="shared" si="231"/>
        <v>18799.058538200221</v>
      </c>
      <c r="O665" s="11">
        <f t="shared" si="232"/>
        <v>18600.869418546565</v>
      </c>
      <c r="P665" s="11">
        <f t="shared" si="228"/>
        <v>198.18911965365623</v>
      </c>
      <c r="Q665" s="11">
        <f t="shared" si="233"/>
        <v>242.55027139013038</v>
      </c>
      <c r="R665" s="11">
        <f t="shared" si="229"/>
        <v>-44.361151736474142</v>
      </c>
      <c r="S665" s="9">
        <f t="shared" si="230"/>
        <v>60</v>
      </c>
      <c r="T665" s="14">
        <f t="shared" si="237"/>
        <v>0</v>
      </c>
      <c r="U665" s="14">
        <f t="shared" si="234"/>
        <v>3.9451676338171371E-3</v>
      </c>
      <c r="V665" s="14">
        <f t="shared" si="239"/>
        <v>1.7476273490563926E-3</v>
      </c>
      <c r="W665" s="14">
        <f t="shared" si="239"/>
        <v>3.1661307354346629E-3</v>
      </c>
      <c r="X665" s="16">
        <f t="shared" si="240"/>
        <v>0.55197573792431198</v>
      </c>
    </row>
    <row r="666" spans="1:24" x14ac:dyDescent="0.25">
      <c r="A666" s="10">
        <v>46155</v>
      </c>
      <c r="B666" s="11">
        <v>18892.82</v>
      </c>
      <c r="C666" s="12">
        <f t="shared" si="235"/>
        <v>6.1928342495474187E-3</v>
      </c>
      <c r="D666" s="11">
        <f t="shared" si="245"/>
        <v>18875.662499999999</v>
      </c>
      <c r="E666" s="11">
        <f t="shared" si="226"/>
        <v>17980.912400000001</v>
      </c>
      <c r="F666" s="11">
        <f t="shared" si="224"/>
        <v>18549.9613125</v>
      </c>
      <c r="G666" s="12">
        <f t="shared" si="236"/>
        <v>6.1737374531684796E-3</v>
      </c>
      <c r="H666" s="19">
        <f t="shared" si="241"/>
        <v>0.14567997727578935</v>
      </c>
      <c r="I666" s="11">
        <f t="shared" si="242"/>
        <v>19238.41</v>
      </c>
      <c r="J666" s="11">
        <f t="shared" si="243"/>
        <v>18583.53</v>
      </c>
      <c r="K666" s="12">
        <f>(B666-MAX($B$2:B666))/MAX($B$2:B666)</f>
        <v>-6.6260409716559179E-2</v>
      </c>
      <c r="L666" s="12">
        <f t="shared" si="244"/>
        <v>7.944447023059853E-3</v>
      </c>
      <c r="M666" s="15">
        <f t="shared" si="238"/>
        <v>40.931011227932494</v>
      </c>
      <c r="N666" s="11">
        <f t="shared" si="231"/>
        <v>18813.483378477111</v>
      </c>
      <c r="O666" s="11">
        <f t="shared" si="232"/>
        <v>18622.495387543117</v>
      </c>
      <c r="P666" s="11">
        <f t="shared" si="228"/>
        <v>190.9879909339943</v>
      </c>
      <c r="Q666" s="11">
        <f t="shared" si="233"/>
        <v>232.23781529890317</v>
      </c>
      <c r="R666" s="11">
        <f t="shared" si="229"/>
        <v>-41.249824364908875</v>
      </c>
      <c r="S666" s="9">
        <f t="shared" si="230"/>
        <v>60</v>
      </c>
      <c r="T666" s="14">
        <f t="shared" si="237"/>
        <v>6.1928342495474187E-3</v>
      </c>
      <c r="U666" s="14">
        <f t="shared" si="234"/>
        <v>0</v>
      </c>
      <c r="V666" s="14">
        <f t="shared" si="239"/>
        <v>2.1899726525954938E-3</v>
      </c>
      <c r="W666" s="14">
        <f t="shared" si="239"/>
        <v>3.1604269268338892E-3</v>
      </c>
      <c r="X666" s="16">
        <f t="shared" si="240"/>
        <v>0.69293570245251801</v>
      </c>
    </row>
    <row r="667" spans="1:24" x14ac:dyDescent="0.25">
      <c r="A667" s="10">
        <v>46156</v>
      </c>
      <c r="B667" s="11">
        <v>18745.7</v>
      </c>
      <c r="C667" s="12">
        <f t="shared" si="235"/>
        <v>-7.7870852524927203E-3</v>
      </c>
      <c r="D667" s="11">
        <f t="shared" si="245"/>
        <v>18875.752</v>
      </c>
      <c r="E667" s="11">
        <f t="shared" si="226"/>
        <v>18008.286400000001</v>
      </c>
      <c r="F667" s="11">
        <f t="shared" si="224"/>
        <v>18543.558500000003</v>
      </c>
      <c r="G667" s="12">
        <f t="shared" si="236"/>
        <v>-7.8175629254515263E-3</v>
      </c>
      <c r="H667" s="19">
        <f t="shared" si="241"/>
        <v>0.14854355414102732</v>
      </c>
      <c r="I667" s="11">
        <f t="shared" si="242"/>
        <v>19238.41</v>
      </c>
      <c r="J667" s="11">
        <f t="shared" si="243"/>
        <v>18583.53</v>
      </c>
      <c r="K667" s="12">
        <f>(B667-MAX($B$2:B667))/MAX($B$2:B667)</f>
        <v>-7.3531519509723933E-2</v>
      </c>
      <c r="L667" s="12">
        <f t="shared" si="244"/>
        <v>3.2871671343048803E-4</v>
      </c>
      <c r="M667" s="15">
        <f t="shared" si="238"/>
        <v>37.544620754510341</v>
      </c>
      <c r="N667" s="11">
        <f t="shared" si="231"/>
        <v>18803.055166403708</v>
      </c>
      <c r="O667" s="11">
        <f t="shared" si="232"/>
        <v>18631.621655132516</v>
      </c>
      <c r="P667" s="11">
        <f t="shared" si="228"/>
        <v>171.4335112711924</v>
      </c>
      <c r="Q667" s="11">
        <f t="shared" si="233"/>
        <v>220.07695449336103</v>
      </c>
      <c r="R667" s="11">
        <f t="shared" si="229"/>
        <v>-48.643443222168628</v>
      </c>
      <c r="S667" s="9">
        <f t="shared" si="230"/>
        <v>60</v>
      </c>
      <c r="T667" s="14">
        <f t="shared" si="237"/>
        <v>0</v>
      </c>
      <c r="U667" s="14">
        <f t="shared" si="234"/>
        <v>7.7870852524927203E-3</v>
      </c>
      <c r="V667" s="14">
        <f t="shared" si="239"/>
        <v>2.1899726525954938E-3</v>
      </c>
      <c r="W667" s="14">
        <f t="shared" si="239"/>
        <v>3.643013827451469E-3</v>
      </c>
      <c r="X667" s="16">
        <f t="shared" si="240"/>
        <v>0.60114310741651111</v>
      </c>
    </row>
    <row r="668" spans="1:24" x14ac:dyDescent="0.25">
      <c r="A668" s="10">
        <v>46157</v>
      </c>
      <c r="B668" s="11">
        <v>18419.21</v>
      </c>
      <c r="C668" s="12">
        <f t="shared" si="235"/>
        <v>-1.7416794251481793E-2</v>
      </c>
      <c r="D668" s="11">
        <f t="shared" si="245"/>
        <v>18859.735500000003</v>
      </c>
      <c r="E668" s="11">
        <f t="shared" si="226"/>
        <v>18048.685600000001</v>
      </c>
      <c r="F668" s="11">
        <f t="shared" si="224"/>
        <v>18536.069000000003</v>
      </c>
      <c r="G668" s="12">
        <f t="shared" si="236"/>
        <v>-1.7570251039777392E-2</v>
      </c>
      <c r="H668" s="19">
        <f t="shared" si="241"/>
        <v>0.16112682193814171</v>
      </c>
      <c r="I668" s="11">
        <f t="shared" si="242"/>
        <v>19238.41</v>
      </c>
      <c r="J668" s="11">
        <f t="shared" si="243"/>
        <v>18419.21</v>
      </c>
      <c r="K668" s="12">
        <f>(B668-MAX($B$2:B668))/MAX($B$2:B668)</f>
        <v>-8.966763041490601E-2</v>
      </c>
      <c r="L668" s="12">
        <f t="shared" si="244"/>
        <v>-4.2581481525760245E-2</v>
      </c>
      <c r="M668" s="15">
        <f t="shared" si="238"/>
        <v>37.313815826920646</v>
      </c>
      <c r="N668" s="11">
        <f t="shared" si="231"/>
        <v>18744.002063880063</v>
      </c>
      <c r="O668" s="11">
        <f t="shared" si="232"/>
        <v>18615.887458456033</v>
      </c>
      <c r="P668" s="11">
        <f t="shared" si="228"/>
        <v>128.11460542403074</v>
      </c>
      <c r="Q668" s="11">
        <f t="shared" si="233"/>
        <v>201.68448467949497</v>
      </c>
      <c r="R668" s="11">
        <f t="shared" si="229"/>
        <v>-73.56987925546423</v>
      </c>
      <c r="S668" s="9">
        <f t="shared" si="230"/>
        <v>60</v>
      </c>
      <c r="T668" s="14">
        <f t="shared" si="237"/>
        <v>0</v>
      </c>
      <c r="U668" s="14">
        <f t="shared" si="234"/>
        <v>1.7416794251481793E-2</v>
      </c>
      <c r="V668" s="14">
        <f t="shared" si="239"/>
        <v>2.1899726525954938E-3</v>
      </c>
      <c r="W668" s="14">
        <f t="shared" si="239"/>
        <v>3.6790938153145047E-3</v>
      </c>
      <c r="X668" s="16">
        <f t="shared" si="240"/>
        <v>0.59524784159609301</v>
      </c>
    </row>
    <row r="669" spans="1:24" x14ac:dyDescent="0.25">
      <c r="A669" s="10">
        <v>46160</v>
      </c>
      <c r="B669" s="11">
        <v>18448.3</v>
      </c>
      <c r="C669" s="12">
        <f t="shared" si="235"/>
        <v>1.5793294066357433E-3</v>
      </c>
      <c r="D669" s="11">
        <f t="shared" si="245"/>
        <v>18820.23</v>
      </c>
      <c r="E669" s="11">
        <f t="shared" si="226"/>
        <v>18084.54</v>
      </c>
      <c r="F669" s="11">
        <f t="shared" si="224"/>
        <v>18529.933125000003</v>
      </c>
      <c r="G669" s="12">
        <f t="shared" si="236"/>
        <v>1.5780835774923216E-3</v>
      </c>
      <c r="H669" s="19">
        <f t="shared" si="241"/>
        <v>0.12597826879332821</v>
      </c>
      <c r="I669" s="11">
        <f t="shared" si="242"/>
        <v>19160.13</v>
      </c>
      <c r="J669" s="11">
        <f t="shared" si="243"/>
        <v>18419.21</v>
      </c>
      <c r="K669" s="12">
        <f>(B669-MAX($B$2:B669))/MAX($B$2:B669)</f>
        <v>-8.8229915733807826E-2</v>
      </c>
      <c r="L669" s="12">
        <f t="shared" si="244"/>
        <v>-3.1130110997030114E-2</v>
      </c>
      <c r="M669" s="15">
        <f t="shared" si="238"/>
        <v>38.322580846891974</v>
      </c>
      <c r="N669" s="11">
        <f t="shared" si="231"/>
        <v>18698.509438667745</v>
      </c>
      <c r="O669" s="11">
        <f t="shared" si="232"/>
        <v>18603.473572644474</v>
      </c>
      <c r="P669" s="11">
        <f t="shared" si="228"/>
        <v>95.035866023270501</v>
      </c>
      <c r="Q669" s="11">
        <f t="shared" si="233"/>
        <v>180.35476094825009</v>
      </c>
      <c r="R669" s="11">
        <f t="shared" si="229"/>
        <v>-85.318894924979588</v>
      </c>
      <c r="S669" s="9">
        <f t="shared" si="230"/>
        <v>60</v>
      </c>
      <c r="T669" s="14">
        <f t="shared" si="237"/>
        <v>1.5793294066357433E-3</v>
      </c>
      <c r="U669" s="14">
        <f t="shared" si="234"/>
        <v>0</v>
      </c>
      <c r="V669" s="14">
        <f t="shared" si="239"/>
        <v>2.2859641683561837E-3</v>
      </c>
      <c r="W669" s="14">
        <f t="shared" si="239"/>
        <v>3.6790938153145047E-3</v>
      </c>
      <c r="X669" s="16">
        <f t="shared" si="240"/>
        <v>0.62133891743686609</v>
      </c>
    </row>
    <row r="670" spans="1:24" x14ac:dyDescent="0.25">
      <c r="A670" s="10">
        <v>46161</v>
      </c>
      <c r="B670" s="11">
        <v>18263.97</v>
      </c>
      <c r="C670" s="12">
        <f t="shared" si="235"/>
        <v>-9.9917065529072646E-3</v>
      </c>
      <c r="D670" s="11">
        <f t="shared" si="245"/>
        <v>18781.376</v>
      </c>
      <c r="E670" s="11">
        <f t="shared" si="226"/>
        <v>18102.787199999999</v>
      </c>
      <c r="F670" s="11">
        <f t="shared" si="224"/>
        <v>18523.189312500006</v>
      </c>
      <c r="G670" s="12">
        <f t="shared" si="236"/>
        <v>-1.0041958669304555E-2</v>
      </c>
      <c r="H670" s="19">
        <f t="shared" si="241"/>
        <v>0.12574846960033251</v>
      </c>
      <c r="I670" s="11">
        <f t="shared" si="242"/>
        <v>19160.13</v>
      </c>
      <c r="J670" s="11">
        <f t="shared" si="243"/>
        <v>18263.97</v>
      </c>
      <c r="K670" s="12">
        <f>(B670-MAX($B$2:B670))/MAX($B$2:B670)</f>
        <v>-9.7340054859515107E-2</v>
      </c>
      <c r="L670" s="12">
        <f t="shared" si="244"/>
        <v>-4.6772125241321461E-2</v>
      </c>
      <c r="M670" s="15">
        <f t="shared" si="238"/>
        <v>36.38529225394592</v>
      </c>
      <c r="N670" s="11">
        <f t="shared" si="231"/>
        <v>18631.657217334247</v>
      </c>
      <c r="O670" s="11">
        <f t="shared" si="232"/>
        <v>18578.325159855995</v>
      </c>
      <c r="P670" s="11">
        <f t="shared" si="228"/>
        <v>53.332057478251954</v>
      </c>
      <c r="Q670" s="11">
        <f t="shared" si="233"/>
        <v>154.95022025425047</v>
      </c>
      <c r="R670" s="11">
        <f t="shared" si="229"/>
        <v>-101.61816277599851</v>
      </c>
      <c r="S670" s="9">
        <f t="shared" si="230"/>
        <v>60</v>
      </c>
      <c r="T670" s="14">
        <f t="shared" si="237"/>
        <v>0</v>
      </c>
      <c r="U670" s="14">
        <f t="shared" si="234"/>
        <v>9.9917065529072646E-3</v>
      </c>
      <c r="V670" s="14">
        <f t="shared" si="239"/>
        <v>2.2859641683561837E-3</v>
      </c>
      <c r="W670" s="14">
        <f t="shared" si="239"/>
        <v>3.9966957382940793E-3</v>
      </c>
      <c r="X670" s="16">
        <f t="shared" si="240"/>
        <v>0.57196352137926521</v>
      </c>
    </row>
    <row r="671" spans="1:24" x14ac:dyDescent="0.25">
      <c r="A671" s="10">
        <v>46162</v>
      </c>
      <c r="B671" s="11">
        <v>18113.11</v>
      </c>
      <c r="C671" s="12">
        <f t="shared" si="235"/>
        <v>-8.2599785260270009E-3</v>
      </c>
      <c r="D671" s="11">
        <f t="shared" si="245"/>
        <v>18729.025000000001</v>
      </c>
      <c r="E671" s="11">
        <f t="shared" si="226"/>
        <v>18123.098599999998</v>
      </c>
      <c r="F671" s="11">
        <f t="shared" si="224"/>
        <v>18517.769875000005</v>
      </c>
      <c r="G671" s="12">
        <f t="shared" si="236"/>
        <v>-8.2942811719949622E-3</v>
      </c>
      <c r="H671" s="19">
        <f t="shared" si="241"/>
        <v>0.12355859544780513</v>
      </c>
      <c r="I671" s="11">
        <f t="shared" si="242"/>
        <v>19158.599999999999</v>
      </c>
      <c r="J671" s="11">
        <f t="shared" si="243"/>
        <v>18113.11</v>
      </c>
      <c r="K671" s="12">
        <f>(B671-MAX($B$2:B671))/MAX($B$2:B671)</f>
        <v>-0.10479600662268018</v>
      </c>
      <c r="L671" s="12">
        <f t="shared" si="244"/>
        <v>-5.457027131418779E-2</v>
      </c>
      <c r="M671" s="15">
        <f t="shared" si="238"/>
        <v>33.554642049303723</v>
      </c>
      <c r="N671" s="11">
        <f t="shared" si="231"/>
        <v>18551.880722359747</v>
      </c>
      <c r="O671" s="11">
        <f t="shared" si="232"/>
        <v>18543.864777644438</v>
      </c>
      <c r="P671" s="11">
        <f t="shared" si="228"/>
        <v>8.0159447153091605</v>
      </c>
      <c r="Q671" s="11">
        <f t="shared" si="233"/>
        <v>125.56336514646222</v>
      </c>
      <c r="R671" s="11">
        <f t="shared" si="229"/>
        <v>-117.54742043115306</v>
      </c>
      <c r="S671" s="9">
        <f t="shared" si="230"/>
        <v>60</v>
      </c>
      <c r="T671" s="14">
        <f t="shared" si="237"/>
        <v>0</v>
      </c>
      <c r="U671" s="14">
        <f t="shared" si="234"/>
        <v>8.2599785260270009E-3</v>
      </c>
      <c r="V671" s="14">
        <f t="shared" si="239"/>
        <v>2.2859641683561837E-3</v>
      </c>
      <c r="W671" s="14">
        <f t="shared" si="239"/>
        <v>4.5266972958826202E-3</v>
      </c>
      <c r="X671" s="16">
        <f t="shared" si="240"/>
        <v>0.50499603108770807</v>
      </c>
    </row>
    <row r="672" spans="1:24" x14ac:dyDescent="0.25">
      <c r="A672" s="10">
        <v>46163</v>
      </c>
      <c r="B672" s="11">
        <v>18304.759999999998</v>
      </c>
      <c r="C672" s="12">
        <f t="shared" si="235"/>
        <v>1.0580734064994823E-2</v>
      </c>
      <c r="D672" s="11">
        <f t="shared" si="245"/>
        <v>18686.333000000002</v>
      </c>
      <c r="E672" s="11">
        <f t="shared" si="226"/>
        <v>18158.522199999996</v>
      </c>
      <c r="F672" s="11">
        <f t="shared" si="224"/>
        <v>18513.269500000002</v>
      </c>
      <c r="G672" s="12">
        <f t="shared" si="236"/>
        <v>1.0525149835844282E-2</v>
      </c>
      <c r="H672" s="19">
        <f t="shared" si="241"/>
        <v>0.13210510691521912</v>
      </c>
      <c r="I672" s="11">
        <f t="shared" si="242"/>
        <v>19138.849999999999</v>
      </c>
      <c r="J672" s="11">
        <f t="shared" si="243"/>
        <v>18113.11</v>
      </c>
      <c r="K672" s="12">
        <f>(B672-MAX($B$2:B672))/MAX($B$2:B672)</f>
        <v>-9.5324091234833402E-2</v>
      </c>
      <c r="L672" s="12">
        <f t="shared" si="244"/>
        <v>-4.3580988408394417E-2</v>
      </c>
      <c r="M672" s="15">
        <f t="shared" si="238"/>
        <v>42.68897832765623</v>
      </c>
      <c r="N672" s="11">
        <f t="shared" si="231"/>
        <v>18513.862149689015</v>
      </c>
      <c r="O672" s="11">
        <f t="shared" si="232"/>
        <v>18526.153312633738</v>
      </c>
      <c r="P672" s="11">
        <f t="shared" si="228"/>
        <v>-12.291162944722601</v>
      </c>
      <c r="Q672" s="11">
        <f t="shared" si="233"/>
        <v>97.992459528225254</v>
      </c>
      <c r="R672" s="11">
        <f t="shared" si="229"/>
        <v>-110.28362247294785</v>
      </c>
      <c r="S672" s="9">
        <f t="shared" si="230"/>
        <v>60</v>
      </c>
      <c r="T672" s="14">
        <f t="shared" si="237"/>
        <v>1.0580734064994823E-2</v>
      </c>
      <c r="U672" s="14">
        <f t="shared" si="234"/>
        <v>0</v>
      </c>
      <c r="V672" s="14">
        <f t="shared" ref="V672:W687" si="246">AVERAGE(T659:T672)</f>
        <v>3.0417308872843852E-3</v>
      </c>
      <c r="W672" s="14">
        <f t="shared" si="246"/>
        <v>4.0835998337691738E-3</v>
      </c>
      <c r="X672" s="16">
        <f t="shared" si="240"/>
        <v>0.74486507275539271</v>
      </c>
    </row>
    <row r="673" spans="1:24" x14ac:dyDescent="0.25">
      <c r="A673" s="10">
        <v>46164</v>
      </c>
      <c r="B673" s="11">
        <v>18369.689999999999</v>
      </c>
      <c r="C673" s="12">
        <f t="shared" si="235"/>
        <v>3.5471647811826656E-3</v>
      </c>
      <c r="D673" s="11">
        <f t="shared" si="245"/>
        <v>18647.875000000004</v>
      </c>
      <c r="E673" s="11">
        <f t="shared" si="226"/>
        <v>18187.866799999996</v>
      </c>
      <c r="F673" s="11">
        <f t="shared" ref="F673:F736" si="247">AVERAGE(B514:B673)</f>
        <v>18513.260062500005</v>
      </c>
      <c r="G673" s="12">
        <f t="shared" si="236"/>
        <v>3.5408884299791762E-3</v>
      </c>
      <c r="H673" s="19">
        <f t="shared" si="241"/>
        <v>0.13366582614450515</v>
      </c>
      <c r="I673" s="11">
        <f t="shared" si="242"/>
        <v>18950.939999999999</v>
      </c>
      <c r="J673" s="11">
        <f t="shared" si="243"/>
        <v>18113.11</v>
      </c>
      <c r="K673" s="12">
        <f>(B673-MAX($B$2:B673))/MAX($B$2:B673)</f>
        <v>-9.211505671287723E-2</v>
      </c>
      <c r="L673" s="12">
        <f t="shared" si="244"/>
        <v>-2.3677158549639254E-2</v>
      </c>
      <c r="M673" s="15">
        <f t="shared" si="238"/>
        <v>41.193555934696754</v>
      </c>
      <c r="N673" s="11">
        <f t="shared" si="231"/>
        <v>18491.681818967627</v>
      </c>
      <c r="O673" s="11">
        <f t="shared" si="232"/>
        <v>18514.56343762383</v>
      </c>
      <c r="P673" s="11">
        <f t="shared" si="228"/>
        <v>-22.8816186562035</v>
      </c>
      <c r="Q673" s="11">
        <f t="shared" si="233"/>
        <v>73.8176438913395</v>
      </c>
      <c r="R673" s="11">
        <f t="shared" si="229"/>
        <v>-96.699262547543</v>
      </c>
      <c r="S673" s="9">
        <f t="shared" si="230"/>
        <v>60</v>
      </c>
      <c r="T673" s="14">
        <f t="shared" si="237"/>
        <v>3.5471647811826656E-3</v>
      </c>
      <c r="U673" s="14">
        <f t="shared" si="234"/>
        <v>0</v>
      </c>
      <c r="V673" s="14">
        <f t="shared" si="246"/>
        <v>2.8605368143070592E-3</v>
      </c>
      <c r="W673" s="14">
        <f t="shared" si="246"/>
        <v>4.0835998337691738E-3</v>
      </c>
      <c r="X673" s="16">
        <f t="shared" si="240"/>
        <v>0.70049390996932626</v>
      </c>
    </row>
    <row r="674" spans="1:24" x14ac:dyDescent="0.25">
      <c r="A674" s="10">
        <v>46167</v>
      </c>
      <c r="B674" s="11">
        <v>18871.53</v>
      </c>
      <c r="C674" s="12">
        <f t="shared" si="235"/>
        <v>2.7318915017074286E-2</v>
      </c>
      <c r="D674" s="11">
        <f t="shared" si="245"/>
        <v>18650.692499999997</v>
      </c>
      <c r="E674" s="11">
        <f t="shared" si="226"/>
        <v>18222.156399999996</v>
      </c>
      <c r="F674" s="11">
        <f t="shared" si="247"/>
        <v>18515.831562500003</v>
      </c>
      <c r="G674" s="12">
        <f t="shared" si="236"/>
        <v>2.6952413430231213E-2</v>
      </c>
      <c r="H674" s="19">
        <f t="shared" si="241"/>
        <v>0.15732986947822389</v>
      </c>
      <c r="I674" s="11">
        <f t="shared" si="242"/>
        <v>18950.939999999999</v>
      </c>
      <c r="J674" s="11">
        <f t="shared" si="243"/>
        <v>18113.11</v>
      </c>
      <c r="K674" s="12">
        <f>(B674-MAX($B$2:B674))/MAX($B$2:B674)</f>
        <v>-6.7312625101934961E-2</v>
      </c>
      <c r="L674" s="12">
        <f t="shared" si="244"/>
        <v>2.7588244389760153E-3</v>
      </c>
      <c r="M674" s="15">
        <f t="shared" si="238"/>
        <v>55.66350064760244</v>
      </c>
      <c r="N674" s="11">
        <f t="shared" si="231"/>
        <v>18550.120000664916</v>
      </c>
      <c r="O674" s="11">
        <f t="shared" si="232"/>
        <v>18541.005405207252</v>
      </c>
      <c r="P674" s="11">
        <f t="shared" si="228"/>
        <v>9.1145954576641088</v>
      </c>
      <c r="Q674" s="11">
        <f t="shared" si="233"/>
        <v>60.877034204604428</v>
      </c>
      <c r="R674" s="11">
        <f t="shared" si="229"/>
        <v>-51.762438746940319</v>
      </c>
      <c r="S674" s="9">
        <f t="shared" si="230"/>
        <v>60</v>
      </c>
      <c r="T674" s="14">
        <f t="shared" si="237"/>
        <v>2.7318915017074286E-2</v>
      </c>
      <c r="U674" s="14">
        <f t="shared" si="234"/>
        <v>0</v>
      </c>
      <c r="V674" s="14">
        <f t="shared" si="246"/>
        <v>4.8118878869552227E-3</v>
      </c>
      <c r="W674" s="14">
        <f t="shared" si="246"/>
        <v>3.8327137478190404E-3</v>
      </c>
      <c r="X674" s="16">
        <f t="shared" si="240"/>
        <v>1.2554780251181998</v>
      </c>
    </row>
    <row r="675" spans="1:24" x14ac:dyDescent="0.25">
      <c r="A675" s="10">
        <v>46168</v>
      </c>
      <c r="B675" s="11">
        <v>18874.97</v>
      </c>
      <c r="C675" s="12">
        <f t="shared" si="235"/>
        <v>1.8228516712759379E-4</v>
      </c>
      <c r="D675" s="11">
        <f t="shared" si="245"/>
        <v>18653.460499999997</v>
      </c>
      <c r="E675" s="11">
        <f t="shared" si="226"/>
        <v>18256.500599999996</v>
      </c>
      <c r="F675" s="11">
        <f t="shared" si="247"/>
        <v>18516.174000000006</v>
      </c>
      <c r="G675" s="12">
        <f t="shared" si="236"/>
        <v>1.8226855520522381E-4</v>
      </c>
      <c r="H675" s="19">
        <f t="shared" si="241"/>
        <v>0.15732959771355509</v>
      </c>
      <c r="I675" s="11">
        <f t="shared" si="242"/>
        <v>18950.939999999999</v>
      </c>
      <c r="J675" s="11">
        <f t="shared" si="243"/>
        <v>18113.11</v>
      </c>
      <c r="K675" s="12">
        <f>(B675-MAX($B$2:B675))/MAX($B$2:B675)</f>
        <v>-6.7142610027923932E-2</v>
      </c>
      <c r="L675" s="12">
        <f t="shared" si="244"/>
        <v>8.5342167483737352E-3</v>
      </c>
      <c r="M675" s="15">
        <f t="shared" si="238"/>
        <v>48.71694482753685</v>
      </c>
      <c r="N675" s="11">
        <f t="shared" si="231"/>
        <v>18600.096923639543</v>
      </c>
      <c r="O675" s="11">
        <f t="shared" si="232"/>
        <v>18565.743523340047</v>
      </c>
      <c r="P675" s="11">
        <f t="shared" si="228"/>
        <v>34.35340029949657</v>
      </c>
      <c r="Q675" s="11">
        <f t="shared" si="233"/>
        <v>55.572307423582856</v>
      </c>
      <c r="R675" s="11">
        <f t="shared" si="229"/>
        <v>-21.218907124086286</v>
      </c>
      <c r="S675" s="9">
        <f t="shared" si="230"/>
        <v>60</v>
      </c>
      <c r="T675" s="14">
        <f t="shared" si="237"/>
        <v>1.8228516712759379E-4</v>
      </c>
      <c r="U675" s="14">
        <f t="shared" si="234"/>
        <v>0</v>
      </c>
      <c r="V675" s="14">
        <f t="shared" si="246"/>
        <v>3.6409317573673334E-3</v>
      </c>
      <c r="W675" s="14">
        <f t="shared" si="246"/>
        <v>3.8327137478190404E-3</v>
      </c>
      <c r="X675" s="16">
        <f t="shared" si="240"/>
        <v>0.94996182781434224</v>
      </c>
    </row>
    <row r="676" spans="1:24" x14ac:dyDescent="0.25">
      <c r="A676" s="10">
        <v>46174</v>
      </c>
      <c r="B676" s="11">
        <v>18922.23</v>
      </c>
      <c r="C676" s="12">
        <f t="shared" si="235"/>
        <v>2.5038450392238509E-3</v>
      </c>
      <c r="D676" s="11">
        <f t="shared" si="245"/>
        <v>18663.809499999996</v>
      </c>
      <c r="E676" s="11">
        <f t="shared" si="226"/>
        <v>18297.828799999996</v>
      </c>
      <c r="F676" s="11">
        <f t="shared" si="247"/>
        <v>18515.161375000003</v>
      </c>
      <c r="G676" s="12">
        <f t="shared" si="236"/>
        <v>2.5007156418292349E-3</v>
      </c>
      <c r="H676" s="19">
        <f t="shared" si="241"/>
        <v>0.15604783127418448</v>
      </c>
      <c r="I676" s="11">
        <f t="shared" si="242"/>
        <v>18950.939999999999</v>
      </c>
      <c r="J676" s="11">
        <f t="shared" si="243"/>
        <v>18113.11</v>
      </c>
      <c r="K676" s="12">
        <f>(B676-MAX($B$2:B676))/MAX($B$2:B676)</f>
        <v>-6.4806879679739068E-2</v>
      </c>
      <c r="L676" s="12">
        <f t="shared" si="244"/>
        <v>1.190939023601123E-2</v>
      </c>
      <c r="M676" s="15">
        <f t="shared" si="238"/>
        <v>50.375763676449608</v>
      </c>
      <c r="N676" s="11">
        <f t="shared" si="231"/>
        <v>18649.65585846423</v>
      </c>
      <c r="O676" s="11">
        <f t="shared" si="232"/>
        <v>18592.149929018564</v>
      </c>
      <c r="P676" s="11">
        <f t="shared" si="228"/>
        <v>57.50592944566597</v>
      </c>
      <c r="Q676" s="11">
        <f t="shared" si="233"/>
        <v>55.959031827999482</v>
      </c>
      <c r="R676" s="11">
        <f t="shared" si="229"/>
        <v>1.5468976176664881</v>
      </c>
      <c r="S676" s="9">
        <f t="shared" si="230"/>
        <v>100</v>
      </c>
      <c r="T676" s="14">
        <f t="shared" si="237"/>
        <v>2.5038450392238509E-3</v>
      </c>
      <c r="U676" s="14">
        <f t="shared" si="234"/>
        <v>0</v>
      </c>
      <c r="V676" s="14">
        <f t="shared" si="246"/>
        <v>3.8197778315976088E-3</v>
      </c>
      <c r="W676" s="14">
        <f t="shared" si="246"/>
        <v>3.76279273970141E-3</v>
      </c>
      <c r="X676" s="16">
        <f t="shared" si="240"/>
        <v>1.0151443610738764</v>
      </c>
    </row>
    <row r="677" spans="1:24" x14ac:dyDescent="0.25">
      <c r="A677" s="10">
        <v>46175</v>
      </c>
      <c r="B677" s="11">
        <v>18583.39</v>
      </c>
      <c r="C677" s="12">
        <f t="shared" si="235"/>
        <v>-1.7906980308346365E-2</v>
      </c>
      <c r="D677" s="11">
        <f t="shared" si="245"/>
        <v>18658.002499999995</v>
      </c>
      <c r="E677" s="11">
        <f t="shared" si="226"/>
        <v>18330.646599999993</v>
      </c>
      <c r="F677" s="11">
        <f t="shared" si="247"/>
        <v>18512.660375000007</v>
      </c>
      <c r="G677" s="12">
        <f t="shared" si="236"/>
        <v>-1.8069250376857599E-2</v>
      </c>
      <c r="H677" s="19">
        <f t="shared" si="241"/>
        <v>0.16948874542015294</v>
      </c>
      <c r="I677" s="11">
        <f t="shared" si="242"/>
        <v>18950.939999999999</v>
      </c>
      <c r="J677" s="11">
        <f t="shared" si="243"/>
        <v>18113.11</v>
      </c>
      <c r="K677" s="12">
        <f>(B677-MAX($B$2:B677))/MAX($B$2:B677)</f>
        <v>-8.155336446981494E-2</v>
      </c>
      <c r="L677" s="12">
        <f t="shared" si="244"/>
        <v>-7.5335525596686992E-6</v>
      </c>
      <c r="M677" s="15">
        <f t="shared" si="238"/>
        <v>42.374565269166155</v>
      </c>
      <c r="N677" s="11">
        <f t="shared" si="231"/>
        <v>18639.461111008193</v>
      </c>
      <c r="O677" s="11">
        <f t="shared" si="232"/>
        <v>18591.501045387558</v>
      </c>
      <c r="P677" s="11">
        <f t="shared" si="228"/>
        <v>47.96006562063485</v>
      </c>
      <c r="Q677" s="11">
        <f t="shared" si="233"/>
        <v>54.359238586526558</v>
      </c>
      <c r="R677" s="11">
        <f t="shared" si="229"/>
        <v>-6.399172965891708</v>
      </c>
      <c r="S677" s="9">
        <f t="shared" si="230"/>
        <v>60</v>
      </c>
      <c r="T677" s="14">
        <f t="shared" si="237"/>
        <v>0</v>
      </c>
      <c r="U677" s="14">
        <f t="shared" si="234"/>
        <v>1.7906980308346365E-2</v>
      </c>
      <c r="V677" s="14">
        <f t="shared" si="246"/>
        <v>3.7075076946990271E-3</v>
      </c>
      <c r="W677" s="14">
        <f t="shared" si="246"/>
        <v>5.0418627617261503E-3</v>
      </c>
      <c r="X677" s="16">
        <f t="shared" si="240"/>
        <v>0.73534482589322037</v>
      </c>
    </row>
    <row r="678" spans="1:24" x14ac:dyDescent="0.25">
      <c r="A678" s="10">
        <v>46176</v>
      </c>
      <c r="B678" s="11">
        <v>18563.400000000001</v>
      </c>
      <c r="C678" s="12">
        <f t="shared" si="235"/>
        <v>-1.0756917871280747E-3</v>
      </c>
      <c r="D678" s="11">
        <f t="shared" si="245"/>
        <v>18656.996000000003</v>
      </c>
      <c r="E678" s="11">
        <f t="shared" si="226"/>
        <v>18360.610599999993</v>
      </c>
      <c r="F678" s="11">
        <f t="shared" si="247"/>
        <v>18510.788375000007</v>
      </c>
      <c r="G678" s="12">
        <f t="shared" si="236"/>
        <v>-1.0762707587724572E-3</v>
      </c>
      <c r="H678" s="19">
        <f t="shared" si="241"/>
        <v>0.16808684283594758</v>
      </c>
      <c r="I678" s="11">
        <f t="shared" si="242"/>
        <v>18950.939999999999</v>
      </c>
      <c r="J678" s="11">
        <f t="shared" si="243"/>
        <v>18113.11</v>
      </c>
      <c r="K678" s="12">
        <f>(B678-MAX($B$2:B678))/MAX($B$2:B678)</f>
        <v>-8.2541329972570174E-2</v>
      </c>
      <c r="L678" s="12">
        <f t="shared" si="244"/>
        <v>-7.1237589314414596E-3</v>
      </c>
      <c r="M678" s="15">
        <f t="shared" si="238"/>
        <v>43.880091846212224</v>
      </c>
      <c r="N678" s="11">
        <f t="shared" si="231"/>
        <v>18627.759401622319</v>
      </c>
      <c r="O678" s="11">
        <f t="shared" si="232"/>
        <v>18589.41948646996</v>
      </c>
      <c r="P678" s="11">
        <f t="shared" si="228"/>
        <v>38.339915152359026</v>
      </c>
      <c r="Q678" s="11">
        <f t="shared" si="233"/>
        <v>51.15537389969306</v>
      </c>
      <c r="R678" s="11">
        <f t="shared" si="229"/>
        <v>-12.815458747334034</v>
      </c>
      <c r="S678" s="9">
        <f t="shared" si="230"/>
        <v>60</v>
      </c>
      <c r="T678" s="14">
        <f t="shared" si="237"/>
        <v>0</v>
      </c>
      <c r="U678" s="14">
        <f t="shared" si="234"/>
        <v>1.0756917871280747E-3</v>
      </c>
      <c r="V678" s="14">
        <f t="shared" si="246"/>
        <v>3.7075076946990271E-3</v>
      </c>
      <c r="W678" s="14">
        <f t="shared" si="246"/>
        <v>4.7416717365857397E-3</v>
      </c>
      <c r="X678" s="16">
        <f t="shared" si="240"/>
        <v>0.78189885353991906</v>
      </c>
    </row>
    <row r="679" spans="1:24" x14ac:dyDescent="0.25">
      <c r="A679" s="10">
        <v>46177</v>
      </c>
      <c r="B679" s="11">
        <v>18562.93</v>
      </c>
      <c r="C679" s="12">
        <f t="shared" si="235"/>
        <v>-2.5318637749571771E-5</v>
      </c>
      <c r="D679" s="11">
        <f t="shared" si="245"/>
        <v>18650.312999999998</v>
      </c>
      <c r="E679" s="11">
        <f t="shared" si="226"/>
        <v>18381.631199999996</v>
      </c>
      <c r="F679" s="11">
        <f t="shared" si="247"/>
        <v>18510.559875000006</v>
      </c>
      <c r="G679" s="12">
        <f t="shared" si="236"/>
        <v>-2.531895827169065E-5</v>
      </c>
      <c r="H679" s="19">
        <f t="shared" si="241"/>
        <v>0.16652894987230321</v>
      </c>
      <c r="I679" s="11">
        <f t="shared" si="242"/>
        <v>18950.939999999999</v>
      </c>
      <c r="J679" s="11">
        <f t="shared" si="243"/>
        <v>18113.11</v>
      </c>
      <c r="K679" s="12">
        <f>(B679-MAX($B$2:B679))/MAX($B$2:B679)</f>
        <v>-8.2564558776286837E-2</v>
      </c>
      <c r="L679" s="12">
        <f t="shared" si="244"/>
        <v>-3.6493098569473359E-3</v>
      </c>
      <c r="M679" s="15">
        <f t="shared" si="238"/>
        <v>45.384029458105822</v>
      </c>
      <c r="N679" s="11">
        <f t="shared" si="231"/>
        <v>18617.78564752658</v>
      </c>
      <c r="O679" s="11">
        <f t="shared" si="232"/>
        <v>18587.457302286999</v>
      </c>
      <c r="P679" s="11">
        <f t="shared" si="228"/>
        <v>30.328345239580813</v>
      </c>
      <c r="Q679" s="11">
        <f t="shared" si="233"/>
        <v>46.989968167670611</v>
      </c>
      <c r="R679" s="11">
        <f t="shared" si="229"/>
        <v>-16.661622928089798</v>
      </c>
      <c r="S679" s="9">
        <f t="shared" si="230"/>
        <v>60</v>
      </c>
      <c r="T679" s="14">
        <f t="shared" si="237"/>
        <v>0</v>
      </c>
      <c r="U679" s="14">
        <f t="shared" si="234"/>
        <v>2.5318637749571771E-5</v>
      </c>
      <c r="V679" s="14">
        <f t="shared" si="246"/>
        <v>3.7075076946990271E-3</v>
      </c>
      <c r="W679" s="14">
        <f t="shared" si="246"/>
        <v>4.4616825225809132E-3</v>
      </c>
      <c r="X679" s="16">
        <f t="shared" si="240"/>
        <v>0.8309662724622493</v>
      </c>
    </row>
    <row r="680" spans="1:24" x14ac:dyDescent="0.25">
      <c r="A680" s="10">
        <v>46178</v>
      </c>
      <c r="B680" s="11">
        <v>18519.03</v>
      </c>
      <c r="C680" s="12">
        <f t="shared" si="235"/>
        <v>-2.3649283814570765E-3</v>
      </c>
      <c r="D680" s="11">
        <f t="shared" si="245"/>
        <v>18644.718499999999</v>
      </c>
      <c r="E680" s="11">
        <f t="shared" si="226"/>
        <v>18407.140199999994</v>
      </c>
      <c r="F680" s="11">
        <f t="shared" si="247"/>
        <v>18510.370250000004</v>
      </c>
      <c r="G680" s="12">
        <f t="shared" si="236"/>
        <v>-2.3677292413418474E-3</v>
      </c>
      <c r="H680" s="19">
        <f t="shared" si="241"/>
        <v>0.16628925162080901</v>
      </c>
      <c r="I680" s="11">
        <f t="shared" si="242"/>
        <v>18950.939999999999</v>
      </c>
      <c r="J680" s="11">
        <f t="shared" si="243"/>
        <v>18113.11</v>
      </c>
      <c r="K680" s="12">
        <f>(B680-MAX($B$2:B680))/MAX($B$2:B680)</f>
        <v>-8.4734227889391417E-2</v>
      </c>
      <c r="L680" s="12">
        <f t="shared" si="244"/>
        <v>-2.2213082122563566E-2</v>
      </c>
      <c r="M680" s="15">
        <f t="shared" si="238"/>
        <v>41.353320390555112</v>
      </c>
      <c r="N680" s="11">
        <f t="shared" si="231"/>
        <v>18602.592470984029</v>
      </c>
      <c r="O680" s="11">
        <f t="shared" si="232"/>
        <v>18582.388613228701</v>
      </c>
      <c r="P680" s="11">
        <f t="shared" si="228"/>
        <v>20.203857755328499</v>
      </c>
      <c r="Q680" s="11">
        <f t="shared" si="233"/>
        <v>41.632746085202193</v>
      </c>
      <c r="R680" s="11">
        <f t="shared" si="229"/>
        <v>-21.428888329873693</v>
      </c>
      <c r="S680" s="9">
        <f t="shared" si="230"/>
        <v>60</v>
      </c>
      <c r="T680" s="14">
        <f t="shared" si="237"/>
        <v>0</v>
      </c>
      <c r="U680" s="14">
        <f t="shared" si="234"/>
        <v>2.3649283814570765E-3</v>
      </c>
      <c r="V680" s="14">
        <f t="shared" si="246"/>
        <v>3.2651623911599259E-3</v>
      </c>
      <c r="W680" s="14">
        <f t="shared" si="246"/>
        <v>4.630605978399276E-3</v>
      </c>
      <c r="X680" s="16">
        <f t="shared" si="240"/>
        <v>0.70512637144925872</v>
      </c>
    </row>
    <row r="681" spans="1:24" x14ac:dyDescent="0.25">
      <c r="A681" s="10">
        <v>46181</v>
      </c>
      <c r="B681" s="11">
        <v>18629.14</v>
      </c>
      <c r="C681" s="12">
        <f t="shared" si="235"/>
        <v>5.9457757776730791E-3</v>
      </c>
      <c r="D681" s="11">
        <f t="shared" si="245"/>
        <v>18629.1885</v>
      </c>
      <c r="E681" s="11">
        <f t="shared" si="226"/>
        <v>18434.994999999995</v>
      </c>
      <c r="F681" s="11">
        <f t="shared" si="247"/>
        <v>18510.138687500006</v>
      </c>
      <c r="G681" s="12">
        <f t="shared" si="236"/>
        <v>5.9281694074238165E-3</v>
      </c>
      <c r="H681" s="19">
        <f t="shared" si="241"/>
        <v>0.15612936037036862</v>
      </c>
      <c r="I681" s="11">
        <f t="shared" si="242"/>
        <v>18950.939999999999</v>
      </c>
      <c r="J681" s="11">
        <f t="shared" si="243"/>
        <v>18113.11</v>
      </c>
      <c r="K681" s="12">
        <f>(B681-MAX($B$2:B681))/MAX($B$2:B681)</f>
        <v>-7.9292262831442931E-2</v>
      </c>
      <c r="L681" s="12">
        <f t="shared" si="244"/>
        <v>-1.5435596050990541E-2</v>
      </c>
      <c r="M681" s="15">
        <f t="shared" si="238"/>
        <v>47.523745839955097</v>
      </c>
      <c r="N681" s="11">
        <f t="shared" si="231"/>
        <v>18606.676706217255</v>
      </c>
      <c r="O681" s="11">
        <f t="shared" si="232"/>
        <v>18585.851678915464</v>
      </c>
      <c r="P681" s="11">
        <f t="shared" si="228"/>
        <v>20.825027301791124</v>
      </c>
      <c r="Q681" s="11">
        <f t="shared" si="233"/>
        <v>37.471202328519979</v>
      </c>
      <c r="R681" s="11">
        <f t="shared" si="229"/>
        <v>-16.646175026728855</v>
      </c>
      <c r="S681" s="9">
        <f t="shared" si="230"/>
        <v>60</v>
      </c>
      <c r="T681" s="14">
        <f t="shared" si="237"/>
        <v>5.9457757776730791E-3</v>
      </c>
      <c r="U681" s="14">
        <f t="shared" si="234"/>
        <v>0</v>
      </c>
      <c r="V681" s="14">
        <f t="shared" si="246"/>
        <v>3.6898606609937173E-3</v>
      </c>
      <c r="W681" s="14">
        <f t="shared" si="246"/>
        <v>4.0743856032212245E-3</v>
      </c>
      <c r="X681" s="16">
        <f t="shared" si="240"/>
        <v>0.90562382168160516</v>
      </c>
    </row>
    <row r="682" spans="1:24" x14ac:dyDescent="0.25">
      <c r="A682" s="10">
        <v>46182</v>
      </c>
      <c r="B682" s="11">
        <v>18505.63</v>
      </c>
      <c r="C682" s="12">
        <f t="shared" si="235"/>
        <v>-6.6299356814109034E-3</v>
      </c>
      <c r="D682" s="11">
        <f t="shared" si="245"/>
        <v>18608.410000000003</v>
      </c>
      <c r="E682" s="11">
        <f t="shared" si="226"/>
        <v>18453.299199999998</v>
      </c>
      <c r="F682" s="11">
        <f t="shared" si="247"/>
        <v>18511.445062500006</v>
      </c>
      <c r="G682" s="12">
        <f t="shared" si="236"/>
        <v>-6.6520113325122488E-3</v>
      </c>
      <c r="H682" s="19">
        <f t="shared" si="241"/>
        <v>0.15749537659869711</v>
      </c>
      <c r="I682" s="11">
        <f t="shared" si="242"/>
        <v>18950.939999999999</v>
      </c>
      <c r="J682" s="11">
        <f t="shared" si="243"/>
        <v>18113.11</v>
      </c>
      <c r="K682" s="12">
        <f>(B682-MAX($B$2:B682))/MAX($B$2:B682)</f>
        <v>-8.5396495910247811E-2</v>
      </c>
      <c r="L682" s="12">
        <f t="shared" si="244"/>
        <v>-2.3498042841146538E-2</v>
      </c>
      <c r="M682" s="15">
        <f t="shared" si="238"/>
        <v>52.759353739369537</v>
      </c>
      <c r="N682" s="11">
        <f t="shared" si="231"/>
        <v>18591.131059106909</v>
      </c>
      <c r="O682" s="11">
        <f t="shared" si="232"/>
        <v>18579.909332329131</v>
      </c>
      <c r="P682" s="11">
        <f t="shared" si="228"/>
        <v>11.221726777777803</v>
      </c>
      <c r="Q682" s="11">
        <f t="shared" si="233"/>
        <v>32.221307218371543</v>
      </c>
      <c r="R682" s="11">
        <f t="shared" si="229"/>
        <v>-20.999580440593739</v>
      </c>
      <c r="S682" s="9">
        <f t="shared" si="230"/>
        <v>60</v>
      </c>
      <c r="T682" s="14">
        <f t="shared" si="237"/>
        <v>0</v>
      </c>
      <c r="U682" s="14">
        <f t="shared" si="234"/>
        <v>6.6299356814109034E-3</v>
      </c>
      <c r="V682" s="14">
        <f t="shared" si="246"/>
        <v>3.6898606609937173E-3</v>
      </c>
      <c r="W682" s="14">
        <f t="shared" si="246"/>
        <v>3.3038957053590184E-3</v>
      </c>
      <c r="X682" s="16">
        <f t="shared" si="240"/>
        <v>1.11682116811637</v>
      </c>
    </row>
    <row r="683" spans="1:24" x14ac:dyDescent="0.25">
      <c r="A683" s="10">
        <v>46183</v>
      </c>
      <c r="B683" s="11">
        <v>18142.55</v>
      </c>
      <c r="C683" s="12">
        <f t="shared" si="235"/>
        <v>-1.9619975110277355E-2</v>
      </c>
      <c r="D683" s="11">
        <f t="shared" si="245"/>
        <v>18567.9905</v>
      </c>
      <c r="E683" s="11">
        <f t="shared" si="226"/>
        <v>18467.283599999999</v>
      </c>
      <c r="F683" s="11">
        <f t="shared" si="247"/>
        <v>18511.090375000007</v>
      </c>
      <c r="G683" s="12">
        <f t="shared" si="236"/>
        <v>-1.9815001985228762E-2</v>
      </c>
      <c r="H683" s="19">
        <f t="shared" si="241"/>
        <v>0.17043019850834182</v>
      </c>
      <c r="I683" s="11">
        <f t="shared" si="242"/>
        <v>18922.23</v>
      </c>
      <c r="J683" s="11">
        <f t="shared" si="243"/>
        <v>18113.11</v>
      </c>
      <c r="K683" s="12">
        <f>(B683-MAX($B$2:B683))/MAX($B$2:B683)</f>
        <v>-0.10334099389626118</v>
      </c>
      <c r="L683" s="12">
        <f t="shared" si="244"/>
        <v>-3.7576965780431903E-2</v>
      </c>
      <c r="M683" s="15">
        <f t="shared" si="238"/>
        <v>43.188721659712982</v>
      </c>
      <c r="N683" s="11">
        <f t="shared" si="231"/>
        <v>18522.118588475078</v>
      </c>
      <c r="O683" s="11">
        <f t="shared" si="232"/>
        <v>18547.512344749197</v>
      </c>
      <c r="P683" s="11">
        <f t="shared" si="228"/>
        <v>-25.393756274119369</v>
      </c>
      <c r="Q683" s="11">
        <f t="shared" si="233"/>
        <v>20.698294519873361</v>
      </c>
      <c r="R683" s="11">
        <f t="shared" si="229"/>
        <v>-46.092050793992726</v>
      </c>
      <c r="S683" s="9">
        <f t="shared" si="230"/>
        <v>60</v>
      </c>
      <c r="T683" s="14">
        <f t="shared" si="237"/>
        <v>0</v>
      </c>
      <c r="U683" s="14">
        <f t="shared" si="234"/>
        <v>1.9619975110277355E-2</v>
      </c>
      <c r="V683" s="14">
        <f t="shared" si="246"/>
        <v>3.5770514176625928E-3</v>
      </c>
      <c r="W683" s="14">
        <f t="shared" si="246"/>
        <v>4.7053224989502583E-3</v>
      </c>
      <c r="X683" s="16">
        <f t="shared" si="240"/>
        <v>0.76021386811650449</v>
      </c>
    </row>
    <row r="684" spans="1:24" x14ac:dyDescent="0.25">
      <c r="A684" s="10">
        <v>46184</v>
      </c>
      <c r="B684" s="11">
        <v>17623.73</v>
      </c>
      <c r="C684" s="12">
        <f t="shared" si="235"/>
        <v>-2.8596862072861828E-2</v>
      </c>
      <c r="D684" s="11">
        <f t="shared" si="245"/>
        <v>18506.631500000003</v>
      </c>
      <c r="E684" s="11">
        <f t="shared" si="226"/>
        <v>18475.337199999998</v>
      </c>
      <c r="F684" s="11">
        <f t="shared" si="247"/>
        <v>18505.999562500005</v>
      </c>
      <c r="G684" s="12">
        <f t="shared" si="236"/>
        <v>-2.9013718761587995E-2</v>
      </c>
      <c r="H684" s="19">
        <f t="shared" si="241"/>
        <v>0.19517975101303883</v>
      </c>
      <c r="I684" s="11">
        <f t="shared" si="242"/>
        <v>18922.23</v>
      </c>
      <c r="J684" s="11">
        <f t="shared" si="243"/>
        <v>17623.73</v>
      </c>
      <c r="K684" s="12">
        <f>(B684-MAX($B$2:B684))/MAX($B$2:B684)</f>
        <v>-0.1289826278201992</v>
      </c>
      <c r="L684" s="12">
        <f t="shared" si="244"/>
        <v>-6.1396295590135375E-2</v>
      </c>
      <c r="M684" s="15">
        <f t="shared" si="238"/>
        <v>37.217091937614008</v>
      </c>
      <c r="N684" s="11">
        <f t="shared" si="231"/>
        <v>18383.90495947891</v>
      </c>
      <c r="O684" s="11">
        <f t="shared" si="232"/>
        <v>18479.084022915922</v>
      </c>
      <c r="P684" s="11">
        <f t="shared" si="228"/>
        <v>-95.179063437011791</v>
      </c>
      <c r="Q684" s="11">
        <f t="shared" si="233"/>
        <v>-2.4771770715036681</v>
      </c>
      <c r="R684" s="11">
        <f t="shared" si="229"/>
        <v>-92.70188636550813</v>
      </c>
      <c r="S684" s="9">
        <f t="shared" si="230"/>
        <v>60</v>
      </c>
      <c r="T684" s="14">
        <f t="shared" si="237"/>
        <v>0</v>
      </c>
      <c r="U684" s="14">
        <f t="shared" si="234"/>
        <v>2.8596862072861828E-2</v>
      </c>
      <c r="V684" s="14">
        <f t="shared" si="246"/>
        <v>3.5770514176625928E-3</v>
      </c>
      <c r="W684" s="14">
        <f t="shared" si="246"/>
        <v>6.0342621789470129E-3</v>
      </c>
      <c r="X684" s="16">
        <f t="shared" si="240"/>
        <v>0.59279018902138481</v>
      </c>
    </row>
    <row r="685" spans="1:24" x14ac:dyDescent="0.25">
      <c r="A685" s="10">
        <v>46185</v>
      </c>
      <c r="B685" s="11">
        <v>17952.37</v>
      </c>
      <c r="C685" s="12">
        <f t="shared" si="235"/>
        <v>1.8647584818877627E-2</v>
      </c>
      <c r="D685" s="11">
        <f t="shared" si="245"/>
        <v>18465.422999999999</v>
      </c>
      <c r="E685" s="11">
        <f t="shared" si="226"/>
        <v>18487.779200000001</v>
      </c>
      <c r="F685" s="11">
        <f t="shared" si="247"/>
        <v>18502.840250000008</v>
      </c>
      <c r="G685" s="12">
        <f t="shared" si="236"/>
        <v>1.8475850280293707E-2</v>
      </c>
      <c r="H685" s="19">
        <f t="shared" si="241"/>
        <v>0.20996242106618618</v>
      </c>
      <c r="I685" s="11">
        <f t="shared" si="242"/>
        <v>18922.23</v>
      </c>
      <c r="J685" s="11">
        <f t="shared" si="243"/>
        <v>17623.73</v>
      </c>
      <c r="K685" s="12">
        <f>(B685-MAX($B$2:B685))/MAX($B$2:B685)</f>
        <v>-0.1127402574937604</v>
      </c>
      <c r="L685" s="12">
        <f t="shared" si="244"/>
        <v>-4.9778169696212626E-2</v>
      </c>
      <c r="M685" s="15">
        <f t="shared" si="238"/>
        <v>47.415110632061797</v>
      </c>
      <c r="N685" s="11">
        <f t="shared" si="231"/>
        <v>18317.514965712922</v>
      </c>
      <c r="O685" s="11">
        <f t="shared" si="232"/>
        <v>18440.068169366594</v>
      </c>
      <c r="P685" s="11">
        <f t="shared" si="228"/>
        <v>-122.55320365367152</v>
      </c>
      <c r="Q685" s="11">
        <f t="shared" si="233"/>
        <v>-26.492382387937241</v>
      </c>
      <c r="R685" s="11">
        <f t="shared" si="229"/>
        <v>-96.060821265734276</v>
      </c>
      <c r="S685" s="9">
        <f t="shared" si="230"/>
        <v>20</v>
      </c>
      <c r="T685" s="14">
        <f t="shared" si="237"/>
        <v>1.8647584818877627E-2</v>
      </c>
      <c r="U685" s="14">
        <f t="shared" si="234"/>
        <v>0</v>
      </c>
      <c r="V685" s="14">
        <f t="shared" si="246"/>
        <v>4.9090217618681375E-3</v>
      </c>
      <c r="W685" s="14">
        <f t="shared" si="246"/>
        <v>5.4442637128022265E-3</v>
      </c>
      <c r="X685" s="16">
        <f t="shared" si="240"/>
        <v>0.9016869903499598</v>
      </c>
    </row>
    <row r="686" spans="1:24" x14ac:dyDescent="0.25">
      <c r="A686" s="10">
        <v>46188</v>
      </c>
      <c r="B686" s="11">
        <v>18753.830000000002</v>
      </c>
      <c r="C686" s="12">
        <f t="shared" si="235"/>
        <v>4.4643687713655789E-2</v>
      </c>
      <c r="D686" s="11">
        <f t="shared" si="245"/>
        <v>18458.4735</v>
      </c>
      <c r="E686" s="11">
        <f t="shared" si="226"/>
        <v>18519.644999999997</v>
      </c>
      <c r="F686" s="11">
        <f t="shared" si="247"/>
        <v>18501.752312500008</v>
      </c>
      <c r="G686" s="12">
        <f t="shared" si="236"/>
        <v>4.3675858578665572E-2</v>
      </c>
      <c r="H686" s="19">
        <f t="shared" si="241"/>
        <v>0.26491353745980684</v>
      </c>
      <c r="I686" s="11">
        <f t="shared" si="242"/>
        <v>18922.23</v>
      </c>
      <c r="J686" s="11">
        <f t="shared" si="243"/>
        <v>17623.73</v>
      </c>
      <c r="K686" s="12">
        <f>(B686-MAX($B$2:B686))/MAX($B$2:B686)</f>
        <v>-7.3129710628413183E-2</v>
      </c>
      <c r="L686" s="12">
        <f t="shared" si="244"/>
        <v>4.3369946174331986E-4</v>
      </c>
      <c r="M686" s="15">
        <f t="shared" si="238"/>
        <v>57.421295497219461</v>
      </c>
      <c r="N686" s="11">
        <f t="shared" si="231"/>
        <v>18384.640355603242</v>
      </c>
      <c r="O686" s="11">
        <f t="shared" si="232"/>
        <v>18463.309786450551</v>
      </c>
      <c r="P686" s="11">
        <f t="shared" si="228"/>
        <v>-78.669430847308831</v>
      </c>
      <c r="Q686" s="11">
        <f t="shared" si="233"/>
        <v>-36.92779207981156</v>
      </c>
      <c r="R686" s="11">
        <f t="shared" si="229"/>
        <v>-41.741638767497271</v>
      </c>
      <c r="S686" s="9">
        <f t="shared" si="230"/>
        <v>20</v>
      </c>
      <c r="T686" s="14">
        <f t="shared" si="237"/>
        <v>4.4643687713655789E-2</v>
      </c>
      <c r="U686" s="14">
        <f t="shared" si="234"/>
        <v>0</v>
      </c>
      <c r="V686" s="14">
        <f t="shared" si="246"/>
        <v>7.3420898796296352E-3</v>
      </c>
      <c r="W686" s="14">
        <f t="shared" si="246"/>
        <v>5.4442637128022265E-3</v>
      </c>
      <c r="X686" s="16">
        <f t="shared" si="240"/>
        <v>1.3485918880756376</v>
      </c>
    </row>
    <row r="687" spans="1:24" x14ac:dyDescent="0.25">
      <c r="A687" s="10">
        <v>46189</v>
      </c>
      <c r="B687" s="11">
        <v>18782.580000000002</v>
      </c>
      <c r="C687" s="12">
        <f t="shared" si="235"/>
        <v>1.5330201884096173E-3</v>
      </c>
      <c r="D687" s="11">
        <f t="shared" si="245"/>
        <v>18460.317499999997</v>
      </c>
      <c r="E687" s="11">
        <f t="shared" si="226"/>
        <v>18544.211999999996</v>
      </c>
      <c r="F687" s="11">
        <f t="shared" si="247"/>
        <v>18498.271875000006</v>
      </c>
      <c r="G687" s="12">
        <f t="shared" si="236"/>
        <v>1.5318463125243947E-3</v>
      </c>
      <c r="H687" s="19">
        <f t="shared" si="241"/>
        <v>0.26350205315996306</v>
      </c>
      <c r="I687" s="11">
        <f t="shared" si="242"/>
        <v>18922.23</v>
      </c>
      <c r="J687" s="11">
        <f t="shared" si="243"/>
        <v>17623.73</v>
      </c>
      <c r="K687" s="12">
        <f>(B687-MAX($B$2:B687))/MAX($B$2:B687)</f>
        <v>-7.1708799762769573E-2</v>
      </c>
      <c r="L687" s="12">
        <f t="shared" si="244"/>
        <v>1.9727773340984855E-2</v>
      </c>
      <c r="M687" s="15">
        <f t="shared" si="238"/>
        <v>56.936763382834705</v>
      </c>
      <c r="N687" s="11">
        <f t="shared" si="231"/>
        <v>18445.861839356588</v>
      </c>
      <c r="O687" s="11">
        <f t="shared" si="232"/>
        <v>18486.959431898656</v>
      </c>
      <c r="P687" s="11">
        <f t="shared" si="228"/>
        <v>-41.097592542068014</v>
      </c>
      <c r="Q687" s="11">
        <f t="shared" si="233"/>
        <v>-37.761752172262852</v>
      </c>
      <c r="R687" s="11">
        <f t="shared" si="229"/>
        <v>-3.3358403698051617</v>
      </c>
      <c r="S687" s="9">
        <f t="shared" si="230"/>
        <v>20</v>
      </c>
      <c r="T687" s="14">
        <f t="shared" si="237"/>
        <v>1.5330201884096173E-3</v>
      </c>
      <c r="U687" s="14">
        <f t="shared" si="234"/>
        <v>0</v>
      </c>
      <c r="V687" s="14">
        <f t="shared" si="246"/>
        <v>7.1982224087172742E-3</v>
      </c>
      <c r="W687" s="14">
        <f t="shared" si="246"/>
        <v>5.4442637128022265E-3</v>
      </c>
      <c r="X687" s="16">
        <f t="shared" si="240"/>
        <v>1.3221663733501008</v>
      </c>
    </row>
    <row r="688" spans="1:24" x14ac:dyDescent="0.25">
      <c r="A688" s="10">
        <v>46191</v>
      </c>
      <c r="B688" s="11">
        <v>18357.759999999998</v>
      </c>
      <c r="C688" s="12">
        <f t="shared" si="235"/>
        <v>-2.2617766036401976E-2</v>
      </c>
      <c r="D688" s="11">
        <f t="shared" si="245"/>
        <v>18457.245000000003</v>
      </c>
      <c r="E688" s="11">
        <f t="shared" si="226"/>
        <v>18560.860800000002</v>
      </c>
      <c r="F688" s="11">
        <f t="shared" si="247"/>
        <v>18491.427625000004</v>
      </c>
      <c r="G688" s="12">
        <f t="shared" si="236"/>
        <v>-2.2877471144107028E-2</v>
      </c>
      <c r="H688" s="19">
        <f t="shared" si="241"/>
        <v>0.26884126051555496</v>
      </c>
      <c r="I688" s="11">
        <f t="shared" si="242"/>
        <v>18922.23</v>
      </c>
      <c r="J688" s="11">
        <f t="shared" si="243"/>
        <v>17623.73</v>
      </c>
      <c r="K688" s="12">
        <f>(B688-MAX($B$2:B688))/MAX($B$2:B688)</f>
        <v>-9.2704672943386052E-2</v>
      </c>
      <c r="L688" s="12">
        <f t="shared" si="244"/>
        <v>-4.9077692795542749E-3</v>
      </c>
      <c r="M688" s="15">
        <f t="shared" si="238"/>
        <v>42.634302447992901</v>
      </c>
      <c r="N688" s="11">
        <f t="shared" si="231"/>
        <v>18432.307710224806</v>
      </c>
      <c r="O688" s="11">
        <f t="shared" si="232"/>
        <v>18477.389103609868</v>
      </c>
      <c r="P688" s="11">
        <f t="shared" si="228"/>
        <v>-45.081393385062256</v>
      </c>
      <c r="Q688" s="11">
        <f t="shared" si="233"/>
        <v>-39.225680414822733</v>
      </c>
      <c r="R688" s="11">
        <f t="shared" si="229"/>
        <v>-5.855712970239523</v>
      </c>
      <c r="S688" s="9">
        <f t="shared" si="230"/>
        <v>20</v>
      </c>
      <c r="T688" s="14">
        <f t="shared" si="237"/>
        <v>0</v>
      </c>
      <c r="U688" s="14">
        <f t="shared" si="234"/>
        <v>2.2617766036401976E-2</v>
      </c>
      <c r="V688" s="14">
        <f t="shared" ref="V688:W703" si="248">AVERAGE(T675:T688)</f>
        <v>5.2468713360691111E-3</v>
      </c>
      <c r="W688" s="14">
        <f t="shared" si="248"/>
        <v>7.0598184296880818E-3</v>
      </c>
      <c r="X688" s="16">
        <f t="shared" si="240"/>
        <v>0.74320202259095913</v>
      </c>
    </row>
    <row r="689" spans="1:24" x14ac:dyDescent="0.25">
      <c r="A689" s="10">
        <v>46192</v>
      </c>
      <c r="B689" s="11">
        <v>18353.29</v>
      </c>
      <c r="C689" s="12">
        <f t="shared" si="235"/>
        <v>-2.4349375958709896E-4</v>
      </c>
      <c r="D689" s="11">
        <f t="shared" si="245"/>
        <v>18452.494499999997</v>
      </c>
      <c r="E689" s="11">
        <f t="shared" si="226"/>
        <v>18577.6306</v>
      </c>
      <c r="F689" s="11">
        <f t="shared" si="247"/>
        <v>18484.982375000003</v>
      </c>
      <c r="G689" s="12">
        <f t="shared" si="236"/>
        <v>-2.4352340900564114E-4</v>
      </c>
      <c r="H689" s="19">
        <f t="shared" si="241"/>
        <v>0.26876217313618944</v>
      </c>
      <c r="I689" s="11">
        <f t="shared" si="242"/>
        <v>18922.23</v>
      </c>
      <c r="J689" s="11">
        <f t="shared" si="243"/>
        <v>17623.73</v>
      </c>
      <c r="K689" s="12">
        <f>(B689-MAX($B$2:B689))/MAX($B$2:B689)</f>
        <v>-9.2925593693626865E-2</v>
      </c>
      <c r="L689" s="12">
        <f t="shared" si="244"/>
        <v>4.8905029957888591E-3</v>
      </c>
      <c r="M689" s="15">
        <f t="shared" si="238"/>
        <v>42.513400132190888</v>
      </c>
      <c r="N689" s="11">
        <f t="shared" si="231"/>
        <v>18420.151139420988</v>
      </c>
      <c r="O689" s="11">
        <f t="shared" si="232"/>
        <v>18468.196577416547</v>
      </c>
      <c r="P689" s="11">
        <f t="shared" si="228"/>
        <v>-48.045437995559041</v>
      </c>
      <c r="Q689" s="11">
        <f t="shared" si="233"/>
        <v>-40.989631930969999</v>
      </c>
      <c r="R689" s="11">
        <f t="shared" si="229"/>
        <v>-7.0558060645890421</v>
      </c>
      <c r="S689" s="9">
        <f t="shared" si="230"/>
        <v>20</v>
      </c>
      <c r="T689" s="14">
        <f t="shared" si="237"/>
        <v>0</v>
      </c>
      <c r="U689" s="14">
        <f t="shared" si="234"/>
        <v>2.4349375958709896E-4</v>
      </c>
      <c r="V689" s="14">
        <f t="shared" si="248"/>
        <v>5.233850966988569E-3</v>
      </c>
      <c r="W689" s="14">
        <f t="shared" si="248"/>
        <v>7.0772108410871604E-3</v>
      </c>
      <c r="X689" s="16">
        <f t="shared" si="240"/>
        <v>0.73953582626126413</v>
      </c>
    </row>
    <row r="690" spans="1:24" x14ac:dyDescent="0.25">
      <c r="A690" s="10">
        <v>46195</v>
      </c>
      <c r="B690" s="11">
        <v>18391.12</v>
      </c>
      <c r="C690" s="12">
        <f t="shared" si="235"/>
        <v>2.061210823781412E-3</v>
      </c>
      <c r="D690" s="11">
        <f t="shared" si="245"/>
        <v>18458.852000000003</v>
      </c>
      <c r="E690" s="11">
        <f t="shared" si="226"/>
        <v>18593.459000000003</v>
      </c>
      <c r="F690" s="11">
        <f t="shared" si="247"/>
        <v>18478.406125000005</v>
      </c>
      <c r="G690" s="12">
        <f t="shared" si="236"/>
        <v>2.0590894433261133E-3</v>
      </c>
      <c r="H690" s="19">
        <f t="shared" si="241"/>
        <v>0.26634119415114837</v>
      </c>
      <c r="I690" s="11">
        <f t="shared" si="242"/>
        <v>18922.23</v>
      </c>
      <c r="J690" s="11">
        <f t="shared" si="243"/>
        <v>17623.73</v>
      </c>
      <c r="K690" s="12">
        <f>(B690-MAX($B$2:B690))/MAX($B$2:B690)</f>
        <v>-9.1055922109373119E-2</v>
      </c>
      <c r="L690" s="12">
        <f t="shared" si="244"/>
        <v>1.5348551408344457E-2</v>
      </c>
      <c r="M690" s="15">
        <f t="shared" si="238"/>
        <v>42.365385439644129</v>
      </c>
      <c r="N690" s="11">
        <f t="shared" si="231"/>
        <v>18415.684810279297</v>
      </c>
      <c r="O690" s="11">
        <f t="shared" si="232"/>
        <v>18462.487201311618</v>
      </c>
      <c r="P690" s="11">
        <f t="shared" si="228"/>
        <v>-46.802391032320884</v>
      </c>
      <c r="Q690" s="11">
        <f t="shared" si="233"/>
        <v>-42.15218375124018</v>
      </c>
      <c r="R690" s="11">
        <f t="shared" si="229"/>
        <v>-4.6502072810807036</v>
      </c>
      <c r="S690" s="9">
        <f t="shared" si="230"/>
        <v>20</v>
      </c>
      <c r="T690" s="14">
        <f t="shared" si="237"/>
        <v>2.061210823781412E-3</v>
      </c>
      <c r="U690" s="14">
        <f t="shared" si="234"/>
        <v>0</v>
      </c>
      <c r="V690" s="14">
        <f t="shared" si="248"/>
        <v>5.2022342373141085E-3</v>
      </c>
      <c r="W690" s="14">
        <f t="shared" si="248"/>
        <v>7.0772108410871604E-3</v>
      </c>
      <c r="X690" s="16">
        <f t="shared" si="240"/>
        <v>0.7350684265490911</v>
      </c>
    </row>
    <row r="691" spans="1:24" x14ac:dyDescent="0.25">
      <c r="A691" s="10">
        <v>46196</v>
      </c>
      <c r="B691" s="11">
        <v>18322.009999999998</v>
      </c>
      <c r="C691" s="12">
        <f t="shared" si="235"/>
        <v>-3.7577918038705915E-3</v>
      </c>
      <c r="D691" s="11">
        <f t="shared" si="245"/>
        <v>18469.296999999999</v>
      </c>
      <c r="E691" s="11">
        <f t="shared" si="226"/>
        <v>18612.075199999999</v>
      </c>
      <c r="F691" s="11">
        <f t="shared" si="247"/>
        <v>18471.829125000007</v>
      </c>
      <c r="G691" s="12">
        <f t="shared" si="236"/>
        <v>-3.7648700414172689E-3</v>
      </c>
      <c r="H691" s="19">
        <f t="shared" si="241"/>
        <v>0.26487337362476548</v>
      </c>
      <c r="I691" s="11">
        <f t="shared" si="242"/>
        <v>18922.23</v>
      </c>
      <c r="J691" s="11">
        <f t="shared" si="243"/>
        <v>17623.73</v>
      </c>
      <c r="K691" s="12">
        <f>(B691-MAX($B$2:B691))/MAX($B$2:B691)</f>
        <v>-9.4471544715447234E-2</v>
      </c>
      <c r="L691" s="12">
        <f t="shared" si="244"/>
        <v>9.4237782959183392E-4</v>
      </c>
      <c r="M691" s="15">
        <f t="shared" si="238"/>
        <v>46.164981433721103</v>
      </c>
      <c r="N691" s="11">
        <f t="shared" si="231"/>
        <v>18401.27330100556</v>
      </c>
      <c r="O691" s="11">
        <f t="shared" si="232"/>
        <v>18452.081482695943</v>
      </c>
      <c r="P691" s="11">
        <f t="shared" si="228"/>
        <v>-50.808181690383208</v>
      </c>
      <c r="Q691" s="11">
        <f t="shared" si="233"/>
        <v>-43.883383339068786</v>
      </c>
      <c r="R691" s="11">
        <f t="shared" si="229"/>
        <v>-6.924798351314422</v>
      </c>
      <c r="S691" s="9">
        <f t="shared" si="230"/>
        <v>20</v>
      </c>
      <c r="T691" s="14">
        <f t="shared" si="237"/>
        <v>0</v>
      </c>
      <c r="U691" s="14">
        <f t="shared" si="234"/>
        <v>3.7577918038705915E-3</v>
      </c>
      <c r="V691" s="14">
        <f t="shared" si="248"/>
        <v>5.2022342373141085E-3</v>
      </c>
      <c r="W691" s="14">
        <f t="shared" si="248"/>
        <v>6.0665545193388914E-3</v>
      </c>
      <c r="X691" s="16">
        <f t="shared" si="240"/>
        <v>0.85752699011118871</v>
      </c>
    </row>
    <row r="692" spans="1:24" x14ac:dyDescent="0.25">
      <c r="A692" s="10">
        <v>46197</v>
      </c>
      <c r="B692" s="11">
        <v>18101.05</v>
      </c>
      <c r="C692" s="12">
        <f t="shared" si="235"/>
        <v>-1.2059812214926136E-2</v>
      </c>
      <c r="D692" s="11">
        <f t="shared" si="245"/>
        <v>18459.111499999999</v>
      </c>
      <c r="E692" s="11">
        <f t="shared" ref="E692:E737" si="249">AVERAGE(B643:B692)</f>
        <v>18612.0458</v>
      </c>
      <c r="F692" s="11">
        <f t="shared" si="247"/>
        <v>18463.647000000004</v>
      </c>
      <c r="G692" s="12">
        <f t="shared" si="236"/>
        <v>-1.2133121745884065E-2</v>
      </c>
      <c r="H692" s="19">
        <f t="shared" si="241"/>
        <v>0.26579179402192588</v>
      </c>
      <c r="I692" s="11">
        <f t="shared" si="242"/>
        <v>18922.23</v>
      </c>
      <c r="J692" s="11">
        <f t="shared" si="243"/>
        <v>17623.73</v>
      </c>
      <c r="K692" s="12">
        <f>(B692-MAX($B$2:B692))/MAX($B$2:B692)</f>
        <v>-0.10539204784145109</v>
      </c>
      <c r="L692" s="12">
        <f t="shared" si="244"/>
        <v>-1.4624090009140001E-2</v>
      </c>
      <c r="M692" s="15">
        <f t="shared" si="238"/>
        <v>43.160002229702549</v>
      </c>
      <c r="N692" s="11">
        <f t="shared" si="231"/>
        <v>18355.085100850858</v>
      </c>
      <c r="O692" s="11">
        <f t="shared" si="232"/>
        <v>18426.079150644389</v>
      </c>
      <c r="P692" s="11">
        <f t="shared" si="228"/>
        <v>-70.994049793531303</v>
      </c>
      <c r="Q692" s="11">
        <f t="shared" si="233"/>
        <v>-49.305516629961296</v>
      </c>
      <c r="R692" s="11">
        <f t="shared" si="229"/>
        <v>-21.688533163570007</v>
      </c>
      <c r="S692" s="9">
        <f t="shared" si="230"/>
        <v>20</v>
      </c>
      <c r="T692" s="14">
        <f t="shared" si="237"/>
        <v>0</v>
      </c>
      <c r="U692" s="14">
        <f t="shared" si="234"/>
        <v>1.2059812214926136E-2</v>
      </c>
      <c r="V692" s="14">
        <f t="shared" si="248"/>
        <v>5.2022342373141085E-3</v>
      </c>
      <c r="W692" s="14">
        <f t="shared" si="248"/>
        <v>6.8511345498958954E-3</v>
      </c>
      <c r="X692" s="16">
        <f t="shared" si="240"/>
        <v>0.75932448843719724</v>
      </c>
    </row>
    <row r="693" spans="1:24" x14ac:dyDescent="0.25">
      <c r="A693" s="10">
        <v>46198</v>
      </c>
      <c r="B693" s="11">
        <v>18049.47</v>
      </c>
      <c r="C693" s="12">
        <f t="shared" si="235"/>
        <v>-2.8495584510289662E-3</v>
      </c>
      <c r="D693" s="11">
        <f t="shared" si="245"/>
        <v>18443.1005</v>
      </c>
      <c r="E693" s="11">
        <f t="shared" si="249"/>
        <v>18611.774800000003</v>
      </c>
      <c r="F693" s="11">
        <f t="shared" si="247"/>
        <v>18454.570562500001</v>
      </c>
      <c r="G693" s="12">
        <f t="shared" si="236"/>
        <v>-2.8536261720221541E-3</v>
      </c>
      <c r="H693" s="19">
        <f t="shared" si="241"/>
        <v>0.26545236777637149</v>
      </c>
      <c r="I693" s="11">
        <f t="shared" si="242"/>
        <v>18922.23</v>
      </c>
      <c r="J693" s="11">
        <f t="shared" si="243"/>
        <v>17623.73</v>
      </c>
      <c r="K693" s="12">
        <f>(B693-MAX($B$2:B693))/MAX($B$2:B693)</f>
        <v>-0.10794128549188221</v>
      </c>
      <c r="L693" s="12">
        <f t="shared" si="244"/>
        <v>-4.3560855956035205E-2</v>
      </c>
      <c r="M693" s="15">
        <f t="shared" si="238"/>
        <v>42.449544690597769</v>
      </c>
      <c r="N693" s="11">
        <f t="shared" si="231"/>
        <v>18308.06739302765</v>
      </c>
      <c r="O693" s="11">
        <f t="shared" si="232"/>
        <v>18398.182176522583</v>
      </c>
      <c r="P693" s="11">
        <f t="shared" si="228"/>
        <v>-90.114783494933363</v>
      </c>
      <c r="Q693" s="11">
        <f t="shared" si="233"/>
        <v>-57.467370002955718</v>
      </c>
      <c r="R693" s="11">
        <f t="shared" si="229"/>
        <v>-32.647413491977645</v>
      </c>
      <c r="S693" s="9">
        <f t="shared" si="230"/>
        <v>20</v>
      </c>
      <c r="T693" s="14">
        <f t="shared" si="237"/>
        <v>0</v>
      </c>
      <c r="U693" s="14">
        <f t="shared" si="234"/>
        <v>2.8495584510289662E-3</v>
      </c>
      <c r="V693" s="14">
        <f t="shared" si="248"/>
        <v>5.2022342373141085E-3</v>
      </c>
      <c r="W693" s="14">
        <f t="shared" si="248"/>
        <v>7.0528659651301383E-3</v>
      </c>
      <c r="X693" s="16">
        <f t="shared" si="240"/>
        <v>0.73760571419254495</v>
      </c>
    </row>
    <row r="694" spans="1:24" x14ac:dyDescent="0.25">
      <c r="A694" s="10">
        <v>46199</v>
      </c>
      <c r="B694" s="11">
        <v>18022.080000000002</v>
      </c>
      <c r="C694" s="12">
        <f t="shared" si="235"/>
        <v>-1.5174960816023431E-3</v>
      </c>
      <c r="D694" s="11">
        <f t="shared" si="245"/>
        <v>18400.628000000001</v>
      </c>
      <c r="E694" s="11">
        <f t="shared" si="249"/>
        <v>18603.269400000001</v>
      </c>
      <c r="F694" s="11">
        <f t="shared" si="247"/>
        <v>18445.040562500002</v>
      </c>
      <c r="G694" s="12">
        <f t="shared" si="236"/>
        <v>-1.5186486449356475E-3</v>
      </c>
      <c r="H694" s="19">
        <f t="shared" si="241"/>
        <v>0.24425219930296199</v>
      </c>
      <c r="I694" s="11">
        <f t="shared" si="242"/>
        <v>18922.23</v>
      </c>
      <c r="J694" s="11">
        <f t="shared" si="243"/>
        <v>17623.73</v>
      </c>
      <c r="K694" s="12">
        <f>(B694-MAX($B$2:B694))/MAX($B$2:B694)</f>
        <v>-0.10929498109570752</v>
      </c>
      <c r="L694" s="12">
        <f t="shared" si="244"/>
        <v>-4.5186296984842889E-2</v>
      </c>
      <c r="M694" s="15">
        <f t="shared" si="238"/>
        <v>42.660253914219645</v>
      </c>
      <c r="N694" s="11">
        <f t="shared" si="231"/>
        <v>18264.069332561856</v>
      </c>
      <c r="O694" s="11">
        <f t="shared" si="232"/>
        <v>18370.32275603943</v>
      </c>
      <c r="P694" s="11">
        <f t="shared" si="228"/>
        <v>-106.25342347757396</v>
      </c>
      <c r="Q694" s="11">
        <f t="shared" si="233"/>
        <v>-67.224580697879361</v>
      </c>
      <c r="R694" s="11">
        <f t="shared" si="229"/>
        <v>-39.0288427796946</v>
      </c>
      <c r="S694" s="9">
        <f t="shared" si="230"/>
        <v>20</v>
      </c>
      <c r="T694" s="14">
        <f t="shared" si="237"/>
        <v>0</v>
      </c>
      <c r="U694" s="14">
        <f t="shared" si="234"/>
        <v>1.5174960816023431E-3</v>
      </c>
      <c r="V694" s="14">
        <f t="shared" si="248"/>
        <v>5.2022342373141085E-3</v>
      </c>
      <c r="W694" s="14">
        <f t="shared" si="248"/>
        <v>6.9923350865690858E-3</v>
      </c>
      <c r="X694" s="16">
        <f t="shared" si="240"/>
        <v>0.74399098053904589</v>
      </c>
    </row>
    <row r="695" spans="1:24" x14ac:dyDescent="0.25">
      <c r="A695" s="10">
        <v>46202</v>
      </c>
      <c r="B695" s="11">
        <v>18052.57</v>
      </c>
      <c r="C695" s="12">
        <f t="shared" si="235"/>
        <v>1.6918135975425574E-3</v>
      </c>
      <c r="D695" s="11">
        <f t="shared" si="245"/>
        <v>18359.508000000002</v>
      </c>
      <c r="E695" s="11">
        <f t="shared" si="249"/>
        <v>18597.377</v>
      </c>
      <c r="F695" s="11">
        <f t="shared" si="247"/>
        <v>18435.140875000001</v>
      </c>
      <c r="G695" s="12">
        <f t="shared" si="236"/>
        <v>1.6903840929945258E-3</v>
      </c>
      <c r="H695" s="19">
        <f t="shared" si="241"/>
        <v>0.24451423380698009</v>
      </c>
      <c r="I695" s="11">
        <f t="shared" si="242"/>
        <v>18922.23</v>
      </c>
      <c r="J695" s="11">
        <f t="shared" si="243"/>
        <v>17623.73</v>
      </c>
      <c r="K695" s="12">
        <f>(B695-MAX($B$2:B695))/MAX($B$2:B695)</f>
        <v>-0.10778807423332594</v>
      </c>
      <c r="L695" s="12">
        <f t="shared" si="244"/>
        <v>-4.5959699253206421E-2</v>
      </c>
      <c r="M695" s="15">
        <f t="shared" si="238"/>
        <v>41.194998318460001</v>
      </c>
      <c r="N695" s="11">
        <f t="shared" si="231"/>
        <v>18231.530973706183</v>
      </c>
      <c r="O695" s="11">
        <f t="shared" si="232"/>
        <v>18346.785514851326</v>
      </c>
      <c r="P695" s="11">
        <f t="shared" si="228"/>
        <v>-115.25454114514287</v>
      </c>
      <c r="Q695" s="11">
        <f t="shared" si="233"/>
        <v>-76.830572787332073</v>
      </c>
      <c r="R695" s="11">
        <f t="shared" si="229"/>
        <v>-38.423968357810793</v>
      </c>
      <c r="S695" s="9">
        <f t="shared" si="230"/>
        <v>20</v>
      </c>
      <c r="T695" s="14">
        <f t="shared" si="237"/>
        <v>1.6918135975425574E-3</v>
      </c>
      <c r="U695" s="14">
        <f t="shared" si="234"/>
        <v>0</v>
      </c>
      <c r="V695" s="14">
        <f t="shared" si="248"/>
        <v>4.8983797958762143E-3</v>
      </c>
      <c r="W695" s="14">
        <f t="shared" si="248"/>
        <v>6.9923350865690858E-3</v>
      </c>
      <c r="X695" s="16">
        <f t="shared" si="240"/>
        <v>0.70053562010851689</v>
      </c>
    </row>
    <row r="696" spans="1:24" x14ac:dyDescent="0.25">
      <c r="A696" s="10">
        <v>46203</v>
      </c>
      <c r="B696" s="11">
        <v>18217.27</v>
      </c>
      <c r="C696" s="12">
        <f t="shared" si="235"/>
        <v>9.1233547356415201E-3</v>
      </c>
      <c r="D696" s="11">
        <f t="shared" si="245"/>
        <v>18324.260000000002</v>
      </c>
      <c r="E696" s="11">
        <f t="shared" si="249"/>
        <v>18586.6384</v>
      </c>
      <c r="F696" s="11">
        <f t="shared" si="247"/>
        <v>18425.811250000002</v>
      </c>
      <c r="G696" s="12">
        <f t="shared" si="236"/>
        <v>9.0819883446370299E-3</v>
      </c>
      <c r="H696" s="19">
        <f t="shared" si="241"/>
        <v>0.24730220732793567</v>
      </c>
      <c r="I696" s="11">
        <f t="shared" si="242"/>
        <v>18782.580000000002</v>
      </c>
      <c r="J696" s="11">
        <f t="shared" si="243"/>
        <v>17623.73</v>
      </c>
      <c r="K696" s="12">
        <f>(B696-MAX($B$2:B696))/MAX($B$2:B696)</f>
        <v>-9.9648108335186669E-2</v>
      </c>
      <c r="L696" s="12">
        <f t="shared" si="244"/>
        <v>-1.9701464587462136E-2</v>
      </c>
      <c r="M696" s="15">
        <f t="shared" si="238"/>
        <v>45.986680709352036</v>
      </c>
      <c r="N696" s="11">
        <f t="shared" si="231"/>
        <v>18229.336977751387</v>
      </c>
      <c r="O696" s="11">
        <f t="shared" si="232"/>
        <v>18337.191773010491</v>
      </c>
      <c r="P696" s="11">
        <f t="shared" si="228"/>
        <v>-107.85479525910341</v>
      </c>
      <c r="Q696" s="11">
        <f t="shared" si="233"/>
        <v>-83.03541728168635</v>
      </c>
      <c r="R696" s="11">
        <f t="shared" si="229"/>
        <v>-24.819377977417062</v>
      </c>
      <c r="S696" s="9">
        <f t="shared" si="230"/>
        <v>20</v>
      </c>
      <c r="T696" s="14">
        <f t="shared" si="237"/>
        <v>9.1233547356415201E-3</v>
      </c>
      <c r="U696" s="14">
        <f t="shared" si="234"/>
        <v>0</v>
      </c>
      <c r="V696" s="14">
        <f t="shared" si="248"/>
        <v>5.5500479912791801E-3</v>
      </c>
      <c r="W696" s="14">
        <f t="shared" si="248"/>
        <v>6.5187682521825928E-3</v>
      </c>
      <c r="X696" s="16">
        <f t="shared" si="240"/>
        <v>0.85139519868971125</v>
      </c>
    </row>
    <row r="697" spans="1:24" x14ac:dyDescent="0.25">
      <c r="A697" s="10">
        <v>46204</v>
      </c>
      <c r="B697" s="11">
        <v>18121.27</v>
      </c>
      <c r="C697" s="12">
        <f t="shared" si="235"/>
        <v>-5.2697248270460184E-3</v>
      </c>
      <c r="D697" s="11">
        <f t="shared" si="245"/>
        <v>18301.154000000002</v>
      </c>
      <c r="E697" s="11">
        <f t="shared" si="249"/>
        <v>18574.185600000001</v>
      </c>
      <c r="F697" s="11">
        <f t="shared" si="247"/>
        <v>18416.807687499997</v>
      </c>
      <c r="G697" s="12">
        <f t="shared" si="236"/>
        <v>-5.2836588006177068E-3</v>
      </c>
      <c r="H697" s="19">
        <f t="shared" si="241"/>
        <v>0.24027836205297123</v>
      </c>
      <c r="I697" s="11">
        <f t="shared" si="242"/>
        <v>18782.580000000002</v>
      </c>
      <c r="J697" s="11">
        <f t="shared" si="243"/>
        <v>17623.73</v>
      </c>
      <c r="K697" s="12">
        <f>(B697-MAX($B$2:B697))/MAX($B$2:B697)</f>
        <v>-0.10439271505177056</v>
      </c>
      <c r="L697" s="12">
        <f t="shared" si="244"/>
        <v>-2.3817296400443944E-2</v>
      </c>
      <c r="M697" s="15">
        <f t="shared" si="238"/>
        <v>50.254883395205432</v>
      </c>
      <c r="N697" s="11">
        <f t="shared" si="231"/>
        <v>18212.711288866558</v>
      </c>
      <c r="O697" s="11">
        <f t="shared" si="232"/>
        <v>18321.197567602307</v>
      </c>
      <c r="P697" s="11">
        <f t="shared" si="228"/>
        <v>-108.48627873574878</v>
      </c>
      <c r="Q697" s="11">
        <f t="shared" si="233"/>
        <v>-88.125589572498839</v>
      </c>
      <c r="R697" s="11">
        <f t="shared" si="229"/>
        <v>-20.360689163249944</v>
      </c>
      <c r="S697" s="9">
        <f t="shared" si="230"/>
        <v>20</v>
      </c>
      <c r="T697" s="14">
        <f t="shared" si="237"/>
        <v>0</v>
      </c>
      <c r="U697" s="14">
        <f t="shared" si="234"/>
        <v>5.2697248270460184E-3</v>
      </c>
      <c r="V697" s="14">
        <f t="shared" si="248"/>
        <v>5.5500479912791801E-3</v>
      </c>
      <c r="W697" s="14">
        <f t="shared" si="248"/>
        <v>5.4937503748089256E-3</v>
      </c>
      <c r="X697" s="16">
        <f t="shared" si="240"/>
        <v>1.010247574540045</v>
      </c>
    </row>
    <row r="698" spans="1:24" x14ac:dyDescent="0.25">
      <c r="A698" s="10">
        <v>46205</v>
      </c>
      <c r="B698" s="11">
        <v>18298.7</v>
      </c>
      <c r="C698" s="12">
        <f t="shared" si="235"/>
        <v>9.7912563523416818E-3</v>
      </c>
      <c r="D698" s="11">
        <f t="shared" si="245"/>
        <v>18287.919000000002</v>
      </c>
      <c r="E698" s="11">
        <f t="shared" si="249"/>
        <v>18565.3688</v>
      </c>
      <c r="F698" s="11">
        <f t="shared" si="247"/>
        <v>18409.885750000001</v>
      </c>
      <c r="G698" s="12">
        <f t="shared" si="236"/>
        <v>9.7436326136891172E-3</v>
      </c>
      <c r="H698" s="19">
        <f t="shared" si="241"/>
        <v>0.24343633313459689</v>
      </c>
      <c r="I698" s="11">
        <f t="shared" si="242"/>
        <v>18782.580000000002</v>
      </c>
      <c r="J698" s="11">
        <f t="shared" si="243"/>
        <v>17623.73</v>
      </c>
      <c r="K698" s="12">
        <f>(B698-MAX($B$2:B698))/MAX($B$2:B698)</f>
        <v>-9.5623594533817649E-2</v>
      </c>
      <c r="L698" s="12">
        <f t="shared" si="244"/>
        <v>-1.4234283057685371E-2</v>
      </c>
      <c r="M698" s="15">
        <f t="shared" si="238"/>
        <v>64.423453954212832</v>
      </c>
      <c r="N698" s="11">
        <f t="shared" si="231"/>
        <v>18225.940321348626</v>
      </c>
      <c r="O698" s="11">
        <f t="shared" si="232"/>
        <v>18319.531081113248</v>
      </c>
      <c r="P698" s="11">
        <f t="shared" si="228"/>
        <v>-93.590759764621907</v>
      </c>
      <c r="Q698" s="11">
        <f t="shared" si="233"/>
        <v>-89.218623610923459</v>
      </c>
      <c r="R698" s="11">
        <f t="shared" si="229"/>
        <v>-4.3721361536984489</v>
      </c>
      <c r="S698" s="9">
        <f t="shared" si="230"/>
        <v>20</v>
      </c>
      <c r="T698" s="14">
        <f t="shared" si="237"/>
        <v>9.7912563523416818E-3</v>
      </c>
      <c r="U698" s="14">
        <f t="shared" si="234"/>
        <v>0</v>
      </c>
      <c r="V698" s="14">
        <f t="shared" si="248"/>
        <v>6.249423445017872E-3</v>
      </c>
      <c r="W698" s="14">
        <f t="shared" si="248"/>
        <v>3.4511173696045094E-3</v>
      </c>
      <c r="X698" s="16">
        <f t="shared" si="240"/>
        <v>1.8108405990648886</v>
      </c>
    </row>
    <row r="699" spans="1:24" x14ac:dyDescent="0.25">
      <c r="A699" s="10">
        <v>46206</v>
      </c>
      <c r="B699" s="11">
        <v>18474.84</v>
      </c>
      <c r="C699" s="12">
        <f t="shared" si="235"/>
        <v>9.6258204134720415E-3</v>
      </c>
      <c r="D699" s="11">
        <f t="shared" si="245"/>
        <v>18283.514500000005</v>
      </c>
      <c r="E699" s="11">
        <f t="shared" si="249"/>
        <v>18550.097399999999</v>
      </c>
      <c r="F699" s="11">
        <f t="shared" si="247"/>
        <v>18404.925999999999</v>
      </c>
      <c r="G699" s="12">
        <f t="shared" si="236"/>
        <v>9.5797873722646056E-3</v>
      </c>
      <c r="H699" s="19">
        <f t="shared" si="241"/>
        <v>0.24617110062351008</v>
      </c>
      <c r="I699" s="11">
        <f t="shared" si="242"/>
        <v>18782.580000000002</v>
      </c>
      <c r="J699" s="11">
        <f t="shared" si="243"/>
        <v>17623.73</v>
      </c>
      <c r="K699" s="12">
        <f>(B699-MAX($B$2:B699))/MAX($B$2:B699)</f>
        <v>-8.6918229668618868E-2</v>
      </c>
      <c r="L699" s="12">
        <f t="shared" si="244"/>
        <v>-2.3861940933190828E-3</v>
      </c>
      <c r="M699" s="15">
        <f t="shared" si="238"/>
        <v>61.891914940662929</v>
      </c>
      <c r="N699" s="11">
        <f t="shared" si="231"/>
        <v>18264.232579602685</v>
      </c>
      <c r="O699" s="11">
        <f t="shared" si="232"/>
        <v>18331.035445475231</v>
      </c>
      <c r="P699" s="11">
        <f t="shared" si="228"/>
        <v>-66.802865872545226</v>
      </c>
      <c r="Q699" s="11">
        <f t="shared" si="233"/>
        <v>-84.735472063247812</v>
      </c>
      <c r="R699" s="11">
        <f t="shared" si="229"/>
        <v>17.932606190702586</v>
      </c>
      <c r="S699" s="9">
        <f t="shared" si="230"/>
        <v>60</v>
      </c>
      <c r="T699" s="14">
        <f t="shared" si="237"/>
        <v>9.6258204134720415E-3</v>
      </c>
      <c r="U699" s="14">
        <f t="shared" si="234"/>
        <v>0</v>
      </c>
      <c r="V699" s="14">
        <f t="shared" si="248"/>
        <v>5.6050117017746159E-3</v>
      </c>
      <c r="W699" s="14">
        <f t="shared" si="248"/>
        <v>3.4511173696045094E-3</v>
      </c>
      <c r="X699" s="16">
        <f t="shared" si="240"/>
        <v>1.6241150623100766</v>
      </c>
    </row>
    <row r="700" spans="1:24" x14ac:dyDescent="0.25">
      <c r="A700" s="10">
        <v>46209</v>
      </c>
      <c r="B700" s="11">
        <v>18400.27</v>
      </c>
      <c r="C700" s="12">
        <f t="shared" si="235"/>
        <v>-4.0363001790543196E-3</v>
      </c>
      <c r="D700" s="11">
        <f t="shared" si="245"/>
        <v>18277.576500000003</v>
      </c>
      <c r="E700" s="11">
        <f t="shared" si="249"/>
        <v>18537.281800000001</v>
      </c>
      <c r="F700" s="11">
        <f t="shared" si="247"/>
        <v>18400.777374999998</v>
      </c>
      <c r="G700" s="12">
        <f t="shared" si="236"/>
        <v>-4.0444680246150052E-3</v>
      </c>
      <c r="H700" s="19">
        <f t="shared" si="241"/>
        <v>0.2464353215861072</v>
      </c>
      <c r="I700" s="11">
        <f t="shared" si="242"/>
        <v>18782.580000000002</v>
      </c>
      <c r="J700" s="11">
        <f t="shared" si="243"/>
        <v>17623.73</v>
      </c>
      <c r="K700" s="12">
        <f>(B700-MAX($B$2:B700))/MAX($B$2:B700)</f>
        <v>-9.0603701781698645E-2</v>
      </c>
      <c r="L700" s="12">
        <f t="shared" si="244"/>
        <v>-1.2285591283333508E-2</v>
      </c>
      <c r="M700" s="15">
        <f t="shared" si="238"/>
        <v>39.251678461151414</v>
      </c>
      <c r="N700" s="11">
        <f t="shared" si="231"/>
        <v>18285.161413509966</v>
      </c>
      <c r="O700" s="11">
        <f t="shared" si="232"/>
        <v>18336.163930995586</v>
      </c>
      <c r="P700" s="11">
        <f t="shared" si="228"/>
        <v>-51.002517485620047</v>
      </c>
      <c r="Q700" s="11">
        <f t="shared" si="233"/>
        <v>-77.988881147722253</v>
      </c>
      <c r="R700" s="11">
        <f t="shared" si="229"/>
        <v>26.986363662102207</v>
      </c>
      <c r="S700" s="9">
        <f t="shared" si="230"/>
        <v>60</v>
      </c>
      <c r="T700" s="14">
        <f t="shared" si="237"/>
        <v>0</v>
      </c>
      <c r="U700" s="14">
        <f t="shared" si="234"/>
        <v>4.0363001790543196E-3</v>
      </c>
      <c r="V700" s="14">
        <f t="shared" si="248"/>
        <v>2.4161768650849164E-3</v>
      </c>
      <c r="W700" s="14">
        <f t="shared" si="248"/>
        <v>3.7394245252512464E-3</v>
      </c>
      <c r="X700" s="16">
        <f t="shared" si="240"/>
        <v>0.64613601605519155</v>
      </c>
    </row>
    <row r="701" spans="1:24" x14ac:dyDescent="0.25">
      <c r="A701" s="10">
        <v>46210</v>
      </c>
      <c r="B701" s="11">
        <v>18224.41</v>
      </c>
      <c r="C701" s="12">
        <f t="shared" si="235"/>
        <v>-9.557468450191231E-3</v>
      </c>
      <c r="D701" s="11">
        <f t="shared" si="245"/>
        <v>18257.340000000004</v>
      </c>
      <c r="E701" s="11">
        <f t="shared" si="249"/>
        <v>18518.567399999996</v>
      </c>
      <c r="F701" s="11">
        <f t="shared" si="247"/>
        <v>18398.274687499998</v>
      </c>
      <c r="G701" s="12">
        <f t="shared" si="236"/>
        <v>-9.6034341634759247E-3</v>
      </c>
      <c r="H701" s="19">
        <f t="shared" si="241"/>
        <v>0.24737615508838767</v>
      </c>
      <c r="I701" s="11">
        <f t="shared" si="242"/>
        <v>18782.580000000002</v>
      </c>
      <c r="J701" s="11">
        <f t="shared" si="243"/>
        <v>17623.73</v>
      </c>
      <c r="K701" s="12">
        <f>(B701-MAX($B$2:B701))/MAX($B$2:B701)</f>
        <v>-9.9295228210640782E-2</v>
      </c>
      <c r="L701" s="12">
        <f t="shared" si="244"/>
        <v>-1.5196456429745986E-2</v>
      </c>
      <c r="M701" s="15">
        <f t="shared" si="238"/>
        <v>34.280756735072259</v>
      </c>
      <c r="N701" s="11">
        <f t="shared" si="231"/>
        <v>18275.815042200742</v>
      </c>
      <c r="O701" s="11">
        <f t="shared" si="232"/>
        <v>18327.885862032948</v>
      </c>
      <c r="P701" s="11">
        <f t="shared" si="228"/>
        <v>-52.070819832206325</v>
      </c>
      <c r="Q701" s="11">
        <f t="shared" si="233"/>
        <v>-72.805268884619068</v>
      </c>
      <c r="R701" s="11">
        <f t="shared" si="229"/>
        <v>20.734449052412742</v>
      </c>
      <c r="S701" s="9">
        <f t="shared" si="230"/>
        <v>60</v>
      </c>
      <c r="T701" s="14">
        <f t="shared" si="237"/>
        <v>0</v>
      </c>
      <c r="U701" s="14">
        <f t="shared" si="234"/>
        <v>9.557468450191231E-3</v>
      </c>
      <c r="V701" s="14">
        <f t="shared" si="248"/>
        <v>2.306675423055658E-3</v>
      </c>
      <c r="W701" s="14">
        <f t="shared" si="248"/>
        <v>4.4221008431220487E-3</v>
      </c>
      <c r="X701" s="16">
        <f t="shared" si="240"/>
        <v>0.52162433759134297</v>
      </c>
    </row>
    <row r="702" spans="1:24" x14ac:dyDescent="0.25">
      <c r="A702" s="10">
        <v>46211</v>
      </c>
      <c r="B702" s="11">
        <v>18055.63</v>
      </c>
      <c r="C702" s="12">
        <f t="shared" si="235"/>
        <v>-9.2612051638433224E-3</v>
      </c>
      <c r="D702" s="11">
        <f t="shared" si="245"/>
        <v>18234.84</v>
      </c>
      <c r="E702" s="11">
        <f t="shared" si="249"/>
        <v>18496.507999999998</v>
      </c>
      <c r="F702" s="11">
        <f t="shared" si="247"/>
        <v>18394.441375000002</v>
      </c>
      <c r="G702" s="12">
        <f t="shared" si="236"/>
        <v>-9.304356754850562E-3</v>
      </c>
      <c r="H702" s="19">
        <f t="shared" si="241"/>
        <v>0.24834320528574078</v>
      </c>
      <c r="I702" s="11">
        <f t="shared" si="242"/>
        <v>18782.580000000002</v>
      </c>
      <c r="J702" s="11">
        <f t="shared" si="243"/>
        <v>17623.73</v>
      </c>
      <c r="K702" s="12">
        <f>(B702-MAX($B$2:B702))/MAX($B$2:B702)</f>
        <v>-0.10763683989423475</v>
      </c>
      <c r="L702" s="12">
        <f t="shared" si="244"/>
        <v>-4.7909472483194104E-3</v>
      </c>
      <c r="M702" s="15">
        <f t="shared" si="238"/>
        <v>39.944256181208239</v>
      </c>
      <c r="N702" s="11">
        <f t="shared" si="231"/>
        <v>18241.940420323706</v>
      </c>
      <c r="O702" s="11">
        <f t="shared" si="232"/>
        <v>18307.718761141619</v>
      </c>
      <c r="P702" s="11">
        <f t="shared" si="228"/>
        <v>-65.778340817912976</v>
      </c>
      <c r="Q702" s="11">
        <f t="shared" si="233"/>
        <v>-71.399883271277844</v>
      </c>
      <c r="R702" s="11">
        <f t="shared" si="229"/>
        <v>5.6215424533648672</v>
      </c>
      <c r="S702" s="9">
        <f t="shared" si="230"/>
        <v>60</v>
      </c>
      <c r="T702" s="14">
        <f t="shared" si="237"/>
        <v>0</v>
      </c>
      <c r="U702" s="14">
        <f t="shared" si="234"/>
        <v>9.2612051638433224E-3</v>
      </c>
      <c r="V702" s="14">
        <f t="shared" si="248"/>
        <v>2.306675423055658E-3</v>
      </c>
      <c r="W702" s="14">
        <f t="shared" si="248"/>
        <v>3.4680607807964304E-3</v>
      </c>
      <c r="X702" s="16">
        <f t="shared" si="240"/>
        <v>0.66511966451924076</v>
      </c>
    </row>
    <row r="703" spans="1:24" x14ac:dyDescent="0.25">
      <c r="A703" s="10">
        <v>46212</v>
      </c>
      <c r="B703" s="11">
        <v>17920.740000000002</v>
      </c>
      <c r="C703" s="12">
        <f t="shared" si="235"/>
        <v>-7.4707999665477587E-3</v>
      </c>
      <c r="D703" s="11">
        <f t="shared" si="245"/>
        <v>18223.749499999998</v>
      </c>
      <c r="E703" s="11">
        <f t="shared" si="249"/>
        <v>18472.145799999998</v>
      </c>
      <c r="F703" s="11">
        <f t="shared" si="247"/>
        <v>18389.230812500002</v>
      </c>
      <c r="G703" s="12">
        <f t="shared" si="236"/>
        <v>-7.4988461649546766E-3</v>
      </c>
      <c r="H703" s="19">
        <f t="shared" si="241"/>
        <v>0.23982105007501178</v>
      </c>
      <c r="I703" s="11">
        <f t="shared" si="242"/>
        <v>18782.580000000002</v>
      </c>
      <c r="J703" s="11">
        <f t="shared" si="243"/>
        <v>17623.73</v>
      </c>
      <c r="K703" s="12">
        <f>(B703-MAX($B$2:B703))/MAX($B$2:B703)</f>
        <v>-0.11430350656090139</v>
      </c>
      <c r="L703" s="12">
        <f t="shared" si="244"/>
        <v>1.685284556674449E-2</v>
      </c>
      <c r="M703" s="15">
        <f t="shared" si="238"/>
        <v>36.66643708650065</v>
      </c>
      <c r="N703" s="11">
        <f t="shared" si="231"/>
        <v>18192.524971043138</v>
      </c>
      <c r="O703" s="11">
        <f t="shared" si="232"/>
        <v>18279.053667723721</v>
      </c>
      <c r="P703" s="11">
        <f t="shared" si="228"/>
        <v>-86.52869668058338</v>
      </c>
      <c r="Q703" s="11">
        <f t="shared" si="233"/>
        <v>-74.425645953138954</v>
      </c>
      <c r="R703" s="11">
        <f t="shared" si="229"/>
        <v>-12.103050727444426</v>
      </c>
      <c r="S703" s="9">
        <f t="shared" si="230"/>
        <v>20</v>
      </c>
      <c r="T703" s="14">
        <f t="shared" si="237"/>
        <v>0</v>
      </c>
      <c r="U703" s="14">
        <f t="shared" si="234"/>
        <v>7.4707999665477587E-3</v>
      </c>
      <c r="V703" s="14">
        <f t="shared" si="248"/>
        <v>2.306675423055658E-3</v>
      </c>
      <c r="W703" s="14">
        <f t="shared" si="248"/>
        <v>3.9842969384364779E-3</v>
      </c>
      <c r="X703" s="16">
        <f t="shared" si="240"/>
        <v>0.5789416448365533</v>
      </c>
    </row>
    <row r="704" spans="1:24" x14ac:dyDescent="0.25">
      <c r="A704" s="10">
        <v>46213</v>
      </c>
      <c r="B704" s="11">
        <v>17987.82</v>
      </c>
      <c r="C704" s="12">
        <f t="shared" si="235"/>
        <v>3.7431489994272926E-3</v>
      </c>
      <c r="D704" s="11">
        <f t="shared" si="245"/>
        <v>18241.954000000002</v>
      </c>
      <c r="E704" s="11">
        <f t="shared" si="249"/>
        <v>18455.598599999998</v>
      </c>
      <c r="F704" s="11">
        <f t="shared" si="247"/>
        <v>18385.120125000005</v>
      </c>
      <c r="G704" s="12">
        <f t="shared" si="236"/>
        <v>3.7361608502383702E-3</v>
      </c>
      <c r="H704" s="19">
        <f t="shared" si="241"/>
        <v>0.21530782242810229</v>
      </c>
      <c r="I704" s="11">
        <f t="shared" si="242"/>
        <v>18782.580000000002</v>
      </c>
      <c r="J704" s="11">
        <f t="shared" si="243"/>
        <v>17920.740000000002</v>
      </c>
      <c r="K704" s="12">
        <f>(B704-MAX($B$2:B704))/MAX($B$2:B704)</f>
        <v>-0.1109882126176885</v>
      </c>
      <c r="L704" s="12">
        <f t="shared" si="244"/>
        <v>1.9746696397189289E-3</v>
      </c>
      <c r="M704" s="15">
        <f t="shared" si="238"/>
        <v>37.853251002702457</v>
      </c>
      <c r="N704" s="11">
        <f t="shared" si="231"/>
        <v>18161.031898574962</v>
      </c>
      <c r="O704" s="11">
        <f t="shared" si="232"/>
        <v>18257.480803447892</v>
      </c>
      <c r="P704" s="11">
        <f t="shared" si="228"/>
        <v>-96.448904872930143</v>
      </c>
      <c r="Q704" s="11">
        <f t="shared" si="233"/>
        <v>-78.830297737097197</v>
      </c>
      <c r="R704" s="11">
        <f t="shared" si="229"/>
        <v>-17.618607135832946</v>
      </c>
      <c r="S704" s="9">
        <f t="shared" si="230"/>
        <v>20</v>
      </c>
      <c r="T704" s="14">
        <f t="shared" si="237"/>
        <v>3.7431489994272926E-3</v>
      </c>
      <c r="U704" s="14">
        <f t="shared" si="234"/>
        <v>0</v>
      </c>
      <c r="V704" s="14">
        <f t="shared" ref="V704:W719" si="250">AVERAGE(T691:T704)</f>
        <v>2.4268138641732212E-3</v>
      </c>
      <c r="W704" s="14">
        <f t="shared" si="250"/>
        <v>3.9842969384364779E-3</v>
      </c>
      <c r="X704" s="16">
        <f t="shared" si="240"/>
        <v>0.6090946286562553</v>
      </c>
    </row>
    <row r="705" spans="1:24" x14ac:dyDescent="0.25">
      <c r="A705" s="10">
        <v>46216</v>
      </c>
      <c r="B705" s="11">
        <v>17846.86</v>
      </c>
      <c r="C705" s="12">
        <f t="shared" si="235"/>
        <v>-7.8364137510826826E-3</v>
      </c>
      <c r="D705" s="11">
        <f t="shared" si="245"/>
        <v>18236.678499999998</v>
      </c>
      <c r="E705" s="11">
        <f t="shared" si="249"/>
        <v>18436.143599999996</v>
      </c>
      <c r="F705" s="11">
        <f t="shared" si="247"/>
        <v>18381.062312500006</v>
      </c>
      <c r="G705" s="12">
        <f t="shared" si="236"/>
        <v>-7.8672797998202287E-3</v>
      </c>
      <c r="H705" s="19">
        <f t="shared" si="241"/>
        <v>0.20713558546297473</v>
      </c>
      <c r="I705" s="11">
        <f t="shared" si="242"/>
        <v>18782.580000000002</v>
      </c>
      <c r="J705" s="11">
        <f t="shared" si="243"/>
        <v>17846.86</v>
      </c>
      <c r="K705" s="12">
        <f>(B705-MAX($B$2:B705))/MAX($B$2:B705)</f>
        <v>-0.11795487681320579</v>
      </c>
      <c r="L705" s="12">
        <f t="shared" si="244"/>
        <v>-4.8361854618496625E-2</v>
      </c>
      <c r="M705" s="15">
        <f t="shared" si="238"/>
        <v>36.207911196589151</v>
      </c>
      <c r="N705" s="11">
        <f t="shared" si="231"/>
        <v>18112.69776033266</v>
      </c>
      <c r="O705" s="11">
        <f t="shared" si="232"/>
        <v>18227.064447636934</v>
      </c>
      <c r="P705" s="11">
        <f t="shared" si="228"/>
        <v>-114.36668730427482</v>
      </c>
      <c r="Q705" s="11">
        <f t="shared" si="233"/>
        <v>-85.937575650532722</v>
      </c>
      <c r="R705" s="11">
        <f t="shared" si="229"/>
        <v>-28.429111653742098</v>
      </c>
      <c r="S705" s="9">
        <f t="shared" si="230"/>
        <v>20</v>
      </c>
      <c r="T705" s="14">
        <f t="shared" si="237"/>
        <v>0</v>
      </c>
      <c r="U705" s="14">
        <f t="shared" si="234"/>
        <v>7.8364137510826826E-3</v>
      </c>
      <c r="V705" s="14">
        <f t="shared" si="250"/>
        <v>2.4268138641732212E-3</v>
      </c>
      <c r="W705" s="14">
        <f t="shared" si="250"/>
        <v>4.2756270775230554E-3</v>
      </c>
      <c r="X705" s="16">
        <f t="shared" si="240"/>
        <v>0.56759250050851406</v>
      </c>
    </row>
    <row r="706" spans="1:24" x14ac:dyDescent="0.25">
      <c r="A706" s="10">
        <v>46217</v>
      </c>
      <c r="B706" s="11">
        <v>17814.150000000001</v>
      </c>
      <c r="C706" s="12">
        <f t="shared" si="235"/>
        <v>-1.8328154084247261E-3</v>
      </c>
      <c r="D706" s="11">
        <f t="shared" si="245"/>
        <v>18189.694499999998</v>
      </c>
      <c r="E706" s="11">
        <f t="shared" si="249"/>
        <v>18418.121599999999</v>
      </c>
      <c r="F706" s="11">
        <f t="shared" si="247"/>
        <v>18378.602312499999</v>
      </c>
      <c r="G706" s="12">
        <f t="shared" si="236"/>
        <v>-1.8344970696826594E-3</v>
      </c>
      <c r="H706" s="19">
        <f t="shared" si="241"/>
        <v>0.12617414042607977</v>
      </c>
      <c r="I706" s="11">
        <f t="shared" si="242"/>
        <v>18782.580000000002</v>
      </c>
      <c r="J706" s="11">
        <f t="shared" si="243"/>
        <v>17814.150000000001</v>
      </c>
      <c r="K706" s="12">
        <f>(B706-MAX($B$2:B706))/MAX($B$2:B706)</f>
        <v>-0.11957150270590845</v>
      </c>
      <c r="L706" s="12">
        <f t="shared" si="244"/>
        <v>-5.1560009327792033E-2</v>
      </c>
      <c r="M706" s="15">
        <f t="shared" si="238"/>
        <v>40.636935213699481</v>
      </c>
      <c r="N706" s="11">
        <f t="shared" si="231"/>
        <v>18066.767335666096</v>
      </c>
      <c r="O706" s="11">
        <f t="shared" si="232"/>
        <v>18196.478192256422</v>
      </c>
      <c r="P706" s="11">
        <f t="shared" ref="P706:P736" si="251">N706-O706</f>
        <v>-129.71085659032542</v>
      </c>
      <c r="Q706" s="11">
        <f t="shared" si="233"/>
        <v>-94.692231838491267</v>
      </c>
      <c r="R706" s="11">
        <f t="shared" ref="R706:R736" si="252">P706-Q706</f>
        <v>-35.018624751834153</v>
      </c>
      <c r="S706" s="9">
        <f t="shared" ref="S706:S736" si="253">IF(AND(D706&gt;E706,P706&gt;Q706),100,IF(OR(D706&gt;E706,P706&gt;Q706),60,20))</f>
        <v>20</v>
      </c>
      <c r="T706" s="14">
        <f t="shared" si="237"/>
        <v>0</v>
      </c>
      <c r="U706" s="14">
        <f t="shared" si="234"/>
        <v>1.8328154084247261E-3</v>
      </c>
      <c r="V706" s="14">
        <f t="shared" si="250"/>
        <v>2.4268138641732212E-3</v>
      </c>
      <c r="W706" s="14">
        <f t="shared" si="250"/>
        <v>3.5451273056300975E-3</v>
      </c>
      <c r="X706" s="16">
        <f t="shared" si="240"/>
        <v>0.6845491444888715</v>
      </c>
    </row>
    <row r="707" spans="1:24" x14ac:dyDescent="0.25">
      <c r="A707" s="10">
        <v>46218</v>
      </c>
      <c r="B707" s="11">
        <v>17882.04</v>
      </c>
      <c r="C707" s="12">
        <f t="shared" si="235"/>
        <v>3.8110154006787411E-3</v>
      </c>
      <c r="D707" s="11">
        <f t="shared" si="245"/>
        <v>18144.6675</v>
      </c>
      <c r="E707" s="11">
        <f t="shared" si="249"/>
        <v>18401.771799999999</v>
      </c>
      <c r="F707" s="11">
        <f t="shared" si="247"/>
        <v>18377.159187499998</v>
      </c>
      <c r="G707" s="12">
        <f t="shared" si="236"/>
        <v>3.8037718791020234E-3</v>
      </c>
      <c r="H707" s="19">
        <f t="shared" si="241"/>
        <v>0.12740551936337449</v>
      </c>
      <c r="I707" s="11">
        <f t="shared" si="242"/>
        <v>18474.84</v>
      </c>
      <c r="J707" s="11">
        <f t="shared" si="243"/>
        <v>17814.150000000001</v>
      </c>
      <c r="K707" s="12">
        <f>(B707-MAX($B$2:B707))/MAX($B$2:B707)</f>
        <v>-0.11621617614352431</v>
      </c>
      <c r="L707" s="12">
        <f t="shared" si="244"/>
        <v>-2.5913836982289662E-2</v>
      </c>
      <c r="M707" s="15">
        <f t="shared" si="238"/>
        <v>44.681352899534481</v>
      </c>
      <c r="N707" s="11">
        <f t="shared" ref="N707:N736" si="254">(B707*(2/13))+N706*(1-2/13)</f>
        <v>18038.34774556362</v>
      </c>
      <c r="O707" s="11">
        <f t="shared" ref="O707:O736" si="255">(B707*(2/27))+O706*(1-2/27)</f>
        <v>18173.1864743115</v>
      </c>
      <c r="P707" s="11">
        <f t="shared" si="251"/>
        <v>-134.83872874787994</v>
      </c>
      <c r="Q707" s="11">
        <f t="shared" ref="Q707:Q736" si="256">(P707*(2/10))+Q706*(1-2/10)</f>
        <v>-102.721531220369</v>
      </c>
      <c r="R707" s="11">
        <f t="shared" si="252"/>
        <v>-32.117197527510939</v>
      </c>
      <c r="S707" s="9">
        <f t="shared" si="253"/>
        <v>20</v>
      </c>
      <c r="T707" s="14">
        <f t="shared" si="237"/>
        <v>3.8110154006787411E-3</v>
      </c>
      <c r="U707" s="14">
        <f t="shared" ref="U707:U737" si="257">ABS(MIN(C707,0))</f>
        <v>0</v>
      </c>
      <c r="V707" s="14">
        <f t="shared" si="250"/>
        <v>2.6990292499359881E-3</v>
      </c>
      <c r="W707" s="14">
        <f t="shared" si="250"/>
        <v>3.3415874162708858E-3</v>
      </c>
      <c r="X707" s="16">
        <f t="shared" si="240"/>
        <v>0.80770870658473637</v>
      </c>
    </row>
    <row r="708" spans="1:24" x14ac:dyDescent="0.25">
      <c r="A708" s="10">
        <v>46219</v>
      </c>
      <c r="B708" s="11">
        <v>17788.330000000002</v>
      </c>
      <c r="C708" s="12">
        <f t="shared" ref="C708:C737" si="258">(B708/B707)-1</f>
        <v>-5.2404535500423233E-3</v>
      </c>
      <c r="D708" s="11">
        <f t="shared" si="245"/>
        <v>18116.196</v>
      </c>
      <c r="E708" s="11">
        <f t="shared" si="249"/>
        <v>18385.867799999996</v>
      </c>
      <c r="F708" s="11">
        <f t="shared" si="247"/>
        <v>18374.553250000001</v>
      </c>
      <c r="G708" s="12">
        <f t="shared" ref="G708:G737" si="259">LN(B708/B707)</f>
        <v>-5.2542328878156701E-3</v>
      </c>
      <c r="H708" s="19">
        <f t="shared" si="241"/>
        <v>0.10295211773687761</v>
      </c>
      <c r="I708" s="11">
        <f t="shared" si="242"/>
        <v>18474.84</v>
      </c>
      <c r="J708" s="11">
        <f t="shared" si="243"/>
        <v>17788.330000000002</v>
      </c>
      <c r="K708" s="12">
        <f>(B708-MAX($B$2:B708))/MAX($B$2:B708)</f>
        <v>-0.12084760422072298</v>
      </c>
      <c r="L708" s="12">
        <f t="shared" si="244"/>
        <v>-3.0782491858407868E-2</v>
      </c>
      <c r="M708" s="15">
        <f t="shared" si="238"/>
        <v>42.797291518616298</v>
      </c>
      <c r="N708" s="11">
        <f t="shared" si="254"/>
        <v>17999.883477015374</v>
      </c>
      <c r="O708" s="11">
        <f t="shared" si="255"/>
        <v>18144.678587325463</v>
      </c>
      <c r="P708" s="11">
        <f t="shared" si="251"/>
        <v>-144.79511031008951</v>
      </c>
      <c r="Q708" s="11">
        <f t="shared" si="256"/>
        <v>-111.13624703831312</v>
      </c>
      <c r="R708" s="11">
        <f t="shared" si="252"/>
        <v>-33.658863271776397</v>
      </c>
      <c r="S708" s="9">
        <f t="shared" si="253"/>
        <v>20</v>
      </c>
      <c r="T708" s="14">
        <f t="shared" ref="T708:T736" si="260">MAX(C708,0)</f>
        <v>0</v>
      </c>
      <c r="U708" s="14">
        <f t="shared" si="257"/>
        <v>5.2404535500423233E-3</v>
      </c>
      <c r="V708" s="14">
        <f t="shared" si="250"/>
        <v>2.6990292499359881E-3</v>
      </c>
      <c r="W708" s="14">
        <f t="shared" si="250"/>
        <v>3.6075129497308844E-3</v>
      </c>
      <c r="X708" s="16">
        <f t="shared" si="240"/>
        <v>0.74816897057495857</v>
      </c>
    </row>
    <row r="709" spans="1:24" x14ac:dyDescent="0.25">
      <c r="A709" s="10">
        <v>46220</v>
      </c>
      <c r="B709" s="11">
        <v>17578.830000000002</v>
      </c>
      <c r="C709" s="12">
        <f t="shared" si="258"/>
        <v>-1.1777384386280176E-2</v>
      </c>
      <c r="D709" s="11">
        <f t="shared" si="245"/>
        <v>18077.473000000002</v>
      </c>
      <c r="E709" s="11">
        <f t="shared" si="249"/>
        <v>18363.512599999995</v>
      </c>
      <c r="F709" s="11">
        <f t="shared" si="247"/>
        <v>18369.811187499996</v>
      </c>
      <c r="G709" s="12">
        <f t="shared" si="259"/>
        <v>-1.1847287167798587E-2</v>
      </c>
      <c r="H709" s="19">
        <f t="shared" si="241"/>
        <v>0.10902160161383107</v>
      </c>
      <c r="I709" s="11">
        <f t="shared" si="242"/>
        <v>18474.84</v>
      </c>
      <c r="J709" s="11">
        <f t="shared" si="243"/>
        <v>17578.830000000002</v>
      </c>
      <c r="K709" s="12">
        <f>(B709-MAX($B$2:B709))/MAX($B$2:B709)</f>
        <v>-0.13120171991993468</v>
      </c>
      <c r="L709" s="12">
        <f t="shared" si="244"/>
        <v>-4.4167511277181437E-2</v>
      </c>
      <c r="M709" s="15">
        <f t="shared" si="238"/>
        <v>36.690015569024702</v>
      </c>
      <c r="N709" s="11">
        <f t="shared" si="254"/>
        <v>17935.106019013008</v>
      </c>
      <c r="O709" s="11">
        <f t="shared" si="255"/>
        <v>18102.763877153207</v>
      </c>
      <c r="P709" s="11">
        <f t="shared" si="251"/>
        <v>-167.6578581401991</v>
      </c>
      <c r="Q709" s="11">
        <f t="shared" si="256"/>
        <v>-122.44056925869032</v>
      </c>
      <c r="R709" s="11">
        <f t="shared" si="252"/>
        <v>-45.217288881508779</v>
      </c>
      <c r="S709" s="9">
        <f t="shared" si="253"/>
        <v>20</v>
      </c>
      <c r="T709" s="14">
        <f t="shared" si="260"/>
        <v>0</v>
      </c>
      <c r="U709" s="14">
        <f t="shared" si="257"/>
        <v>1.1777384386280176E-2</v>
      </c>
      <c r="V709" s="14">
        <f t="shared" si="250"/>
        <v>2.5781854215400912E-3</v>
      </c>
      <c r="W709" s="14">
        <f t="shared" si="250"/>
        <v>4.44875469160804E-3</v>
      </c>
      <c r="X709" s="16">
        <f t="shared" si="240"/>
        <v>0.57952968870220722</v>
      </c>
    </row>
    <row r="710" spans="1:24" x14ac:dyDescent="0.25">
      <c r="A710" s="10">
        <v>46223</v>
      </c>
      <c r="B710" s="11">
        <v>17539.62</v>
      </c>
      <c r="C710" s="12">
        <f t="shared" si="258"/>
        <v>-2.2305238744559919E-3</v>
      </c>
      <c r="D710" s="11">
        <f t="shared" si="245"/>
        <v>18034.898000000001</v>
      </c>
      <c r="E710" s="11">
        <f t="shared" si="249"/>
        <v>18341.686599999997</v>
      </c>
      <c r="F710" s="11">
        <f t="shared" si="247"/>
        <v>18364.541874999999</v>
      </c>
      <c r="G710" s="12">
        <f t="shared" si="259"/>
        <v>-2.2330151981606798E-3</v>
      </c>
      <c r="H710" s="19">
        <f t="shared" si="241"/>
        <v>0.10787938712183272</v>
      </c>
      <c r="I710" s="11">
        <f t="shared" si="242"/>
        <v>18474.84</v>
      </c>
      <c r="J710" s="11">
        <f t="shared" si="243"/>
        <v>17539.62</v>
      </c>
      <c r="K710" s="12">
        <f>(B710-MAX($B$2:B710))/MAX($B$2:B710)</f>
        <v>-0.13313959522573954</v>
      </c>
      <c r="L710" s="12">
        <f t="shared" si="244"/>
        <v>-4.2702192608780387E-2</v>
      </c>
      <c r="M710" s="15">
        <f t="shared" si="238"/>
        <v>29.481815030835506</v>
      </c>
      <c r="N710" s="11">
        <f t="shared" si="254"/>
        <v>17874.262016087931</v>
      </c>
      <c r="O710" s="11">
        <f t="shared" si="255"/>
        <v>18061.049515882602</v>
      </c>
      <c r="P710" s="11">
        <f t="shared" si="251"/>
        <v>-186.78749979467102</v>
      </c>
      <c r="Q710" s="11">
        <f t="shared" si="256"/>
        <v>-135.30995536588645</v>
      </c>
      <c r="R710" s="11">
        <f t="shared" si="252"/>
        <v>-51.477544428784569</v>
      </c>
      <c r="S710" s="9">
        <f t="shared" si="253"/>
        <v>20</v>
      </c>
      <c r="T710" s="14">
        <f t="shared" si="260"/>
        <v>0</v>
      </c>
      <c r="U710" s="14">
        <f t="shared" si="257"/>
        <v>2.2305238744559919E-3</v>
      </c>
      <c r="V710" s="14">
        <f t="shared" si="250"/>
        <v>1.9265172261371255E-3</v>
      </c>
      <c r="W710" s="14">
        <f t="shared" si="250"/>
        <v>4.6080778254977538E-3</v>
      </c>
      <c r="X710" s="16">
        <f t="shared" si="240"/>
        <v>0.41807393431534062</v>
      </c>
    </row>
    <row r="711" spans="1:24" x14ac:dyDescent="0.25">
      <c r="A711" s="10">
        <v>46224</v>
      </c>
      <c r="B711" s="11">
        <v>17677.27</v>
      </c>
      <c r="C711" s="12">
        <f t="shared" si="258"/>
        <v>7.84794653475962E-3</v>
      </c>
      <c r="D711" s="11">
        <f t="shared" si="245"/>
        <v>18002.661000000004</v>
      </c>
      <c r="E711" s="11">
        <f t="shared" si="249"/>
        <v>18316.437199999997</v>
      </c>
      <c r="F711" s="11">
        <f t="shared" si="247"/>
        <v>18359.177374999999</v>
      </c>
      <c r="G711" s="12">
        <f t="shared" si="259"/>
        <v>7.8173115789636604E-3</v>
      </c>
      <c r="H711" s="19">
        <f t="shared" si="241"/>
        <v>0.11357706736689206</v>
      </c>
      <c r="I711" s="11">
        <f t="shared" si="242"/>
        <v>18474.84</v>
      </c>
      <c r="J711" s="11">
        <f t="shared" si="243"/>
        <v>17539.62</v>
      </c>
      <c r="K711" s="12">
        <f>(B711-MAX($B$2:B711))/MAX($B$2:B711)</f>
        <v>-0.12633652111597102</v>
      </c>
      <c r="L711" s="12">
        <f t="shared" si="244"/>
        <v>-2.3411901519525102E-2</v>
      </c>
      <c r="M711" s="15">
        <f t="shared" si="238"/>
        <v>37.017055991935273</v>
      </c>
      <c r="N711" s="11">
        <f t="shared" si="254"/>
        <v>17843.955552074403</v>
      </c>
      <c r="O711" s="11">
        <f t="shared" si="255"/>
        <v>18032.621403595003</v>
      </c>
      <c r="P711" s="11">
        <f t="shared" si="251"/>
        <v>-188.66585152059997</v>
      </c>
      <c r="Q711" s="11">
        <f t="shared" si="256"/>
        <v>-145.98113459682918</v>
      </c>
      <c r="R711" s="11">
        <f t="shared" si="252"/>
        <v>-42.684716923770793</v>
      </c>
      <c r="S711" s="9">
        <f t="shared" si="253"/>
        <v>20</v>
      </c>
      <c r="T711" s="14">
        <f t="shared" si="260"/>
        <v>7.84794653475962E-3</v>
      </c>
      <c r="U711" s="14">
        <f t="shared" si="257"/>
        <v>0</v>
      </c>
      <c r="V711" s="14">
        <f t="shared" si="250"/>
        <v>2.4870848357628128E-3</v>
      </c>
      <c r="W711" s="14">
        <f t="shared" si="250"/>
        <v>4.2316689092801807E-3</v>
      </c>
      <c r="X711" s="16">
        <f t="shared" si="240"/>
        <v>0.58773143388145488</v>
      </c>
    </row>
    <row r="712" spans="1:24" x14ac:dyDescent="0.25">
      <c r="A712" s="10">
        <v>46225</v>
      </c>
      <c r="B712" s="11">
        <v>17717.78</v>
      </c>
      <c r="C712" s="12">
        <f t="shared" si="258"/>
        <v>2.291643449469305E-3</v>
      </c>
      <c r="D712" s="11">
        <f t="shared" si="245"/>
        <v>17983.497500000005</v>
      </c>
      <c r="E712" s="11">
        <f t="shared" si="249"/>
        <v>18292.3688</v>
      </c>
      <c r="F712" s="11">
        <f t="shared" si="247"/>
        <v>18353.409562499997</v>
      </c>
      <c r="G712" s="12">
        <f t="shared" si="259"/>
        <v>2.2890216393582031E-3</v>
      </c>
      <c r="H712" s="19">
        <f t="shared" si="241"/>
        <v>0.10753625418934332</v>
      </c>
      <c r="I712" s="11">
        <f t="shared" si="242"/>
        <v>18474.84</v>
      </c>
      <c r="J712" s="11">
        <f t="shared" si="243"/>
        <v>17539.62</v>
      </c>
      <c r="K712" s="12">
        <f>(B712-MAX($B$2:B712))/MAX($B$2:B712)</f>
        <v>-0.12433439592754596</v>
      </c>
      <c r="L712" s="12">
        <f t="shared" si="244"/>
        <v>-1.8376716878667487E-2</v>
      </c>
      <c r="M712" s="15">
        <f t="shared" si="238"/>
        <v>31.560359371871215</v>
      </c>
      <c r="N712" s="11">
        <f t="shared" si="254"/>
        <v>17824.54392867834</v>
      </c>
      <c r="O712" s="11">
        <f t="shared" si="255"/>
        <v>18009.299818143521</v>
      </c>
      <c r="P712" s="11">
        <f t="shared" si="251"/>
        <v>-184.7558894651811</v>
      </c>
      <c r="Q712" s="11">
        <f t="shared" si="256"/>
        <v>-153.73608557049957</v>
      </c>
      <c r="R712" s="11">
        <f t="shared" si="252"/>
        <v>-31.01980389468153</v>
      </c>
      <c r="S712" s="9">
        <f t="shared" si="253"/>
        <v>20</v>
      </c>
      <c r="T712" s="14">
        <f t="shared" si="260"/>
        <v>2.291643449469305E-3</v>
      </c>
      <c r="U712" s="14">
        <f t="shared" si="257"/>
        <v>0</v>
      </c>
      <c r="V712" s="14">
        <f t="shared" si="250"/>
        <v>1.9513981998433572E-3</v>
      </c>
      <c r="W712" s="14">
        <f t="shared" si="250"/>
        <v>4.2316689092801807E-3</v>
      </c>
      <c r="X712" s="16">
        <f t="shared" si="240"/>
        <v>0.46114151217357308</v>
      </c>
    </row>
    <row r="713" spans="1:24" x14ac:dyDescent="0.25">
      <c r="A713" s="10">
        <v>46226</v>
      </c>
      <c r="B713" s="11">
        <v>17667.099999999999</v>
      </c>
      <c r="C713" s="12">
        <f t="shared" si="258"/>
        <v>-2.8604035042765208E-3</v>
      </c>
      <c r="D713" s="11">
        <f t="shared" si="245"/>
        <v>17964.379000000004</v>
      </c>
      <c r="E713" s="11">
        <f t="shared" si="249"/>
        <v>18266.691999999995</v>
      </c>
      <c r="F713" s="11">
        <f t="shared" si="247"/>
        <v>18347.556499999999</v>
      </c>
      <c r="G713" s="12">
        <f t="shared" si="259"/>
        <v>-2.8645022763407564E-3</v>
      </c>
      <c r="H713" s="19">
        <f t="shared" si="241"/>
        <v>0.10753865360112226</v>
      </c>
      <c r="I713" s="11">
        <f t="shared" si="242"/>
        <v>18474.84</v>
      </c>
      <c r="J713" s="11">
        <f t="shared" si="243"/>
        <v>17539.62</v>
      </c>
      <c r="K713" s="12">
        <f>(B713-MAX($B$2:B713))/MAX($B$2:B713)</f>
        <v>-0.12683915289000922</v>
      </c>
      <c r="L713" s="12">
        <f t="shared" si="244"/>
        <v>-1.9696949519700468E-2</v>
      </c>
      <c r="M713" s="15">
        <f t="shared" si="238"/>
        <v>22.173312909623291</v>
      </c>
      <c r="N713" s="11">
        <f t="shared" si="254"/>
        <v>17800.32178580475</v>
      </c>
      <c r="O713" s="11">
        <f t="shared" si="255"/>
        <v>17983.951683466224</v>
      </c>
      <c r="P713" s="11">
        <f t="shared" si="251"/>
        <v>-183.62989766147439</v>
      </c>
      <c r="Q713" s="11">
        <f t="shared" si="256"/>
        <v>-159.71484798869454</v>
      </c>
      <c r="R713" s="11">
        <f t="shared" si="252"/>
        <v>-23.915049672779844</v>
      </c>
      <c r="S713" s="9">
        <f t="shared" si="253"/>
        <v>20</v>
      </c>
      <c r="T713" s="14">
        <f t="shared" si="260"/>
        <v>0</v>
      </c>
      <c r="U713" s="14">
        <f t="shared" si="257"/>
        <v>2.8604035042765208E-3</v>
      </c>
      <c r="V713" s="14">
        <f t="shared" si="250"/>
        <v>1.2638395988810685E-3</v>
      </c>
      <c r="W713" s="14">
        <f t="shared" si="250"/>
        <v>4.4359834452999325E-3</v>
      </c>
      <c r="X713" s="16">
        <f t="shared" si="240"/>
        <v>0.28490629292590064</v>
      </c>
    </row>
    <row r="714" spans="1:24" x14ac:dyDescent="0.25">
      <c r="A714" s="10">
        <v>46227</v>
      </c>
      <c r="B714" s="11">
        <v>17743.11</v>
      </c>
      <c r="C714" s="12">
        <f t="shared" si="258"/>
        <v>4.3023473009153879E-3</v>
      </c>
      <c r="D714" s="11">
        <f t="shared" si="245"/>
        <v>17950.430499999999</v>
      </c>
      <c r="E714" s="11">
        <f t="shared" si="249"/>
        <v>18244.536</v>
      </c>
      <c r="F714" s="11">
        <f t="shared" si="247"/>
        <v>18343.232687499996</v>
      </c>
      <c r="G714" s="12">
        <f t="shared" si="259"/>
        <v>4.293118665162127E-3</v>
      </c>
      <c r="H714" s="19">
        <f t="shared" si="241"/>
        <v>0.10918367851493632</v>
      </c>
      <c r="I714" s="11">
        <f t="shared" si="242"/>
        <v>18474.84</v>
      </c>
      <c r="J714" s="11">
        <f t="shared" si="243"/>
        <v>17539.62</v>
      </c>
      <c r="K714" s="12">
        <f>(B714-MAX($B$2:B714))/MAX($B$2:B714)</f>
        <v>-0.12308251167618056</v>
      </c>
      <c r="L714" s="12">
        <f t="shared" si="244"/>
        <v>-1.7142157598613372E-2</v>
      </c>
      <c r="M714" s="15">
        <f t="shared" si="238"/>
        <v>27.47329622770053</v>
      </c>
      <c r="N714" s="11">
        <f t="shared" si="254"/>
        <v>17791.519972604019</v>
      </c>
      <c r="O714" s="11">
        <f t="shared" si="255"/>
        <v>17966.111558765024</v>
      </c>
      <c r="P714" s="11">
        <f t="shared" si="251"/>
        <v>-174.59158616100467</v>
      </c>
      <c r="Q714" s="11">
        <f t="shared" si="256"/>
        <v>-162.69019562315657</v>
      </c>
      <c r="R714" s="11">
        <f t="shared" si="252"/>
        <v>-11.901390537848101</v>
      </c>
      <c r="S714" s="9">
        <f t="shared" si="253"/>
        <v>20</v>
      </c>
      <c r="T714" s="14">
        <f t="shared" si="260"/>
        <v>4.3023473009153879E-3</v>
      </c>
      <c r="U714" s="14">
        <f t="shared" si="257"/>
        <v>0</v>
      </c>
      <c r="V714" s="14">
        <f t="shared" si="250"/>
        <v>1.5711501203750247E-3</v>
      </c>
      <c r="W714" s="14">
        <f t="shared" si="250"/>
        <v>4.147676289653195E-3</v>
      </c>
      <c r="X714" s="16">
        <f t="shared" si="240"/>
        <v>0.37880249340924227</v>
      </c>
    </row>
    <row r="715" spans="1:24" x14ac:dyDescent="0.25">
      <c r="A715" s="10">
        <v>46230</v>
      </c>
      <c r="B715" s="11">
        <v>17875.62</v>
      </c>
      <c r="C715" s="12">
        <f t="shared" si="258"/>
        <v>7.4682510563255367E-3</v>
      </c>
      <c r="D715" s="11">
        <f t="shared" si="245"/>
        <v>17941.583000000002</v>
      </c>
      <c r="E715" s="11">
        <f t="shared" si="249"/>
        <v>18226.517599999996</v>
      </c>
      <c r="F715" s="11">
        <f t="shared" si="247"/>
        <v>18340.265687499996</v>
      </c>
      <c r="G715" s="12">
        <f t="shared" si="259"/>
        <v>7.4405017429880014E-3</v>
      </c>
      <c r="H715" s="19">
        <f t="shared" si="241"/>
        <v>0.11275854537867432</v>
      </c>
      <c r="I715" s="11">
        <f t="shared" si="242"/>
        <v>18474.84</v>
      </c>
      <c r="J715" s="11">
        <f t="shared" si="243"/>
        <v>17539.62</v>
      </c>
      <c r="K715" s="12">
        <f>(B715-MAX($B$2:B715))/MAX($B$2:B715)</f>
        <v>-0.11653347171769594</v>
      </c>
      <c r="L715" s="12">
        <f t="shared" si="244"/>
        <v>-1.8754182157919463E-2</v>
      </c>
      <c r="M715" s="15">
        <f t="shared" si="238"/>
        <v>37.78723625767612</v>
      </c>
      <c r="N715" s="11">
        <f t="shared" si="254"/>
        <v>17804.458438357247</v>
      </c>
      <c r="O715" s="11">
        <f t="shared" si="255"/>
        <v>17959.408480337985</v>
      </c>
      <c r="P715" s="11">
        <f t="shared" si="251"/>
        <v>-154.9500419807373</v>
      </c>
      <c r="Q715" s="11">
        <f t="shared" si="256"/>
        <v>-161.14216489467273</v>
      </c>
      <c r="R715" s="11">
        <f t="shared" si="252"/>
        <v>6.1921229139354352</v>
      </c>
      <c r="S715" s="9">
        <f t="shared" si="253"/>
        <v>60</v>
      </c>
      <c r="T715" s="14">
        <f t="shared" si="260"/>
        <v>7.4682510563255367E-3</v>
      </c>
      <c r="U715" s="14">
        <f t="shared" si="257"/>
        <v>0</v>
      </c>
      <c r="V715" s="14">
        <f t="shared" si="250"/>
        <v>2.1045966243982773E-3</v>
      </c>
      <c r="W715" s="14">
        <f t="shared" si="250"/>
        <v>3.4649999717823931E-3</v>
      </c>
      <c r="X715" s="16">
        <f t="shared" si="240"/>
        <v>0.6073871981348602</v>
      </c>
    </row>
    <row r="716" spans="1:24" x14ac:dyDescent="0.25">
      <c r="A716" s="10">
        <v>46231</v>
      </c>
      <c r="B716" s="11">
        <v>17800.62</v>
      </c>
      <c r="C716" s="12">
        <f t="shared" si="258"/>
        <v>-4.1956586680629293E-3</v>
      </c>
      <c r="D716" s="11">
        <f t="shared" si="245"/>
        <v>17920.750500000002</v>
      </c>
      <c r="E716" s="11">
        <f t="shared" si="249"/>
        <v>18204.673599999998</v>
      </c>
      <c r="F716" s="11">
        <f t="shared" si="247"/>
        <v>18336.694812499998</v>
      </c>
      <c r="G716" s="12">
        <f t="shared" si="259"/>
        <v>-4.2044851411226153E-3</v>
      </c>
      <c r="H716" s="19">
        <f t="shared" si="241"/>
        <v>0.10753754338574113</v>
      </c>
      <c r="I716" s="11">
        <f t="shared" si="242"/>
        <v>18474.84</v>
      </c>
      <c r="J716" s="11">
        <f t="shared" si="243"/>
        <v>17539.62</v>
      </c>
      <c r="K716" s="12">
        <f>(B716-MAX($B$2:B716))/MAX($B$2:B716)</f>
        <v>-0.12024019571502712</v>
      </c>
      <c r="L716" s="12">
        <f t="shared" si="244"/>
        <v>-1.7694675925031822E-2</v>
      </c>
      <c r="M716" s="15">
        <f t="shared" si="238"/>
        <v>40.412611889285522</v>
      </c>
      <c r="N716" s="11">
        <f t="shared" si="254"/>
        <v>17803.867909379209</v>
      </c>
      <c r="O716" s="11">
        <f t="shared" si="255"/>
        <v>17947.64637068332</v>
      </c>
      <c r="P716" s="11">
        <f t="shared" si="251"/>
        <v>-143.77846130411126</v>
      </c>
      <c r="Q716" s="11">
        <f t="shared" si="256"/>
        <v>-157.66942417656045</v>
      </c>
      <c r="R716" s="11">
        <f t="shared" si="252"/>
        <v>13.890962872449194</v>
      </c>
      <c r="S716" s="9">
        <f t="shared" si="253"/>
        <v>60</v>
      </c>
      <c r="T716" s="14">
        <f t="shared" si="260"/>
        <v>0</v>
      </c>
      <c r="U716" s="14">
        <f t="shared" si="257"/>
        <v>4.1956586680629293E-3</v>
      </c>
      <c r="V716" s="14">
        <f t="shared" si="250"/>
        <v>2.1045966243982773E-3</v>
      </c>
      <c r="W716" s="14">
        <f t="shared" si="250"/>
        <v>3.1031752220837933E-3</v>
      </c>
      <c r="X716" s="16">
        <f t="shared" si="240"/>
        <v>0.67820747259802916</v>
      </c>
    </row>
    <row r="717" spans="1:24" x14ac:dyDescent="0.25">
      <c r="A717" s="10">
        <v>46232</v>
      </c>
      <c r="B717" s="11">
        <v>17739.77</v>
      </c>
      <c r="C717" s="12">
        <f t="shared" si="258"/>
        <v>-3.4184202572719036E-3</v>
      </c>
      <c r="D717" s="11">
        <f t="shared" si="245"/>
        <v>17901.675500000001</v>
      </c>
      <c r="E717" s="11">
        <f t="shared" si="249"/>
        <v>18184.554999999997</v>
      </c>
      <c r="F717" s="11">
        <f t="shared" si="247"/>
        <v>18332.6541875</v>
      </c>
      <c r="G717" s="12">
        <f t="shared" si="259"/>
        <v>-3.4242764054587182E-3</v>
      </c>
      <c r="H717" s="19">
        <f t="shared" si="241"/>
        <v>0.10679110384886865</v>
      </c>
      <c r="I717" s="11">
        <f t="shared" si="242"/>
        <v>18474.84</v>
      </c>
      <c r="J717" s="11">
        <f t="shared" si="243"/>
        <v>17539.62</v>
      </c>
      <c r="K717" s="12">
        <f>(B717-MAX($B$2:B717))/MAX($B$2:B717)</f>
        <v>-0.12324758445152838</v>
      </c>
      <c r="L717" s="12">
        <f t="shared" si="244"/>
        <v>-3.0544792799488518E-2</v>
      </c>
      <c r="M717" s="15">
        <f t="shared" si="238"/>
        <v>42.790999174191981</v>
      </c>
      <c r="N717" s="11">
        <f t="shared" si="254"/>
        <v>17794.006692551637</v>
      </c>
      <c r="O717" s="11">
        <f t="shared" si="255"/>
        <v>17932.248121003075</v>
      </c>
      <c r="P717" s="11">
        <f t="shared" si="251"/>
        <v>-138.24142845143797</v>
      </c>
      <c r="Q717" s="11">
        <f t="shared" si="256"/>
        <v>-153.78382503153597</v>
      </c>
      <c r="R717" s="11">
        <f t="shared" si="252"/>
        <v>15.542396580098</v>
      </c>
      <c r="S717" s="9">
        <f t="shared" si="253"/>
        <v>60</v>
      </c>
      <c r="T717" s="14">
        <f t="shared" si="260"/>
        <v>0</v>
      </c>
      <c r="U717" s="14">
        <f t="shared" si="257"/>
        <v>3.4184202572719036E-3</v>
      </c>
      <c r="V717" s="14">
        <f t="shared" si="250"/>
        <v>2.1045966243982773E-3</v>
      </c>
      <c r="W717" s="14">
        <f t="shared" si="250"/>
        <v>2.8137195285640897E-3</v>
      </c>
      <c r="X717" s="16">
        <f t="shared" si="240"/>
        <v>0.74797669171820569</v>
      </c>
    </row>
    <row r="718" spans="1:24" x14ac:dyDescent="0.25">
      <c r="A718" s="10">
        <v>46234</v>
      </c>
      <c r="B718" s="11">
        <v>17843.7</v>
      </c>
      <c r="C718" s="12">
        <f t="shared" si="258"/>
        <v>5.8585877945429576E-3</v>
      </c>
      <c r="D718" s="11">
        <f t="shared" si="245"/>
        <v>17878.925500000001</v>
      </c>
      <c r="E718" s="11">
        <f t="shared" si="249"/>
        <v>18173.044799999996</v>
      </c>
      <c r="F718" s="11">
        <f t="shared" si="247"/>
        <v>18328.743687500006</v>
      </c>
      <c r="G718" s="12">
        <f t="shared" si="259"/>
        <v>5.8414930041279277E-3</v>
      </c>
      <c r="H718" s="19">
        <f t="shared" si="241"/>
        <v>0.10235974967871156</v>
      </c>
      <c r="I718" s="11">
        <f t="shared" si="242"/>
        <v>18474.84</v>
      </c>
      <c r="J718" s="11">
        <f t="shared" si="243"/>
        <v>17539.62</v>
      </c>
      <c r="K718" s="12">
        <f>(B718-MAX($B$2:B718))/MAX($B$2:B718)</f>
        <v>-0.11811105345096</v>
      </c>
      <c r="L718" s="12">
        <f t="shared" si="244"/>
        <v>-3.4162136180881597E-2</v>
      </c>
      <c r="M718" s="15">
        <f t="shared" si="238"/>
        <v>44.496212076302527</v>
      </c>
      <c r="N718" s="11">
        <f t="shared" si="254"/>
        <v>17801.651816774462</v>
      </c>
      <c r="O718" s="11">
        <f t="shared" si="255"/>
        <v>17925.689000928774</v>
      </c>
      <c r="P718" s="11">
        <f t="shared" si="251"/>
        <v>-124.03718415431285</v>
      </c>
      <c r="Q718" s="11">
        <f t="shared" si="256"/>
        <v>-147.83449685609133</v>
      </c>
      <c r="R718" s="11">
        <f t="shared" si="252"/>
        <v>23.79731270177848</v>
      </c>
      <c r="S718" s="9">
        <f t="shared" si="253"/>
        <v>60</v>
      </c>
      <c r="T718" s="14">
        <f t="shared" si="260"/>
        <v>5.8585877945429576E-3</v>
      </c>
      <c r="U718" s="14">
        <f t="shared" si="257"/>
        <v>0</v>
      </c>
      <c r="V718" s="14">
        <f t="shared" si="250"/>
        <v>2.2556993954779675E-3</v>
      </c>
      <c r="W718" s="14">
        <f t="shared" si="250"/>
        <v>2.8137195285640897E-3</v>
      </c>
      <c r="X718" s="16">
        <f t="shared" si="240"/>
        <v>0.80167883564041875</v>
      </c>
    </row>
    <row r="719" spans="1:24" x14ac:dyDescent="0.25">
      <c r="A719" s="10">
        <v>46237</v>
      </c>
      <c r="B719" s="11">
        <v>17876.25</v>
      </c>
      <c r="C719" s="12">
        <f t="shared" si="258"/>
        <v>1.8241732376131914E-3</v>
      </c>
      <c r="D719" s="11">
        <f t="shared" si="245"/>
        <v>17848.996000000003</v>
      </c>
      <c r="E719" s="11">
        <f t="shared" si="249"/>
        <v>18161.603799999997</v>
      </c>
      <c r="F719" s="11">
        <f t="shared" si="247"/>
        <v>18325.011062500002</v>
      </c>
      <c r="G719" s="12">
        <f t="shared" si="259"/>
        <v>1.8225114542263893E-3</v>
      </c>
      <c r="H719" s="19">
        <f t="shared" si="241"/>
        <v>9.4896860246232506E-2</v>
      </c>
      <c r="I719" s="11">
        <f t="shared" si="242"/>
        <v>18400.27</v>
      </c>
      <c r="J719" s="11">
        <f t="shared" si="243"/>
        <v>17539.62</v>
      </c>
      <c r="K719" s="12">
        <f>(B719-MAX($B$2:B719))/MAX($B$2:B719)</f>
        <v>-0.11650233523611832</v>
      </c>
      <c r="L719" s="12">
        <f t="shared" si="244"/>
        <v>-2.8478929928745678E-2</v>
      </c>
      <c r="M719" s="15">
        <f t="shared" si="238"/>
        <v>51.422656874869766</v>
      </c>
      <c r="N719" s="11">
        <f t="shared" si="254"/>
        <v>17813.12846034762</v>
      </c>
      <c r="O719" s="11">
        <f t="shared" si="255"/>
        <v>17922.026852711828</v>
      </c>
      <c r="P719" s="11">
        <f t="shared" si="251"/>
        <v>-108.89839236420812</v>
      </c>
      <c r="Q719" s="11">
        <f t="shared" si="256"/>
        <v>-140.0472759577147</v>
      </c>
      <c r="R719" s="11">
        <f t="shared" si="252"/>
        <v>31.148883593506582</v>
      </c>
      <c r="S719" s="9">
        <f t="shared" si="253"/>
        <v>60</v>
      </c>
      <c r="T719" s="14">
        <f t="shared" si="260"/>
        <v>1.8241732376131914E-3</v>
      </c>
      <c r="U719" s="14">
        <f t="shared" si="257"/>
        <v>0</v>
      </c>
      <c r="V719" s="14">
        <f t="shared" si="250"/>
        <v>2.38599748387891E-3</v>
      </c>
      <c r="W719" s="14">
        <f t="shared" si="250"/>
        <v>2.2539756892010409E-3</v>
      </c>
      <c r="X719" s="16">
        <f t="shared" si="240"/>
        <v>1.0585728565354076</v>
      </c>
    </row>
    <row r="720" spans="1:24" x14ac:dyDescent="0.25">
      <c r="A720" s="10">
        <v>46238</v>
      </c>
      <c r="B720" s="11">
        <v>18063.39</v>
      </c>
      <c r="C720" s="12">
        <f t="shared" si="258"/>
        <v>1.0468638556744292E-2</v>
      </c>
      <c r="D720" s="11">
        <f t="shared" si="245"/>
        <v>17832.152000000006</v>
      </c>
      <c r="E720" s="11">
        <f t="shared" si="249"/>
        <v>18157.592200000003</v>
      </c>
      <c r="F720" s="11">
        <f t="shared" si="247"/>
        <v>18322.540375000004</v>
      </c>
      <c r="G720" s="12">
        <f t="shared" si="259"/>
        <v>1.0414221810152297E-2</v>
      </c>
      <c r="H720" s="19">
        <f t="shared" si="241"/>
        <v>0.10353702018522037</v>
      </c>
      <c r="I720" s="11">
        <f t="shared" si="242"/>
        <v>18224.41</v>
      </c>
      <c r="J720" s="11">
        <f t="shared" si="243"/>
        <v>17539.62</v>
      </c>
      <c r="K720" s="12">
        <f>(B720-MAX($B$2:B720))/MAX($B$2:B720)</f>
        <v>-0.10725331751797763</v>
      </c>
      <c r="L720" s="12">
        <f t="shared" si="244"/>
        <v>-8.8354026275747621E-3</v>
      </c>
      <c r="M720" s="15">
        <f t="shared" ref="M720:M737" si="261">IF(X720=0,100,100-(100/(1+X720)))</f>
        <v>59.613202689557703</v>
      </c>
      <c r="N720" s="11">
        <f t="shared" si="254"/>
        <v>17851.630235678756</v>
      </c>
      <c r="O720" s="11">
        <f t="shared" si="255"/>
        <v>17932.498196955396</v>
      </c>
      <c r="P720" s="11">
        <f t="shared" si="251"/>
        <v>-80.867961276639107</v>
      </c>
      <c r="Q720" s="11">
        <f t="shared" si="256"/>
        <v>-128.2114130214996</v>
      </c>
      <c r="R720" s="11">
        <f t="shared" si="252"/>
        <v>47.343451744860488</v>
      </c>
      <c r="S720" s="9">
        <f t="shared" si="253"/>
        <v>60</v>
      </c>
      <c r="T720" s="14">
        <f t="shared" si="260"/>
        <v>1.0468638556744292E-2</v>
      </c>
      <c r="U720" s="14">
        <f t="shared" si="257"/>
        <v>0</v>
      </c>
      <c r="V720" s="14">
        <f t="shared" ref="V720:W720" si="262">AVERAGE(T707:T720)</f>
        <v>3.1337573807892166E-3</v>
      </c>
      <c r="W720" s="14">
        <f t="shared" si="262"/>
        <v>2.1230603028849888E-3</v>
      </c>
      <c r="X720" s="16">
        <f t="shared" ref="X720:X737" si="263">IF(W720=0,0,V720/W720)</f>
        <v>1.4760566982156889</v>
      </c>
    </row>
    <row r="721" spans="1:25" x14ac:dyDescent="0.25">
      <c r="A721" s="10">
        <v>46239</v>
      </c>
      <c r="B721" s="11">
        <v>18329.91</v>
      </c>
      <c r="C721" s="12">
        <f t="shared" si="258"/>
        <v>1.475470551208824E-2</v>
      </c>
      <c r="D721" s="11">
        <f t="shared" si="245"/>
        <v>17837.427000000003</v>
      </c>
      <c r="E721" s="11">
        <f t="shared" si="249"/>
        <v>18161.928200000002</v>
      </c>
      <c r="F721" s="11">
        <f t="shared" si="247"/>
        <v>18321.351875000004</v>
      </c>
      <c r="G721" s="12">
        <f t="shared" si="259"/>
        <v>1.4646913840765871E-2</v>
      </c>
      <c r="H721" s="19">
        <f t="shared" si="241"/>
        <v>0.11201077299513008</v>
      </c>
      <c r="I721" s="11">
        <f t="shared" si="242"/>
        <v>18329.91</v>
      </c>
      <c r="J721" s="11">
        <f t="shared" si="243"/>
        <v>17539.62</v>
      </c>
      <c r="K721" s="12">
        <f>(B721-MAX($B$2:B721))/MAX($B$2:B721)</f>
        <v>-9.4081103121061618E-2</v>
      </c>
      <c r="L721" s="12">
        <f t="shared" si="244"/>
        <v>1.5190829674732953E-2</v>
      </c>
      <c r="M721" s="15">
        <f t="shared" si="261"/>
        <v>64.84132077157426</v>
      </c>
      <c r="N721" s="11">
        <f t="shared" si="254"/>
        <v>17925.211737882026</v>
      </c>
      <c r="O721" s="11">
        <f t="shared" si="255"/>
        <v>17961.93610829203</v>
      </c>
      <c r="P721" s="11">
        <f t="shared" si="251"/>
        <v>-36.724370410003758</v>
      </c>
      <c r="Q721" s="11">
        <f t="shared" si="256"/>
        <v>-109.91400449920044</v>
      </c>
      <c r="R721" s="11">
        <f t="shared" si="252"/>
        <v>73.189634089196687</v>
      </c>
      <c r="S721" s="9">
        <f t="shared" si="253"/>
        <v>60</v>
      </c>
      <c r="T721" s="14">
        <f t="shared" si="260"/>
        <v>1.475470551208824E-2</v>
      </c>
      <c r="U721" s="14">
        <f t="shared" si="257"/>
        <v>0</v>
      </c>
      <c r="V721" s="14">
        <f t="shared" ref="V721:V737" si="264">AVERAGE(T708:T721)</f>
        <v>3.9154495316041805E-3</v>
      </c>
      <c r="W721" s="14">
        <f t="shared" ref="W721:W737" si="265">AVERAGE(U708:U721)</f>
        <v>2.1230603028849888E-3</v>
      </c>
      <c r="X721" s="16">
        <f t="shared" si="263"/>
        <v>1.8442479124514486</v>
      </c>
    </row>
    <row r="722" spans="1:25" x14ac:dyDescent="0.25">
      <c r="A722" s="10">
        <v>46240</v>
      </c>
      <c r="B722" s="11">
        <v>18479.439999999999</v>
      </c>
      <c r="C722" s="12">
        <f t="shared" si="258"/>
        <v>8.1577050842038812E-3</v>
      </c>
      <c r="D722" s="11">
        <f t="shared" si="245"/>
        <v>17858.6175</v>
      </c>
      <c r="E722" s="11">
        <f t="shared" si="249"/>
        <v>18165.4218</v>
      </c>
      <c r="F722" s="11">
        <f t="shared" si="247"/>
        <v>18321.231000000007</v>
      </c>
      <c r="G722" s="12">
        <f t="shared" si="259"/>
        <v>8.1246108681626988E-3</v>
      </c>
      <c r="H722" s="19">
        <f t="shared" si="241"/>
        <v>0.10926490583091111</v>
      </c>
      <c r="I722" s="11">
        <f t="shared" si="242"/>
        <v>18479.439999999999</v>
      </c>
      <c r="J722" s="11">
        <f t="shared" si="243"/>
        <v>17539.62</v>
      </c>
      <c r="K722" s="12">
        <f>(B722-MAX($B$2:B722))/MAX($B$2:B722)</f>
        <v>-8.6690883930115967E-2</v>
      </c>
      <c r="L722" s="12">
        <f t="shared" si="244"/>
        <v>3.1176167948421707E-2</v>
      </c>
      <c r="M722" s="15">
        <f t="shared" si="261"/>
        <v>72.006172551215059</v>
      </c>
      <c r="N722" s="11">
        <f t="shared" si="254"/>
        <v>18010.477624361713</v>
      </c>
      <c r="O722" s="11">
        <f t="shared" si="255"/>
        <v>18000.269729900028</v>
      </c>
      <c r="P722" s="11">
        <f t="shared" si="251"/>
        <v>10.207894461684191</v>
      </c>
      <c r="Q722" s="11">
        <f t="shared" si="256"/>
        <v>-85.889624707023515</v>
      </c>
      <c r="R722" s="11">
        <f t="shared" si="252"/>
        <v>96.097519168707706</v>
      </c>
      <c r="S722" s="9">
        <f t="shared" si="253"/>
        <v>60</v>
      </c>
      <c r="T722" s="14">
        <f t="shared" si="260"/>
        <v>8.1577050842038812E-3</v>
      </c>
      <c r="U722" s="14">
        <f t="shared" si="257"/>
        <v>0</v>
      </c>
      <c r="V722" s="14">
        <f t="shared" si="264"/>
        <v>4.4981427519044581E-3</v>
      </c>
      <c r="W722" s="14">
        <f t="shared" si="265"/>
        <v>1.7487421921676802E-3</v>
      </c>
      <c r="X722" s="16">
        <f t="shared" si="263"/>
        <v>2.572216060235109</v>
      </c>
    </row>
    <row r="723" spans="1:25" x14ac:dyDescent="0.25">
      <c r="A723" s="10">
        <v>46241</v>
      </c>
      <c r="B723" s="11">
        <v>18864.02</v>
      </c>
      <c r="C723" s="12">
        <f t="shared" si="258"/>
        <v>2.0811236704142644E-2</v>
      </c>
      <c r="D723" s="11">
        <f t="shared" si="245"/>
        <v>17905.781499999997</v>
      </c>
      <c r="E723" s="11">
        <f t="shared" si="249"/>
        <v>18175.308399999998</v>
      </c>
      <c r="F723" s="11">
        <f t="shared" si="247"/>
        <v>18323.090437500003</v>
      </c>
      <c r="G723" s="12">
        <f t="shared" si="259"/>
        <v>2.0597641290890069E-2</v>
      </c>
      <c r="H723" s="19">
        <f t="shared" si="241"/>
        <v>0.12422546926872371</v>
      </c>
      <c r="I723" s="11">
        <f t="shared" si="242"/>
        <v>18864.02</v>
      </c>
      <c r="J723" s="11">
        <f t="shared" si="243"/>
        <v>17539.62</v>
      </c>
      <c r="K723" s="12">
        <f>(B723-MAX($B$2:B723))/MAX($B$2:B723)</f>
        <v>-6.7683791731534312E-2</v>
      </c>
      <c r="L723" s="12">
        <f t="shared" si="244"/>
        <v>4.8710738710972201E-2</v>
      </c>
      <c r="M723" s="15">
        <f t="shared" si="261"/>
        <v>86.832858844616268</v>
      </c>
      <c r="N723" s="11">
        <f t="shared" si="254"/>
        <v>18141.791835998371</v>
      </c>
      <c r="O723" s="11">
        <f t="shared" si="255"/>
        <v>18064.251231388916</v>
      </c>
      <c r="P723" s="11">
        <f t="shared" si="251"/>
        <v>77.540604609454022</v>
      </c>
      <c r="Q723" s="11">
        <f t="shared" si="256"/>
        <v>-53.20357884372801</v>
      </c>
      <c r="R723" s="11">
        <f t="shared" si="252"/>
        <v>130.74418345318202</v>
      </c>
      <c r="S723" s="9">
        <f t="shared" si="253"/>
        <v>60</v>
      </c>
      <c r="T723" s="14">
        <f t="shared" si="260"/>
        <v>2.0811236704142644E-2</v>
      </c>
      <c r="U723" s="14">
        <f t="shared" si="257"/>
        <v>0</v>
      </c>
      <c r="V723" s="14">
        <f t="shared" si="264"/>
        <v>5.9846596593432179E-3</v>
      </c>
      <c r="W723" s="14">
        <f t="shared" si="265"/>
        <v>9.075004502905247E-4</v>
      </c>
      <c r="X723" s="16">
        <f t="shared" si="263"/>
        <v>6.5946630190952584</v>
      </c>
    </row>
    <row r="724" spans="1:25" x14ac:dyDescent="0.25">
      <c r="A724" s="10">
        <v>46244</v>
      </c>
      <c r="B724" s="11">
        <v>18832.18</v>
      </c>
      <c r="C724" s="12">
        <f t="shared" si="258"/>
        <v>-1.687869287670396E-3</v>
      </c>
      <c r="D724" s="11">
        <f t="shared" si="245"/>
        <v>17947.999500000002</v>
      </c>
      <c r="E724" s="11">
        <f t="shared" si="249"/>
        <v>18174.521400000001</v>
      </c>
      <c r="F724" s="11">
        <f t="shared" si="247"/>
        <v>18324.829500000003</v>
      </c>
      <c r="G724" s="12">
        <f t="shared" si="259"/>
        <v>-1.6892953439268069E-3</v>
      </c>
      <c r="H724" s="19">
        <f t="shared" si="241"/>
        <v>0.12503714865985585</v>
      </c>
      <c r="I724" s="11">
        <f t="shared" si="242"/>
        <v>18864.02</v>
      </c>
      <c r="J724" s="11">
        <f t="shared" si="243"/>
        <v>17539.62</v>
      </c>
      <c r="K724" s="12">
        <f>(B724-MAX($B$2:B724))/MAX($B$2:B724)</f>
        <v>-6.9257419625867983E-2</v>
      </c>
      <c r="L724" s="12">
        <f t="shared" si="244"/>
        <v>5.5209711960535257E-2</v>
      </c>
      <c r="M724" s="15">
        <f t="shared" si="261"/>
        <v>87.323962900846809</v>
      </c>
      <c r="N724" s="11">
        <f t="shared" si="254"/>
        <v>18248.00539969093</v>
      </c>
      <c r="O724" s="11">
        <f t="shared" si="255"/>
        <v>18121.134843878626</v>
      </c>
      <c r="P724" s="11">
        <f t="shared" si="251"/>
        <v>126.87055581230379</v>
      </c>
      <c r="Q724" s="11">
        <f t="shared" si="256"/>
        <v>-17.188751912521649</v>
      </c>
      <c r="R724" s="11">
        <f t="shared" si="252"/>
        <v>144.05930772482543</v>
      </c>
      <c r="S724" s="9">
        <f t="shared" si="253"/>
        <v>60</v>
      </c>
      <c r="T724" s="14">
        <f t="shared" si="260"/>
        <v>0</v>
      </c>
      <c r="U724" s="14">
        <f t="shared" si="257"/>
        <v>1.687869287670396E-3</v>
      </c>
      <c r="V724" s="14">
        <f t="shared" si="264"/>
        <v>5.9846596593432179E-3</v>
      </c>
      <c r="W724" s="14">
        <f t="shared" si="265"/>
        <v>8.6873940837726787E-4</v>
      </c>
      <c r="X724" s="16">
        <f t="shared" si="263"/>
        <v>6.8889008621377714</v>
      </c>
    </row>
    <row r="725" spans="1:25" x14ac:dyDescent="0.25">
      <c r="A725" s="10">
        <v>46245</v>
      </c>
      <c r="B725" s="11">
        <v>18703.79</v>
      </c>
      <c r="C725" s="12">
        <f t="shared" si="258"/>
        <v>-6.8175856432978188E-3</v>
      </c>
      <c r="D725" s="11">
        <f t="shared" si="245"/>
        <v>17990.845999999998</v>
      </c>
      <c r="E725" s="11">
        <f t="shared" si="249"/>
        <v>18171.097800000003</v>
      </c>
      <c r="F725" s="11">
        <f t="shared" si="247"/>
        <v>18325.579562500003</v>
      </c>
      <c r="G725" s="12">
        <f t="shared" si="259"/>
        <v>-6.8409315492790994E-3</v>
      </c>
      <c r="H725" s="19">
        <f t="shared" ref="H725:H737" si="266">STDEV(G706:G725)*SQRT(252)</f>
        <v>0.12397954897412396</v>
      </c>
      <c r="I725" s="11">
        <f t="shared" ref="I725:I737" si="267">MAX(B706:B725)</f>
        <v>18864.02</v>
      </c>
      <c r="J725" s="11">
        <f t="shared" ref="J725:J737" si="268">MIN(B706:B725)</f>
        <v>17539.62</v>
      </c>
      <c r="K725" s="12">
        <f>(B725-MAX($B$2:B725))/MAX($B$2:B725)</f>
        <v>-7.5602836879432575E-2</v>
      </c>
      <c r="L725" s="12">
        <f t="shared" ref="L725:L737" si="269">(B725/B706)-1</f>
        <v>4.9940075726318645E-2</v>
      </c>
      <c r="M725" s="15">
        <f t="shared" si="261"/>
        <v>80.003695694544774</v>
      </c>
      <c r="N725" s="11">
        <f t="shared" si="254"/>
        <v>18318.126107430788</v>
      </c>
      <c r="O725" s="11">
        <f t="shared" si="255"/>
        <v>18164.294485072802</v>
      </c>
      <c r="P725" s="11">
        <f t="shared" si="251"/>
        <v>153.83162235798591</v>
      </c>
      <c r="Q725" s="11">
        <f t="shared" si="256"/>
        <v>17.015322941579864</v>
      </c>
      <c r="R725" s="11">
        <f t="shared" si="252"/>
        <v>136.81629941640605</v>
      </c>
      <c r="S725" s="9">
        <f t="shared" si="253"/>
        <v>60</v>
      </c>
      <c r="T725" s="14">
        <f t="shared" si="260"/>
        <v>0</v>
      </c>
      <c r="U725" s="14">
        <f t="shared" si="257"/>
        <v>6.8175856432978188E-3</v>
      </c>
      <c r="V725" s="14">
        <f t="shared" si="264"/>
        <v>5.4240920497175315E-3</v>
      </c>
      <c r="W725" s="14">
        <f t="shared" si="265"/>
        <v>1.3557098114699692E-3</v>
      </c>
      <c r="X725" s="16">
        <f t="shared" si="263"/>
        <v>4.0009240943947262</v>
      </c>
    </row>
    <row r="726" spans="1:25" x14ac:dyDescent="0.25">
      <c r="A726" s="10">
        <v>46246</v>
      </c>
      <c r="B726" s="11">
        <v>18825.54</v>
      </c>
      <c r="C726" s="12">
        <f t="shared" si="258"/>
        <v>6.5093759072358814E-3</v>
      </c>
      <c r="D726" s="11">
        <f t="shared" ref="D726:D737" si="270">AVERAGE(B707:B726)</f>
        <v>18041.415499999996</v>
      </c>
      <c r="E726" s="11">
        <f t="shared" si="249"/>
        <v>18169.164000000004</v>
      </c>
      <c r="F726" s="11">
        <f t="shared" si="247"/>
        <v>18325.988687500001</v>
      </c>
      <c r="G726" s="12">
        <f t="shared" si="259"/>
        <v>6.4882814117341496E-3</v>
      </c>
      <c r="H726" s="19">
        <f t="shared" si="266"/>
        <v>0.12377806880088857</v>
      </c>
      <c r="I726" s="11">
        <f t="shared" si="267"/>
        <v>18864.02</v>
      </c>
      <c r="J726" s="11">
        <f t="shared" si="268"/>
        <v>17539.62</v>
      </c>
      <c r="K726" s="12">
        <f>(B726-MAX($B$2:B726))/MAX($B$2:B726)</f>
        <v>-6.9585588257098333E-2</v>
      </c>
      <c r="L726" s="12">
        <f t="shared" si="269"/>
        <v>5.2762436500533472E-2</v>
      </c>
      <c r="M726" s="15">
        <f t="shared" si="261"/>
        <v>80.854445651657556</v>
      </c>
      <c r="N726" s="11">
        <f t="shared" si="254"/>
        <v>18396.189783210666</v>
      </c>
      <c r="O726" s="11">
        <f t="shared" si="255"/>
        <v>18213.27563432667</v>
      </c>
      <c r="P726" s="11">
        <f t="shared" si="251"/>
        <v>182.91414888399595</v>
      </c>
      <c r="Q726" s="11">
        <f t="shared" si="256"/>
        <v>50.195088130063084</v>
      </c>
      <c r="R726" s="11">
        <f t="shared" si="252"/>
        <v>132.71906075393287</v>
      </c>
      <c r="S726" s="9">
        <f t="shared" si="253"/>
        <v>60</v>
      </c>
      <c r="T726" s="14">
        <f t="shared" si="260"/>
        <v>6.5093759072358814E-3</v>
      </c>
      <c r="U726" s="14">
        <f t="shared" si="257"/>
        <v>0</v>
      </c>
      <c r="V726" s="14">
        <f t="shared" si="264"/>
        <v>5.7253586538437151E-3</v>
      </c>
      <c r="W726" s="14">
        <f t="shared" si="265"/>
        <v>1.3557098114699692E-3</v>
      </c>
      <c r="X726" s="16">
        <f t="shared" si="263"/>
        <v>4.2231446622310882</v>
      </c>
    </row>
    <row r="727" spans="1:25" x14ac:dyDescent="0.25">
      <c r="A727" s="10">
        <v>46247</v>
      </c>
      <c r="B727" s="11">
        <v>18819.080000000002</v>
      </c>
      <c r="C727" s="12">
        <f t="shared" si="258"/>
        <v>-3.4315084720004663E-4</v>
      </c>
      <c r="D727" s="11">
        <f t="shared" si="270"/>
        <v>18088.267499999998</v>
      </c>
      <c r="E727" s="11">
        <f t="shared" si="249"/>
        <v>18173.877800000002</v>
      </c>
      <c r="F727" s="11">
        <f t="shared" si="247"/>
        <v>18326.008250000003</v>
      </c>
      <c r="G727" s="12">
        <f t="shared" si="259"/>
        <v>-3.4320973692443822E-4</v>
      </c>
      <c r="H727" s="19">
        <f t="shared" si="266"/>
        <v>0.1241893578104918</v>
      </c>
      <c r="I727" s="11">
        <f t="shared" si="267"/>
        <v>18864.02</v>
      </c>
      <c r="J727" s="11">
        <f t="shared" si="268"/>
        <v>17539.62</v>
      </c>
      <c r="K727" s="12">
        <f>(B727-MAX($B$2:B727))/MAX($B$2:B727)</f>
        <v>-6.9904860750735084E-2</v>
      </c>
      <c r="L727" s="12">
        <f t="shared" si="269"/>
        <v>5.7945293346817861E-2</v>
      </c>
      <c r="M727" s="15">
        <f t="shared" si="261"/>
        <v>82.96100641448146</v>
      </c>
      <c r="N727" s="11">
        <f t="shared" si="254"/>
        <v>18461.249816562871</v>
      </c>
      <c r="O727" s="11">
        <f t="shared" si="255"/>
        <v>18258.150031783953</v>
      </c>
      <c r="P727" s="11">
        <f t="shared" si="251"/>
        <v>203.09978477891855</v>
      </c>
      <c r="Q727" s="11">
        <f t="shared" si="256"/>
        <v>80.776027459834182</v>
      </c>
      <c r="R727" s="11">
        <f t="shared" si="252"/>
        <v>122.32375731908436</v>
      </c>
      <c r="S727" s="9">
        <f t="shared" si="253"/>
        <v>60</v>
      </c>
      <c r="T727" s="14">
        <f t="shared" si="260"/>
        <v>0</v>
      </c>
      <c r="U727" s="14">
        <f t="shared" si="257"/>
        <v>3.4315084720004663E-4</v>
      </c>
      <c r="V727" s="14">
        <f t="shared" si="264"/>
        <v>5.7253586538437151E-3</v>
      </c>
      <c r="W727" s="14">
        <f t="shared" si="265"/>
        <v>1.1759060502502211E-3</v>
      </c>
      <c r="X727" s="16">
        <f t="shared" si="263"/>
        <v>4.8688912287043813</v>
      </c>
      <c r="Y727" s="11">
        <f t="shared" ref="Y727:Y736" si="271">100-(100/(1+X727))</f>
        <v>82.96100641448146</v>
      </c>
    </row>
    <row r="728" spans="1:25" x14ac:dyDescent="0.25">
      <c r="A728" s="10">
        <v>46251</v>
      </c>
      <c r="B728" s="11">
        <v>18834.22</v>
      </c>
      <c r="C728" s="12">
        <f t="shared" si="258"/>
        <v>8.045026643173081E-4</v>
      </c>
      <c r="D728" s="11">
        <f t="shared" si="270"/>
        <v>18140.561999999998</v>
      </c>
      <c r="E728" s="11">
        <f t="shared" si="249"/>
        <v>18179.2942</v>
      </c>
      <c r="F728" s="11">
        <f t="shared" si="247"/>
        <v>18325.357750000003</v>
      </c>
      <c r="G728" s="12">
        <f t="shared" si="259"/>
        <v>8.0417922550882518E-4</v>
      </c>
      <c r="H728" s="19">
        <f t="shared" si="266"/>
        <v>0.12095733182873256</v>
      </c>
      <c r="I728" s="11">
        <f t="shared" si="267"/>
        <v>18864.02</v>
      </c>
      <c r="J728" s="11">
        <f t="shared" si="268"/>
        <v>17539.62</v>
      </c>
      <c r="K728" s="12">
        <f>(B728-MAX($B$2:B728))/MAX($B$2:B728)</f>
        <v>-6.9156596733140521E-2</v>
      </c>
      <c r="L728" s="12">
        <f t="shared" si="269"/>
        <v>7.1414878009514737E-2</v>
      </c>
      <c r="M728" s="15">
        <f t="shared" si="261"/>
        <v>82.320973756090041</v>
      </c>
      <c r="N728" s="11">
        <f t="shared" si="254"/>
        <v>18518.629844783969</v>
      </c>
      <c r="O728" s="11">
        <f t="shared" si="255"/>
        <v>18300.821881281438</v>
      </c>
      <c r="P728" s="11">
        <f t="shared" si="251"/>
        <v>217.80796350253149</v>
      </c>
      <c r="Q728" s="11">
        <f t="shared" si="256"/>
        <v>108.18241466837364</v>
      </c>
      <c r="R728" s="11">
        <f t="shared" si="252"/>
        <v>109.62554883415785</v>
      </c>
      <c r="S728" s="9">
        <f t="shared" si="253"/>
        <v>60</v>
      </c>
      <c r="T728" s="14">
        <f t="shared" si="260"/>
        <v>8.045026643173081E-4</v>
      </c>
      <c r="U728" s="14">
        <f t="shared" si="257"/>
        <v>0</v>
      </c>
      <c r="V728" s="14">
        <f t="shared" si="264"/>
        <v>5.4755126083724237E-3</v>
      </c>
      <c r="W728" s="14">
        <f t="shared" si="265"/>
        <v>1.1759060502502211E-3</v>
      </c>
      <c r="X728" s="16">
        <f t="shared" si="263"/>
        <v>4.6564201342507667</v>
      </c>
      <c r="Y728" s="11">
        <f t="shared" si="271"/>
        <v>82.320973756090041</v>
      </c>
    </row>
    <row r="729" spans="1:25" x14ac:dyDescent="0.25">
      <c r="A729" s="10">
        <v>46252</v>
      </c>
      <c r="B729" s="11">
        <v>18855.3</v>
      </c>
      <c r="C729" s="12">
        <f t="shared" si="258"/>
        <v>1.1192393420060842E-3</v>
      </c>
      <c r="D729" s="11">
        <f t="shared" si="270"/>
        <v>18204.385499999997</v>
      </c>
      <c r="E729" s="11">
        <f t="shared" si="249"/>
        <v>18185.141600000003</v>
      </c>
      <c r="F729" s="11">
        <f t="shared" si="247"/>
        <v>18324.817500000005</v>
      </c>
      <c r="G729" s="12">
        <f t="shared" si="259"/>
        <v>1.1186134606175875E-3</v>
      </c>
      <c r="H729" s="19">
        <f t="shared" si="266"/>
        <v>0.10812810323568035</v>
      </c>
      <c r="I729" s="11">
        <f t="shared" si="267"/>
        <v>18864.02</v>
      </c>
      <c r="J729" s="11">
        <f t="shared" si="268"/>
        <v>17539.62</v>
      </c>
      <c r="K729" s="12">
        <f>(B729-MAX($B$2:B729))/MAX($B$2:B729)</f>
        <v>-6.8114760174957406E-2</v>
      </c>
      <c r="L729" s="12">
        <f t="shared" si="269"/>
        <v>7.501188737270259E-2</v>
      </c>
      <c r="M729" s="15">
        <f t="shared" si="261"/>
        <v>81.027401717106258</v>
      </c>
      <c r="N729" s="11">
        <f t="shared" si="254"/>
        <v>18570.425253278743</v>
      </c>
      <c r="O729" s="11">
        <f t="shared" si="255"/>
        <v>18341.89433451985</v>
      </c>
      <c r="P729" s="11">
        <f t="shared" si="251"/>
        <v>228.53091875889368</v>
      </c>
      <c r="Q729" s="11">
        <f t="shared" si="256"/>
        <v>132.25211548647763</v>
      </c>
      <c r="R729" s="11">
        <f t="shared" si="252"/>
        <v>96.278803272416042</v>
      </c>
      <c r="S729" s="9">
        <f t="shared" si="253"/>
        <v>100</v>
      </c>
      <c r="T729" s="14">
        <f t="shared" si="260"/>
        <v>1.1192393420060842E-3</v>
      </c>
      <c r="U729" s="14">
        <f t="shared" si="257"/>
        <v>0</v>
      </c>
      <c r="V729" s="14">
        <f t="shared" si="264"/>
        <v>5.0220117716353197E-3</v>
      </c>
      <c r="W729" s="14">
        <f t="shared" si="265"/>
        <v>1.1759060502502211E-3</v>
      </c>
      <c r="X729" s="16">
        <f t="shared" si="263"/>
        <v>4.2707593608917023</v>
      </c>
      <c r="Y729" s="11">
        <f t="shared" si="271"/>
        <v>81.027401717106258</v>
      </c>
    </row>
    <row r="730" spans="1:25" x14ac:dyDescent="0.25">
      <c r="A730" s="10">
        <v>46253</v>
      </c>
      <c r="B730" s="11">
        <v>18992.400000000001</v>
      </c>
      <c r="C730" s="12">
        <f t="shared" si="258"/>
        <v>7.271165136593094E-3</v>
      </c>
      <c r="D730" s="11">
        <f t="shared" si="270"/>
        <v>18277.024499999996</v>
      </c>
      <c r="E730" s="11">
        <f t="shared" si="249"/>
        <v>18194.609000000004</v>
      </c>
      <c r="F730" s="11">
        <f t="shared" si="247"/>
        <v>18325.123750000002</v>
      </c>
      <c r="G730" s="12">
        <f t="shared" si="259"/>
        <v>7.2448576623917052E-3</v>
      </c>
      <c r="H730" s="19">
        <f t="shared" si="266"/>
        <v>0.1066815355867662</v>
      </c>
      <c r="I730" s="11">
        <f t="shared" si="267"/>
        <v>18992.400000000001</v>
      </c>
      <c r="J730" s="11">
        <f t="shared" si="268"/>
        <v>17667.099999999999</v>
      </c>
      <c r="K730" s="12">
        <f>(B730-MAX($B$2:B730))/MAX($B$2:B730)</f>
        <v>-6.133886870783594E-2</v>
      </c>
      <c r="L730" s="12">
        <f t="shared" si="269"/>
        <v>7.4396668716379954E-2</v>
      </c>
      <c r="M730" s="15">
        <f t="shared" si="261"/>
        <v>86.346662697301412</v>
      </c>
      <c r="N730" s="11">
        <f t="shared" si="254"/>
        <v>18635.344445082013</v>
      </c>
      <c r="O730" s="11">
        <f t="shared" si="255"/>
        <v>18390.079939370229</v>
      </c>
      <c r="P730" s="11">
        <f t="shared" si="251"/>
        <v>245.2645057117843</v>
      </c>
      <c r="Q730" s="11">
        <f t="shared" si="256"/>
        <v>154.85459353153897</v>
      </c>
      <c r="R730" s="11">
        <f t="shared" si="252"/>
        <v>90.409912180245328</v>
      </c>
      <c r="S730" s="9">
        <f t="shared" si="253"/>
        <v>100</v>
      </c>
      <c r="T730" s="14">
        <f t="shared" si="260"/>
        <v>7.271165136593094E-3</v>
      </c>
      <c r="U730" s="14">
        <f t="shared" si="257"/>
        <v>0</v>
      </c>
      <c r="V730" s="14">
        <f t="shared" si="264"/>
        <v>5.5413807099633982E-3</v>
      </c>
      <c r="W730" s="14">
        <f t="shared" si="265"/>
        <v>8.762161453885832E-4</v>
      </c>
      <c r="X730" s="16">
        <f t="shared" si="263"/>
        <v>6.3242166206671691</v>
      </c>
      <c r="Y730" s="11">
        <f t="shared" si="271"/>
        <v>86.346662697301412</v>
      </c>
    </row>
    <row r="731" spans="1:25" x14ac:dyDescent="0.25">
      <c r="A731" s="10">
        <v>46258</v>
      </c>
      <c r="B731" s="11">
        <v>19124.18</v>
      </c>
      <c r="C731" s="12">
        <f t="shared" si="258"/>
        <v>6.9385648996440619E-3</v>
      </c>
      <c r="D731" s="11">
        <f t="shared" si="270"/>
        <v>18349.370000000003</v>
      </c>
      <c r="E731" s="11">
        <f t="shared" si="249"/>
        <v>18204.509800000003</v>
      </c>
      <c r="F731" s="11">
        <f t="shared" si="247"/>
        <v>18326.416312500001</v>
      </c>
      <c r="G731" s="12">
        <f t="shared" si="259"/>
        <v>6.9146038313112239E-3</v>
      </c>
      <c r="H731" s="19">
        <f t="shared" si="266"/>
        <v>0.10629818018163045</v>
      </c>
      <c r="I731" s="11">
        <f t="shared" si="267"/>
        <v>19124.18</v>
      </c>
      <c r="J731" s="11">
        <f t="shared" si="268"/>
        <v>17667.099999999999</v>
      </c>
      <c r="K731" s="12">
        <f>(B731-MAX($B$2:B731))/MAX($B$2:B731)</f>
        <v>-5.4825907529592002E-2</v>
      </c>
      <c r="L731" s="12">
        <f t="shared" si="269"/>
        <v>7.9377890458059763E-2</v>
      </c>
      <c r="M731" s="15">
        <f t="shared" si="261"/>
        <v>90.522718834201754</v>
      </c>
      <c r="N731" s="11">
        <f t="shared" si="254"/>
        <v>18710.549915069398</v>
      </c>
      <c r="O731" s="11">
        <f t="shared" si="255"/>
        <v>18444.457721639101</v>
      </c>
      <c r="P731" s="11">
        <f t="shared" si="251"/>
        <v>266.0921934302969</v>
      </c>
      <c r="Q731" s="11">
        <f t="shared" si="256"/>
        <v>177.10211351129055</v>
      </c>
      <c r="R731" s="11">
        <f t="shared" si="252"/>
        <v>88.990079919006348</v>
      </c>
      <c r="S731" s="9">
        <f t="shared" si="253"/>
        <v>100</v>
      </c>
      <c r="T731" s="14">
        <f t="shared" si="260"/>
        <v>6.9385648996440619E-3</v>
      </c>
      <c r="U731" s="14">
        <f t="shared" si="257"/>
        <v>0</v>
      </c>
      <c r="V731" s="14">
        <f t="shared" si="264"/>
        <v>6.0369924885094028E-3</v>
      </c>
      <c r="W731" s="14">
        <f t="shared" si="265"/>
        <v>6.3204326986916152E-4</v>
      </c>
      <c r="X731" s="16">
        <f t="shared" si="263"/>
        <v>9.5515493579404982</v>
      </c>
      <c r="Y731" s="11">
        <f t="shared" si="271"/>
        <v>90.522718834201754</v>
      </c>
    </row>
    <row r="732" spans="1:25" x14ac:dyDescent="0.25">
      <c r="A732" s="10">
        <v>46261</v>
      </c>
      <c r="B732" s="11">
        <v>19046.919999999998</v>
      </c>
      <c r="C732" s="12">
        <f t="shared" si="258"/>
        <v>-4.0399117766095616E-3</v>
      </c>
      <c r="D732" s="11">
        <f t="shared" si="270"/>
        <v>18415.826999999997</v>
      </c>
      <c r="E732" s="11">
        <f t="shared" si="249"/>
        <v>18215.335600000002</v>
      </c>
      <c r="F732" s="11">
        <f t="shared" si="247"/>
        <v>18327.077312500005</v>
      </c>
      <c r="G732" s="12">
        <f t="shared" si="259"/>
        <v>-4.0480942653144973E-3</v>
      </c>
      <c r="H732" s="19">
        <f t="shared" si="266"/>
        <v>0.10991713642173571</v>
      </c>
      <c r="I732" s="11">
        <f t="shared" si="267"/>
        <v>19124.18</v>
      </c>
      <c r="J732" s="11">
        <f t="shared" si="268"/>
        <v>17667.099999999999</v>
      </c>
      <c r="K732" s="12">
        <f>(B732-MAX($B$2:B732))/MAX($B$2:B732)</f>
        <v>-5.8644327476709501E-2</v>
      </c>
      <c r="L732" s="12">
        <f t="shared" si="269"/>
        <v>7.8101103180487907E-2</v>
      </c>
      <c r="M732" s="15">
        <f t="shared" si="261"/>
        <v>85.921546895100107</v>
      </c>
      <c r="N732" s="11">
        <f t="shared" si="254"/>
        <v>18762.299158904876</v>
      </c>
      <c r="O732" s="11">
        <f t="shared" si="255"/>
        <v>18489.084557073242</v>
      </c>
      <c r="P732" s="11">
        <f t="shared" si="251"/>
        <v>273.21460183163435</v>
      </c>
      <c r="Q732" s="11">
        <f t="shared" si="256"/>
        <v>196.32461117535934</v>
      </c>
      <c r="R732" s="11">
        <f t="shared" si="252"/>
        <v>76.889990656275017</v>
      </c>
      <c r="S732" s="9">
        <f t="shared" si="253"/>
        <v>100</v>
      </c>
      <c r="T732" s="14">
        <f t="shared" si="260"/>
        <v>0</v>
      </c>
      <c r="U732" s="14">
        <f t="shared" si="257"/>
        <v>4.0399117766095616E-3</v>
      </c>
      <c r="V732" s="14">
        <f t="shared" si="264"/>
        <v>5.618521931756334E-3</v>
      </c>
      <c r="W732" s="14">
        <f t="shared" si="265"/>
        <v>9.2060839676984447E-4</v>
      </c>
      <c r="X732" s="16">
        <f t="shared" si="263"/>
        <v>6.1030531021334857</v>
      </c>
      <c r="Y732" s="11">
        <f t="shared" si="271"/>
        <v>85.921546895100107</v>
      </c>
    </row>
    <row r="733" spans="1:25" x14ac:dyDescent="0.25">
      <c r="A733" s="10">
        <v>46262</v>
      </c>
      <c r="B733" s="11">
        <v>18931.060000000001</v>
      </c>
      <c r="C733" s="12">
        <f t="shared" si="258"/>
        <v>-6.0828732414478504E-3</v>
      </c>
      <c r="D733" s="11">
        <f t="shared" si="270"/>
        <v>18479.025000000001</v>
      </c>
      <c r="E733" s="11">
        <f t="shared" si="249"/>
        <v>18231.105800000005</v>
      </c>
      <c r="F733" s="11">
        <f t="shared" si="247"/>
        <v>18329.920250000003</v>
      </c>
      <c r="G733" s="12">
        <f t="shared" si="259"/>
        <v>-6.1014492836668896E-3</v>
      </c>
      <c r="H733" s="19">
        <f t="shared" si="266"/>
        <v>0.113005809871724</v>
      </c>
      <c r="I733" s="11">
        <f t="shared" si="267"/>
        <v>19124.18</v>
      </c>
      <c r="J733" s="11">
        <f t="shared" si="268"/>
        <v>17739.77</v>
      </c>
      <c r="K733" s="12">
        <f>(B733-MAX($B$2:B733))/MAX($B$2:B733)</f>
        <v>-6.4370474707786521E-2</v>
      </c>
      <c r="L733" s="12">
        <f t="shared" si="269"/>
        <v>6.6952749546161927E-2</v>
      </c>
      <c r="M733" s="15">
        <f t="shared" si="261"/>
        <v>80.198226712847713</v>
      </c>
      <c r="N733" s="11">
        <f t="shared" si="254"/>
        <v>18788.262365227205</v>
      </c>
      <c r="O733" s="11">
        <f t="shared" si="255"/>
        <v>18521.823478771523</v>
      </c>
      <c r="P733" s="11">
        <f t="shared" si="251"/>
        <v>266.43888645568222</v>
      </c>
      <c r="Q733" s="11">
        <f t="shared" si="256"/>
        <v>210.34746623142394</v>
      </c>
      <c r="R733" s="11">
        <f t="shared" si="252"/>
        <v>56.091420224258286</v>
      </c>
      <c r="S733" s="9">
        <f t="shared" si="253"/>
        <v>100</v>
      </c>
      <c r="T733" s="14">
        <f t="shared" si="260"/>
        <v>0</v>
      </c>
      <c r="U733" s="14">
        <f t="shared" si="257"/>
        <v>6.0828732414478504E-3</v>
      </c>
      <c r="V733" s="14">
        <f t="shared" si="264"/>
        <v>5.488223843355392E-3</v>
      </c>
      <c r="W733" s="14">
        <f t="shared" si="265"/>
        <v>1.3550993425875482E-3</v>
      </c>
      <c r="X733" s="16">
        <f t="shared" si="263"/>
        <v>4.0500527679953597</v>
      </c>
      <c r="Y733" s="11">
        <f t="shared" si="271"/>
        <v>80.198226712847713</v>
      </c>
    </row>
    <row r="734" spans="1:25" x14ac:dyDescent="0.25">
      <c r="A734" s="10">
        <v>46265</v>
      </c>
      <c r="B734" s="11">
        <v>18652.72</v>
      </c>
      <c r="C734" s="12">
        <f t="shared" si="258"/>
        <v>-1.4702821712043623E-2</v>
      </c>
      <c r="D734" s="11">
        <f t="shared" si="270"/>
        <v>18524.505499999999</v>
      </c>
      <c r="E734" s="11">
        <f t="shared" si="249"/>
        <v>18251.685600000004</v>
      </c>
      <c r="F734" s="11">
        <f t="shared" si="247"/>
        <v>18331.584187500008</v>
      </c>
      <c r="G734" s="12">
        <f t="shared" si="259"/>
        <v>-1.4811979467860269E-2</v>
      </c>
      <c r="H734" s="19">
        <f t="shared" si="266"/>
        <v>0.13017150207915065</v>
      </c>
      <c r="I734" s="11">
        <f t="shared" si="267"/>
        <v>19124.18</v>
      </c>
      <c r="J734" s="11">
        <f t="shared" si="268"/>
        <v>17739.77</v>
      </c>
      <c r="K734" s="12">
        <f>(B734-MAX($B$2:B734))/MAX($B$2:B734)</f>
        <v>-7.8126868806681932E-2</v>
      </c>
      <c r="L734" s="12">
        <f t="shared" si="269"/>
        <v>4.347261801269009E-2</v>
      </c>
      <c r="M734" s="15">
        <f t="shared" si="261"/>
        <v>66.339489930879665</v>
      </c>
      <c r="N734" s="11">
        <f t="shared" si="254"/>
        <v>18767.40969365379</v>
      </c>
      <c r="O734" s="11">
        <f t="shared" si="255"/>
        <v>18531.519517381043</v>
      </c>
      <c r="P734" s="11">
        <f t="shared" si="251"/>
        <v>235.89017627274734</v>
      </c>
      <c r="Q734" s="11">
        <f t="shared" si="256"/>
        <v>215.45600823968863</v>
      </c>
      <c r="R734" s="11">
        <f t="shared" si="252"/>
        <v>20.434168033058711</v>
      </c>
      <c r="S734" s="9">
        <f t="shared" si="253"/>
        <v>100</v>
      </c>
      <c r="T734" s="14">
        <f t="shared" si="260"/>
        <v>0</v>
      </c>
      <c r="U734" s="14">
        <f t="shared" si="257"/>
        <v>1.4702821712043623E-2</v>
      </c>
      <c r="V734" s="14">
        <f t="shared" si="264"/>
        <v>4.7404639464450849E-3</v>
      </c>
      <c r="W734" s="14">
        <f t="shared" si="265"/>
        <v>2.405300893447807E-3</v>
      </c>
      <c r="X734" s="16">
        <f t="shared" si="263"/>
        <v>1.9708403049940284</v>
      </c>
      <c r="Y734" s="11">
        <f t="shared" si="271"/>
        <v>66.339489930879665</v>
      </c>
    </row>
    <row r="735" spans="1:25" x14ac:dyDescent="0.25">
      <c r="A735" s="10">
        <v>46266</v>
      </c>
      <c r="B735" s="11">
        <v>18581.560000000001</v>
      </c>
      <c r="C735" s="12">
        <f t="shared" si="258"/>
        <v>-3.8149932020637989E-3</v>
      </c>
      <c r="D735" s="11">
        <f t="shared" si="270"/>
        <v>18559.802499999998</v>
      </c>
      <c r="E735" s="11">
        <f t="shared" si="249"/>
        <v>18264.269400000005</v>
      </c>
      <c r="F735" s="11">
        <f t="shared" si="247"/>
        <v>18331.126812500006</v>
      </c>
      <c r="G735" s="12">
        <f t="shared" si="259"/>
        <v>-3.8222888497716741E-3</v>
      </c>
      <c r="H735" s="19">
        <f t="shared" si="266"/>
        <v>0.13064008045729331</v>
      </c>
      <c r="I735" s="11">
        <f t="shared" si="267"/>
        <v>19124.18</v>
      </c>
      <c r="J735" s="11">
        <f t="shared" si="268"/>
        <v>17739.77</v>
      </c>
      <c r="K735" s="12">
        <f>(B735-MAX($B$2:B735))/MAX($B$2:B735)</f>
        <v>-8.1643808535349721E-2</v>
      </c>
      <c r="L735" s="12">
        <f t="shared" si="269"/>
        <v>4.3871505599243354E-2</v>
      </c>
      <c r="M735" s="15">
        <f t="shared" si="261"/>
        <v>57.925042788088973</v>
      </c>
      <c r="N735" s="11">
        <f t="shared" si="254"/>
        <v>18738.817433091666</v>
      </c>
      <c r="O735" s="11">
        <f t="shared" si="255"/>
        <v>18535.226219797263</v>
      </c>
      <c r="P735" s="11">
        <f t="shared" si="251"/>
        <v>203.59121329440313</v>
      </c>
      <c r="Q735" s="11">
        <f t="shared" si="256"/>
        <v>213.08304925063155</v>
      </c>
      <c r="R735" s="11">
        <f t="shared" si="252"/>
        <v>-9.4918359562284138</v>
      </c>
      <c r="S735" s="9">
        <f t="shared" si="253"/>
        <v>60</v>
      </c>
      <c r="T735" s="14">
        <f t="shared" si="260"/>
        <v>0</v>
      </c>
      <c r="U735" s="14">
        <f t="shared" si="257"/>
        <v>3.8149932020637989E-3</v>
      </c>
      <c r="V735" s="14">
        <f t="shared" si="264"/>
        <v>3.6865564098673537E-3</v>
      </c>
      <c r="W735" s="14">
        <f t="shared" si="265"/>
        <v>2.6778004078809353E-3</v>
      </c>
      <c r="X735" s="16">
        <f t="shared" si="263"/>
        <v>1.3767106760524743</v>
      </c>
      <c r="Y735" s="11">
        <f t="shared" si="271"/>
        <v>57.925042788088973</v>
      </c>
    </row>
    <row r="736" spans="1:25" x14ac:dyDescent="0.25">
      <c r="A736" s="10">
        <v>46267</v>
      </c>
      <c r="B736" s="11">
        <v>18517.79</v>
      </c>
      <c r="C736" s="12">
        <f t="shared" si="258"/>
        <v>-3.4318969989602932E-3</v>
      </c>
      <c r="D736" s="11">
        <f t="shared" si="270"/>
        <v>18595.661</v>
      </c>
      <c r="E736" s="11">
        <f t="shared" si="249"/>
        <v>18259.548600000006</v>
      </c>
      <c r="F736" s="11">
        <f t="shared" si="247"/>
        <v>18329.073312500008</v>
      </c>
      <c r="G736" s="12">
        <f t="shared" si="259"/>
        <v>-3.437799465774031E-3</v>
      </c>
      <c r="H736" s="19">
        <f t="shared" si="266"/>
        <v>0.13018964512325401</v>
      </c>
      <c r="I736" s="11">
        <f t="shared" si="267"/>
        <v>19124.18</v>
      </c>
      <c r="J736" s="11">
        <f t="shared" si="268"/>
        <v>17739.77</v>
      </c>
      <c r="K736" s="12">
        <f>(B736-MAX($B$2:B736))/MAX($B$2:B736)</f>
        <v>-8.4795512392813854E-2</v>
      </c>
      <c r="L736" s="12">
        <f t="shared" si="269"/>
        <v>4.3857389357359278E-2</v>
      </c>
      <c r="M736" s="15">
        <f t="shared" si="261"/>
        <v>51.501023004394213</v>
      </c>
      <c r="N736" s="11">
        <f t="shared" si="254"/>
        <v>18704.813212616027</v>
      </c>
      <c r="O736" s="11">
        <f t="shared" si="255"/>
        <v>18533.934647960428</v>
      </c>
      <c r="P736" s="11">
        <f t="shared" si="251"/>
        <v>170.87856465559889</v>
      </c>
      <c r="Q736" s="11">
        <f t="shared" si="256"/>
        <v>204.64215233162503</v>
      </c>
      <c r="R736" s="11">
        <f t="shared" si="252"/>
        <v>-33.763587676026134</v>
      </c>
      <c r="S736" s="9">
        <f t="shared" si="253"/>
        <v>60</v>
      </c>
      <c r="T736" s="14">
        <f t="shared" si="260"/>
        <v>0</v>
      </c>
      <c r="U736" s="14">
        <f t="shared" si="257"/>
        <v>3.4318969989602932E-3</v>
      </c>
      <c r="V736" s="14">
        <f t="shared" si="264"/>
        <v>3.1038631895670766E-3</v>
      </c>
      <c r="W736" s="14">
        <f t="shared" si="265"/>
        <v>2.9229359078066708E-3</v>
      </c>
      <c r="X736" s="16">
        <f t="shared" si="263"/>
        <v>1.0618991614825284</v>
      </c>
      <c r="Y736" s="11">
        <f t="shared" si="271"/>
        <v>51.501023004394213</v>
      </c>
    </row>
    <row r="737" spans="1:25" x14ac:dyDescent="0.25">
      <c r="A737" s="10">
        <v>46268</v>
      </c>
      <c r="B737" s="11">
        <v>18710.310000000001</v>
      </c>
      <c r="C737" s="12">
        <f t="shared" si="258"/>
        <v>1.0396488997877151E-2</v>
      </c>
      <c r="D737" s="11">
        <f t="shared" si="270"/>
        <v>18644.187999999998</v>
      </c>
      <c r="E737" s="11">
        <f t="shared" si="249"/>
        <v>18258.103200000009</v>
      </c>
      <c r="F737" s="11">
        <f t="shared" ref="F737" si="272">AVERAGE(B578:B737)</f>
        <v>18325.960500000008</v>
      </c>
      <c r="G737" s="12">
        <f t="shared" si="259"/>
        <v>1.0342817184564937E-2</v>
      </c>
      <c r="H737" s="19">
        <f t="shared" si="266"/>
        <v>0.1317790578503362</v>
      </c>
      <c r="I737" s="11">
        <f t="shared" si="267"/>
        <v>19124.18</v>
      </c>
      <c r="J737" s="11">
        <f t="shared" si="268"/>
        <v>17843.7</v>
      </c>
      <c r="K737" s="12">
        <f>(B737-MAX($B$2:B737))/MAX($B$2:B737)</f>
        <v>-7.5280599006597906E-2</v>
      </c>
      <c r="L737" s="12">
        <f t="shared" si="269"/>
        <v>4.8566721027589521E-2</v>
      </c>
      <c r="M737" s="15">
        <f t="shared" si="261"/>
        <v>44.671634053166855</v>
      </c>
      <c r="N737" s="11">
        <f t="shared" ref="N737" si="273">(B737*(2/13))+N736*(1-2/13)</f>
        <v>18705.65887221356</v>
      </c>
      <c r="O737" s="11">
        <f t="shared" ref="O737" si="274">(B737*(2/27))+O736*(1-2/27)</f>
        <v>18546.999488852249</v>
      </c>
      <c r="P737" s="11">
        <f t="shared" ref="P737" si="275">N737-O737</f>
        <v>158.65938336131148</v>
      </c>
      <c r="Q737" s="11">
        <f t="shared" ref="Q737" si="276">(P737*(2/10))+Q736*(1-2/10)</f>
        <v>195.44559853756235</v>
      </c>
      <c r="R737" s="11">
        <f t="shared" ref="R737" si="277">P737-Q737</f>
        <v>-36.786215176250863</v>
      </c>
      <c r="S737" s="9">
        <f t="shared" ref="S737" si="278">IF(AND(D737&gt;E737,P737&gt;Q737),100,IF(OR(D737&gt;E737,P737&gt;Q737),60,20))</f>
        <v>60</v>
      </c>
      <c r="T737" s="14">
        <f>MAX(C737,0)</f>
        <v>1.0396488997877151E-2</v>
      </c>
      <c r="U737" s="14">
        <f t="shared" si="257"/>
        <v>0</v>
      </c>
      <c r="V737" s="14">
        <f t="shared" si="264"/>
        <v>2.3599526391195414E-3</v>
      </c>
      <c r="W737" s="14">
        <f t="shared" si="265"/>
        <v>2.9229359078066708E-3</v>
      </c>
      <c r="X737" s="16">
        <f t="shared" si="263"/>
        <v>0.80739116886432727</v>
      </c>
      <c r="Y737" s="11">
        <f>100-(100/(1+X737))</f>
        <v>44.671634053166855</v>
      </c>
    </row>
  </sheetData>
  <mergeCells count="2">
    <mergeCell ref="Y16:AA16"/>
    <mergeCell ref="Y17:AA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CF399-4B1A-4F3C-9AFD-9F4ACF3A66A8}">
  <dimension ref="A1:G735"/>
  <sheetViews>
    <sheetView workbookViewId="0">
      <selection activeCell="C1" sqref="C1:C1048576"/>
    </sheetView>
  </sheetViews>
  <sheetFormatPr baseColWidth="10" defaultRowHeight="15" x14ac:dyDescent="0.25"/>
  <cols>
    <col min="1" max="16384" width="11.42578125" style="4"/>
  </cols>
  <sheetData>
    <row r="1" spans="1:7" x14ac:dyDescent="0.25">
      <c r="A1" s="4" t="s">
        <v>0</v>
      </c>
      <c r="B1" s="4" t="s">
        <v>243</v>
      </c>
      <c r="C1" s="4" t="s">
        <v>1</v>
      </c>
      <c r="D1" s="4" t="s">
        <v>244</v>
      </c>
      <c r="E1" s="4" t="s">
        <v>245</v>
      </c>
      <c r="F1" s="4" t="s">
        <v>246</v>
      </c>
      <c r="G1" s="4" t="s">
        <v>247</v>
      </c>
    </row>
    <row r="2" spans="1:7" x14ac:dyDescent="0.25">
      <c r="A2" s="1">
        <v>46266</v>
      </c>
      <c r="B2" s="4" t="s">
        <v>248</v>
      </c>
      <c r="C2" s="4" t="s">
        <v>249</v>
      </c>
      <c r="D2" s="4" t="s">
        <v>250</v>
      </c>
      <c r="E2" s="4" t="s">
        <v>251</v>
      </c>
      <c r="F2" s="5">
        <v>-3.8E-3</v>
      </c>
      <c r="G2" s="5">
        <v>-1.41E-2</v>
      </c>
    </row>
    <row r="3" spans="1:7" x14ac:dyDescent="0.25">
      <c r="A3" s="1">
        <v>46265</v>
      </c>
      <c r="B3" s="4" t="s">
        <v>248</v>
      </c>
      <c r="C3" s="4" t="s">
        <v>252</v>
      </c>
      <c r="D3" s="4" t="s">
        <v>253</v>
      </c>
      <c r="E3" s="4" t="s">
        <v>252</v>
      </c>
      <c r="F3" s="5">
        <v>-1.47E-2</v>
      </c>
      <c r="G3" s="5">
        <v>-1.03E-2</v>
      </c>
    </row>
    <row r="4" spans="1:7" x14ac:dyDescent="0.25">
      <c r="A4" s="1">
        <v>46262</v>
      </c>
      <c r="B4" s="4" t="s">
        <v>248</v>
      </c>
      <c r="C4" s="4" t="s">
        <v>2</v>
      </c>
      <c r="D4" s="4" t="s">
        <v>254</v>
      </c>
      <c r="E4" s="4" t="s">
        <v>2</v>
      </c>
      <c r="F4" s="5">
        <v>-6.1000000000000004E-3</v>
      </c>
      <c r="G4" s="5">
        <v>4.4999999999999997E-3</v>
      </c>
    </row>
    <row r="5" spans="1:7" x14ac:dyDescent="0.25">
      <c r="A5" s="1">
        <v>46261</v>
      </c>
      <c r="B5" s="4" t="s">
        <v>248</v>
      </c>
      <c r="C5" s="4" t="s">
        <v>3</v>
      </c>
      <c r="D5" s="4" t="s">
        <v>255</v>
      </c>
      <c r="E5" s="4" t="s">
        <v>3</v>
      </c>
      <c r="F5" s="5">
        <v>-4.0000000000000001E-3</v>
      </c>
      <c r="G5" s="5">
        <v>1.06E-2</v>
      </c>
    </row>
    <row r="6" spans="1:7" x14ac:dyDescent="0.25">
      <c r="A6" s="1">
        <v>46258</v>
      </c>
      <c r="B6" s="4" t="s">
        <v>248</v>
      </c>
      <c r="C6" s="4" t="s">
        <v>4</v>
      </c>
      <c r="D6" s="4" t="s">
        <v>256</v>
      </c>
      <c r="E6" s="4" t="s">
        <v>257</v>
      </c>
      <c r="F6" s="5">
        <v>6.8999999999999999E-3</v>
      </c>
      <c r="G6" s="5">
        <v>1.47E-2</v>
      </c>
    </row>
    <row r="7" spans="1:7" x14ac:dyDescent="0.25">
      <c r="A7" s="1">
        <v>46253</v>
      </c>
      <c r="B7" s="4" t="s">
        <v>248</v>
      </c>
      <c r="C7" s="4" t="s">
        <v>5</v>
      </c>
      <c r="D7" s="4" t="s">
        <v>5</v>
      </c>
      <c r="E7" s="4" t="s">
        <v>258</v>
      </c>
      <c r="F7" s="5">
        <v>7.3000000000000001E-3</v>
      </c>
      <c r="G7" s="5">
        <v>7.7000000000000002E-3</v>
      </c>
    </row>
    <row r="8" spans="1:7" x14ac:dyDescent="0.25">
      <c r="A8" s="1">
        <v>46252</v>
      </c>
      <c r="B8" s="4" t="s">
        <v>248</v>
      </c>
      <c r="C8" s="4" t="s">
        <v>6</v>
      </c>
      <c r="D8" s="4" t="s">
        <v>259</v>
      </c>
      <c r="E8" s="4" t="s">
        <v>260</v>
      </c>
      <c r="F8" s="5">
        <v>1.1000000000000001E-3</v>
      </c>
      <c r="G8" s="5">
        <v>5.0000000000000001E-4</v>
      </c>
    </row>
    <row r="9" spans="1:7" x14ac:dyDescent="0.25">
      <c r="A9" s="1">
        <v>46251</v>
      </c>
      <c r="B9" s="4" t="s">
        <v>248</v>
      </c>
      <c r="C9" s="4" t="s">
        <v>7</v>
      </c>
      <c r="D9" s="4" t="s">
        <v>261</v>
      </c>
      <c r="E9" s="4" t="s">
        <v>262</v>
      </c>
      <c r="F9" s="5">
        <v>8.0000000000000004E-4</v>
      </c>
      <c r="G9" s="5">
        <v>-5.9999999999999995E-4</v>
      </c>
    </row>
    <row r="10" spans="1:7" x14ac:dyDescent="0.25">
      <c r="A10" s="1">
        <v>46247</v>
      </c>
      <c r="B10" s="4" t="s">
        <v>248</v>
      </c>
      <c r="C10" s="4" t="s">
        <v>8</v>
      </c>
      <c r="D10" s="4" t="s">
        <v>263</v>
      </c>
      <c r="E10" s="4" t="s">
        <v>264</v>
      </c>
      <c r="F10" s="5">
        <v>-2.9999999999999997E-4</v>
      </c>
      <c r="G10" s="5">
        <v>-1.4E-3</v>
      </c>
    </row>
    <row r="11" spans="1:7" x14ac:dyDescent="0.25">
      <c r="A11" s="1">
        <v>46246</v>
      </c>
      <c r="B11" s="4" t="s">
        <v>248</v>
      </c>
      <c r="C11" s="4" t="s">
        <v>9</v>
      </c>
      <c r="D11" s="4" t="s">
        <v>9</v>
      </c>
      <c r="E11" s="4" t="s">
        <v>265</v>
      </c>
      <c r="F11" s="5">
        <v>6.4999999999999997E-3</v>
      </c>
      <c r="G11" s="5">
        <v>-1.1000000000000001E-3</v>
      </c>
    </row>
    <row r="12" spans="1:7" x14ac:dyDescent="0.25">
      <c r="A12" s="1">
        <v>46245</v>
      </c>
      <c r="B12" s="4" t="s">
        <v>248</v>
      </c>
      <c r="C12" s="4" t="s">
        <v>10</v>
      </c>
      <c r="D12" s="4" t="s">
        <v>266</v>
      </c>
      <c r="E12" s="4" t="s">
        <v>267</v>
      </c>
      <c r="F12" s="5">
        <v>-6.7999999999999996E-3</v>
      </c>
      <c r="G12" s="5">
        <v>-7.6E-3</v>
      </c>
    </row>
    <row r="13" spans="1:7" x14ac:dyDescent="0.25">
      <c r="A13" s="1">
        <v>46244</v>
      </c>
      <c r="B13" s="4" t="s">
        <v>248</v>
      </c>
      <c r="C13" s="4" t="s">
        <v>11</v>
      </c>
      <c r="D13" s="4" t="s">
        <v>268</v>
      </c>
      <c r="E13" s="4" t="s">
        <v>269</v>
      </c>
      <c r="F13" s="5">
        <v>-1.6999999999999999E-3</v>
      </c>
      <c r="G13" s="5">
        <v>-8.0000000000000004E-4</v>
      </c>
    </row>
    <row r="14" spans="1:7" x14ac:dyDescent="0.25">
      <c r="A14" s="1">
        <v>46241</v>
      </c>
      <c r="B14" s="4" t="s">
        <v>248</v>
      </c>
      <c r="C14" s="4" t="s">
        <v>12</v>
      </c>
      <c r="D14" s="4" t="s">
        <v>12</v>
      </c>
      <c r="E14" s="4" t="s">
        <v>270</v>
      </c>
      <c r="F14" s="5">
        <v>2.0799999999999999E-2</v>
      </c>
      <c r="G14" s="5">
        <v>8.9999999999999998E-4</v>
      </c>
    </row>
    <row r="15" spans="1:7" x14ac:dyDescent="0.25">
      <c r="A15" s="1">
        <v>46240</v>
      </c>
      <c r="B15" s="4" t="s">
        <v>248</v>
      </c>
      <c r="C15" s="4" t="s">
        <v>13</v>
      </c>
      <c r="D15" s="4" t="s">
        <v>13</v>
      </c>
      <c r="E15" s="4" t="s">
        <v>271</v>
      </c>
      <c r="F15" s="5">
        <v>8.2000000000000007E-3</v>
      </c>
      <c r="G15" s="5">
        <v>-1.95E-2</v>
      </c>
    </row>
    <row r="16" spans="1:7" x14ac:dyDescent="0.25">
      <c r="A16" s="1">
        <v>46239</v>
      </c>
      <c r="B16" s="4" t="s">
        <v>248</v>
      </c>
      <c r="C16" s="4" t="s">
        <v>14</v>
      </c>
      <c r="D16" s="4" t="s">
        <v>272</v>
      </c>
      <c r="E16" s="4" t="s">
        <v>273</v>
      </c>
      <c r="F16" s="5">
        <v>1.4800000000000001E-2</v>
      </c>
      <c r="G16" s="5">
        <v>-2.7400000000000001E-2</v>
      </c>
    </row>
    <row r="17" spans="1:7" x14ac:dyDescent="0.25">
      <c r="A17" s="1">
        <v>46238</v>
      </c>
      <c r="B17" s="4" t="s">
        <v>248</v>
      </c>
      <c r="C17" s="4" t="s">
        <v>15</v>
      </c>
      <c r="D17" s="4" t="s">
        <v>274</v>
      </c>
      <c r="E17" s="4" t="s">
        <v>275</v>
      </c>
      <c r="F17" s="5">
        <v>1.0500000000000001E-2</v>
      </c>
      <c r="G17" s="5">
        <v>-4.1500000000000002E-2</v>
      </c>
    </row>
    <row r="18" spans="1:7" x14ac:dyDescent="0.25">
      <c r="A18" s="1">
        <v>46237</v>
      </c>
      <c r="B18" s="4" t="s">
        <v>248</v>
      </c>
      <c r="C18" s="4" t="s">
        <v>16</v>
      </c>
      <c r="D18" s="4" t="s">
        <v>276</v>
      </c>
      <c r="E18" s="4" t="s">
        <v>277</v>
      </c>
      <c r="F18" s="5">
        <v>1.8E-3</v>
      </c>
      <c r="G18" s="5">
        <v>-5.1499999999999997E-2</v>
      </c>
    </row>
    <row r="19" spans="1:7" x14ac:dyDescent="0.25">
      <c r="A19" s="1">
        <v>46234</v>
      </c>
      <c r="B19" s="4" t="s">
        <v>248</v>
      </c>
      <c r="C19" s="4" t="s">
        <v>17</v>
      </c>
      <c r="D19" s="4" t="s">
        <v>278</v>
      </c>
      <c r="E19" s="4" t="s">
        <v>279</v>
      </c>
      <c r="F19" s="5">
        <v>5.8999999999999999E-3</v>
      </c>
      <c r="G19" s="5">
        <v>-5.3199999999999997E-2</v>
      </c>
    </row>
    <row r="20" spans="1:7" x14ac:dyDescent="0.25">
      <c r="A20" s="1">
        <v>46232</v>
      </c>
      <c r="B20" s="4" t="s">
        <v>248</v>
      </c>
      <c r="C20" s="4" t="s">
        <v>18</v>
      </c>
      <c r="D20" s="4" t="s">
        <v>280</v>
      </c>
      <c r="E20" s="4" t="s">
        <v>281</v>
      </c>
      <c r="F20" s="5">
        <v>-3.3999999999999998E-3</v>
      </c>
      <c r="G20" s="5">
        <v>-5.8700000000000002E-2</v>
      </c>
    </row>
    <row r="21" spans="1:7" x14ac:dyDescent="0.25">
      <c r="A21" s="1">
        <v>46231</v>
      </c>
      <c r="B21" s="4" t="s">
        <v>248</v>
      </c>
      <c r="C21" s="4" t="s">
        <v>19</v>
      </c>
      <c r="D21" s="4" t="s">
        <v>282</v>
      </c>
      <c r="E21" s="4" t="s">
        <v>283</v>
      </c>
      <c r="F21" s="5">
        <v>-4.1999999999999997E-3</v>
      </c>
      <c r="G21" s="5">
        <v>-5.5500000000000001E-2</v>
      </c>
    </row>
    <row r="22" spans="1:7" x14ac:dyDescent="0.25">
      <c r="A22" s="1">
        <v>46230</v>
      </c>
      <c r="B22" s="4" t="s">
        <v>248</v>
      </c>
      <c r="C22" s="4" t="s">
        <v>20</v>
      </c>
      <c r="D22" s="4" t="s">
        <v>284</v>
      </c>
      <c r="E22" s="4" t="s">
        <v>285</v>
      </c>
      <c r="F22" s="5">
        <v>7.4999999999999997E-3</v>
      </c>
      <c r="G22" s="5">
        <v>-5.1499999999999997E-2</v>
      </c>
    </row>
    <row r="23" spans="1:7" x14ac:dyDescent="0.25">
      <c r="A23" s="1">
        <v>46227</v>
      </c>
      <c r="B23" s="4" t="s">
        <v>248</v>
      </c>
      <c r="C23" s="4" t="s">
        <v>21</v>
      </c>
      <c r="D23" s="4" t="s">
        <v>286</v>
      </c>
      <c r="E23" s="4" t="s">
        <v>287</v>
      </c>
      <c r="F23" s="5">
        <v>4.3E-3</v>
      </c>
      <c r="G23" s="5">
        <v>-5.8500000000000003E-2</v>
      </c>
    </row>
    <row r="24" spans="1:7" x14ac:dyDescent="0.25">
      <c r="A24" s="1">
        <v>46226</v>
      </c>
      <c r="B24" s="4" t="s">
        <v>248</v>
      </c>
      <c r="C24" s="4" t="s">
        <v>22</v>
      </c>
      <c r="D24" s="4" t="s">
        <v>288</v>
      </c>
      <c r="E24" s="4" t="s">
        <v>289</v>
      </c>
      <c r="F24" s="5">
        <v>-2.8999999999999998E-3</v>
      </c>
      <c r="G24" s="5">
        <v>-6.2600000000000003E-2</v>
      </c>
    </row>
    <row r="25" spans="1:7" x14ac:dyDescent="0.25">
      <c r="A25" s="1">
        <v>46225</v>
      </c>
      <c r="B25" s="4" t="s">
        <v>248</v>
      </c>
      <c r="C25" s="4" t="s">
        <v>23</v>
      </c>
      <c r="D25" s="4" t="s">
        <v>290</v>
      </c>
      <c r="E25" s="4" t="s">
        <v>291</v>
      </c>
      <c r="F25" s="5">
        <v>2.3E-3</v>
      </c>
      <c r="G25" s="5">
        <v>-5.9900000000000002E-2</v>
      </c>
    </row>
    <row r="26" spans="1:7" x14ac:dyDescent="0.25">
      <c r="A26" s="1">
        <v>46224</v>
      </c>
      <c r="B26" s="4" t="s">
        <v>248</v>
      </c>
      <c r="C26" s="4" t="s">
        <v>24</v>
      </c>
      <c r="D26" s="4" t="s">
        <v>292</v>
      </c>
      <c r="E26" s="4" t="s">
        <v>293</v>
      </c>
      <c r="F26" s="5">
        <v>7.7999999999999996E-3</v>
      </c>
      <c r="G26" s="5">
        <v>-6.2E-2</v>
      </c>
    </row>
    <row r="27" spans="1:7" x14ac:dyDescent="0.25">
      <c r="A27" s="1">
        <v>46223</v>
      </c>
      <c r="B27" s="4" t="s">
        <v>248</v>
      </c>
      <c r="C27" s="4" t="s">
        <v>25</v>
      </c>
      <c r="D27" s="4" t="s">
        <v>294</v>
      </c>
      <c r="E27" s="4" t="s">
        <v>25</v>
      </c>
      <c r="F27" s="5">
        <v>-2.2000000000000001E-3</v>
      </c>
      <c r="G27" s="5">
        <v>-6.93E-2</v>
      </c>
    </row>
    <row r="28" spans="1:7" x14ac:dyDescent="0.25">
      <c r="A28" s="1">
        <v>46220</v>
      </c>
      <c r="B28" s="4" t="s">
        <v>248</v>
      </c>
      <c r="C28" s="4" t="s">
        <v>26</v>
      </c>
      <c r="D28" s="4" t="s">
        <v>295</v>
      </c>
      <c r="E28" s="4" t="s">
        <v>296</v>
      </c>
      <c r="F28" s="5">
        <v>-1.18E-2</v>
      </c>
      <c r="G28" s="5">
        <v>-6.7299999999999999E-2</v>
      </c>
    </row>
    <row r="29" spans="1:7" x14ac:dyDescent="0.25">
      <c r="A29" s="1">
        <v>46219</v>
      </c>
      <c r="B29" s="4" t="s">
        <v>248</v>
      </c>
      <c r="C29" s="4" t="s">
        <v>27</v>
      </c>
      <c r="D29" s="4" t="s">
        <v>297</v>
      </c>
      <c r="E29" s="4" t="s">
        <v>298</v>
      </c>
      <c r="F29" s="5">
        <v>-5.1999999999999998E-3</v>
      </c>
      <c r="G29" s="5">
        <v>-5.6099999999999997E-2</v>
      </c>
    </row>
    <row r="30" spans="1:7" x14ac:dyDescent="0.25">
      <c r="A30" s="1">
        <v>46218</v>
      </c>
      <c r="B30" s="4" t="s">
        <v>248</v>
      </c>
      <c r="C30" s="4" t="s">
        <v>28</v>
      </c>
      <c r="D30" s="4" t="s">
        <v>299</v>
      </c>
      <c r="E30" s="4" t="s">
        <v>300</v>
      </c>
      <c r="F30" s="5">
        <v>3.8E-3</v>
      </c>
      <c r="G30" s="5">
        <v>-5.1200000000000002E-2</v>
      </c>
    </row>
    <row r="31" spans="1:7" x14ac:dyDescent="0.25">
      <c r="A31" s="1">
        <v>46217</v>
      </c>
      <c r="B31" s="4" t="s">
        <v>248</v>
      </c>
      <c r="C31" s="4" t="s">
        <v>29</v>
      </c>
      <c r="D31" s="4" t="s">
        <v>301</v>
      </c>
      <c r="E31" s="4" t="s">
        <v>302</v>
      </c>
      <c r="F31" s="5">
        <v>-1.8E-3</v>
      </c>
      <c r="G31" s="5">
        <v>-5.4800000000000001E-2</v>
      </c>
    </row>
    <row r="32" spans="1:7" x14ac:dyDescent="0.25">
      <c r="A32" s="1">
        <v>46216</v>
      </c>
      <c r="B32" s="4" t="s">
        <v>248</v>
      </c>
      <c r="C32" s="4" t="s">
        <v>30</v>
      </c>
      <c r="D32" s="4" t="s">
        <v>303</v>
      </c>
      <c r="E32" s="4" t="s">
        <v>304</v>
      </c>
      <c r="F32" s="5">
        <v>-7.7999999999999996E-3</v>
      </c>
      <c r="G32" s="5">
        <v>-5.2999999999999999E-2</v>
      </c>
    </row>
    <row r="33" spans="1:7" x14ac:dyDescent="0.25">
      <c r="A33" s="1">
        <v>46213</v>
      </c>
      <c r="B33" s="4" t="s">
        <v>248</v>
      </c>
      <c r="C33" s="4" t="s">
        <v>31</v>
      </c>
      <c r="D33" s="4" t="s">
        <v>305</v>
      </c>
      <c r="E33" s="4" t="s">
        <v>306</v>
      </c>
      <c r="F33" s="5">
        <v>3.7000000000000002E-3</v>
      </c>
      <c r="G33" s="5">
        <v>-4.5600000000000002E-2</v>
      </c>
    </row>
    <row r="34" spans="1:7" x14ac:dyDescent="0.25">
      <c r="A34" s="1">
        <v>46212</v>
      </c>
      <c r="B34" s="4" t="s">
        <v>248</v>
      </c>
      <c r="C34" s="4" t="s">
        <v>32</v>
      </c>
      <c r="D34" s="4" t="s">
        <v>307</v>
      </c>
      <c r="E34" s="4" t="s">
        <v>308</v>
      </c>
      <c r="F34" s="5">
        <v>-7.4999999999999997E-3</v>
      </c>
      <c r="G34" s="5">
        <v>-4.9099999999999998E-2</v>
      </c>
    </row>
    <row r="35" spans="1:7" x14ac:dyDescent="0.25">
      <c r="A35" s="1">
        <v>46211</v>
      </c>
      <c r="B35" s="4" t="s">
        <v>248</v>
      </c>
      <c r="C35" s="4" t="s">
        <v>33</v>
      </c>
      <c r="D35" s="4" t="s">
        <v>309</v>
      </c>
      <c r="E35" s="4" t="s">
        <v>310</v>
      </c>
      <c r="F35" s="5">
        <v>-9.2999999999999992E-3</v>
      </c>
      <c r="G35" s="5">
        <v>-4.2000000000000003E-2</v>
      </c>
    </row>
    <row r="36" spans="1:7" x14ac:dyDescent="0.25">
      <c r="A36" s="1">
        <v>46210</v>
      </c>
      <c r="B36" s="4" t="s">
        <v>248</v>
      </c>
      <c r="C36" s="4" t="s">
        <v>34</v>
      </c>
      <c r="D36" s="4" t="s">
        <v>311</v>
      </c>
      <c r="E36" s="4" t="s">
        <v>312</v>
      </c>
      <c r="F36" s="5">
        <v>-9.5999999999999992E-3</v>
      </c>
      <c r="G36" s="5">
        <v>-3.3000000000000002E-2</v>
      </c>
    </row>
    <row r="37" spans="1:7" x14ac:dyDescent="0.25">
      <c r="A37" s="1">
        <v>46209</v>
      </c>
      <c r="B37" s="4" t="s">
        <v>248</v>
      </c>
      <c r="C37" s="4" t="s">
        <v>35</v>
      </c>
      <c r="D37" s="4" t="s">
        <v>313</v>
      </c>
      <c r="E37" s="4" t="s">
        <v>314</v>
      </c>
      <c r="F37" s="5">
        <v>-4.0000000000000001E-3</v>
      </c>
      <c r="G37" s="5">
        <v>-2.3699999999999999E-2</v>
      </c>
    </row>
    <row r="38" spans="1:7" x14ac:dyDescent="0.25">
      <c r="A38" s="1">
        <v>46206</v>
      </c>
      <c r="B38" s="4" t="s">
        <v>248</v>
      </c>
      <c r="C38" s="4" t="s">
        <v>36</v>
      </c>
      <c r="D38" s="4" t="s">
        <v>315</v>
      </c>
      <c r="E38" s="4" t="s">
        <v>316</v>
      </c>
      <c r="F38" s="5">
        <v>9.5999999999999992E-3</v>
      </c>
      <c r="G38" s="5">
        <v>-1.9699999999999999E-2</v>
      </c>
    </row>
    <row r="39" spans="1:7" x14ac:dyDescent="0.25">
      <c r="A39" s="1">
        <v>46205</v>
      </c>
      <c r="B39" s="4" t="s">
        <v>248</v>
      </c>
      <c r="C39" s="4" t="s">
        <v>37</v>
      </c>
      <c r="D39" s="4" t="s">
        <v>317</v>
      </c>
      <c r="E39" s="4" t="s">
        <v>318</v>
      </c>
      <c r="F39" s="5">
        <v>9.7999999999999997E-3</v>
      </c>
      <c r="G39" s="5">
        <v>-2.9100000000000001E-2</v>
      </c>
    </row>
    <row r="40" spans="1:7" x14ac:dyDescent="0.25">
      <c r="A40" s="1">
        <v>46204</v>
      </c>
      <c r="B40" s="4" t="s">
        <v>248</v>
      </c>
      <c r="C40" s="4" t="s">
        <v>38</v>
      </c>
      <c r="D40" s="4" t="s">
        <v>319</v>
      </c>
      <c r="E40" s="4" t="s">
        <v>320</v>
      </c>
      <c r="F40" s="5">
        <v>-5.3E-3</v>
      </c>
      <c r="G40" s="5">
        <v>-3.85E-2</v>
      </c>
    </row>
    <row r="41" spans="1:7" x14ac:dyDescent="0.25">
      <c r="A41" s="1">
        <v>46203</v>
      </c>
      <c r="B41" s="4" t="s">
        <v>248</v>
      </c>
      <c r="C41" s="4" t="s">
        <v>321</v>
      </c>
      <c r="D41" s="4" t="s">
        <v>322</v>
      </c>
      <c r="E41" s="4" t="s">
        <v>323</v>
      </c>
      <c r="F41" s="5">
        <v>9.1000000000000004E-3</v>
      </c>
      <c r="G41" s="5">
        <v>-3.3399999999999999E-2</v>
      </c>
    </row>
    <row r="42" spans="1:7" x14ac:dyDescent="0.25">
      <c r="A42" s="1">
        <v>46202</v>
      </c>
      <c r="B42" s="4" t="s">
        <v>248</v>
      </c>
      <c r="C42" s="4" t="s">
        <v>39</v>
      </c>
      <c r="D42" s="4" t="s">
        <v>324</v>
      </c>
      <c r="E42" s="4" t="s">
        <v>325</v>
      </c>
      <c r="F42" s="5">
        <v>1.6999999999999999E-3</v>
      </c>
      <c r="G42" s="5">
        <v>-4.2099999999999999E-2</v>
      </c>
    </row>
    <row r="43" spans="1:7" x14ac:dyDescent="0.25">
      <c r="A43" s="1">
        <v>46199</v>
      </c>
      <c r="B43" s="4" t="s">
        <v>248</v>
      </c>
      <c r="C43" s="4" t="s">
        <v>40</v>
      </c>
      <c r="D43" s="4" t="s">
        <v>326</v>
      </c>
      <c r="E43" s="4" t="s">
        <v>327</v>
      </c>
      <c r="F43" s="5">
        <v>-1.5E-3</v>
      </c>
      <c r="G43" s="5">
        <v>-4.3700000000000003E-2</v>
      </c>
    </row>
    <row r="44" spans="1:7" x14ac:dyDescent="0.25">
      <c r="A44" s="1">
        <v>46198</v>
      </c>
      <c r="B44" s="4" t="s">
        <v>248</v>
      </c>
      <c r="C44" s="4" t="s">
        <v>41</v>
      </c>
      <c r="D44" s="4" t="s">
        <v>328</v>
      </c>
      <c r="E44" s="4" t="s">
        <v>329</v>
      </c>
      <c r="F44" s="5">
        <v>-2.8E-3</v>
      </c>
      <c r="G44" s="5">
        <v>-4.2299999999999997E-2</v>
      </c>
    </row>
    <row r="45" spans="1:7" x14ac:dyDescent="0.25">
      <c r="A45" s="1">
        <v>46197</v>
      </c>
      <c r="B45" s="4" t="s">
        <v>248</v>
      </c>
      <c r="C45" s="4" t="s">
        <v>42</v>
      </c>
      <c r="D45" s="4" t="s">
        <v>330</v>
      </c>
      <c r="E45" s="4" t="s">
        <v>331</v>
      </c>
      <c r="F45" s="5">
        <v>-1.21E-2</v>
      </c>
      <c r="G45" s="5">
        <v>-3.95E-2</v>
      </c>
    </row>
    <row r="46" spans="1:7" x14ac:dyDescent="0.25">
      <c r="A46" s="1">
        <v>46196</v>
      </c>
      <c r="B46" s="4" t="s">
        <v>248</v>
      </c>
      <c r="C46" s="4" t="s">
        <v>43</v>
      </c>
      <c r="D46" s="4" t="s">
        <v>44</v>
      </c>
      <c r="E46" s="4" t="s">
        <v>332</v>
      </c>
      <c r="F46" s="5">
        <v>-3.8E-3</v>
      </c>
      <c r="G46" s="5">
        <v>-2.7799999999999998E-2</v>
      </c>
    </row>
    <row r="47" spans="1:7" x14ac:dyDescent="0.25">
      <c r="A47" s="1">
        <v>46195</v>
      </c>
      <c r="B47" s="4" t="s">
        <v>248</v>
      </c>
      <c r="C47" s="4" t="s">
        <v>44</v>
      </c>
      <c r="D47" s="4" t="s">
        <v>333</v>
      </c>
      <c r="E47" s="4" t="s">
        <v>334</v>
      </c>
      <c r="F47" s="5">
        <v>2.0999999999999999E-3</v>
      </c>
      <c r="G47" s="5">
        <v>-2.4199999999999999E-2</v>
      </c>
    </row>
    <row r="48" spans="1:7" x14ac:dyDescent="0.25">
      <c r="A48" s="1">
        <v>46192</v>
      </c>
      <c r="B48" s="4" t="s">
        <v>248</v>
      </c>
      <c r="C48" s="4" t="s">
        <v>45</v>
      </c>
      <c r="D48" s="4" t="s">
        <v>335</v>
      </c>
      <c r="E48" s="4" t="s">
        <v>336</v>
      </c>
      <c r="F48" s="5">
        <v>-2.0000000000000001E-4</v>
      </c>
      <c r="G48" s="5">
        <v>-2.6200000000000001E-2</v>
      </c>
    </row>
    <row r="49" spans="1:7" x14ac:dyDescent="0.25">
      <c r="A49" s="1">
        <v>46191</v>
      </c>
      <c r="B49" s="4" t="s">
        <v>248</v>
      </c>
      <c r="C49" s="4" t="s">
        <v>46</v>
      </c>
      <c r="D49" s="4" t="s">
        <v>337</v>
      </c>
      <c r="E49" s="4" t="s">
        <v>46</v>
      </c>
      <c r="F49" s="5">
        <v>-2.2599999999999999E-2</v>
      </c>
      <c r="G49" s="5">
        <v>-2.5899999999999999E-2</v>
      </c>
    </row>
    <row r="50" spans="1:7" x14ac:dyDescent="0.25">
      <c r="A50" s="1">
        <v>46189</v>
      </c>
      <c r="B50" s="4" t="s">
        <v>248</v>
      </c>
      <c r="C50" s="4" t="s">
        <v>47</v>
      </c>
      <c r="D50" s="4" t="s">
        <v>338</v>
      </c>
      <c r="E50" s="4" t="s">
        <v>339</v>
      </c>
      <c r="F50" s="5">
        <v>1.5E-3</v>
      </c>
      <c r="G50" s="5">
        <v>-3.3999999999999998E-3</v>
      </c>
    </row>
    <row r="51" spans="1:7" x14ac:dyDescent="0.25">
      <c r="A51" s="1">
        <v>46188</v>
      </c>
      <c r="B51" s="4" t="s">
        <v>248</v>
      </c>
      <c r="C51" s="4" t="s">
        <v>48</v>
      </c>
      <c r="D51" s="4" t="s">
        <v>48</v>
      </c>
      <c r="E51" s="4" t="s">
        <v>49</v>
      </c>
      <c r="F51" s="5">
        <v>4.4600000000000001E-2</v>
      </c>
      <c r="G51" s="5">
        <v>-4.8999999999999998E-3</v>
      </c>
    </row>
    <row r="52" spans="1:7" x14ac:dyDescent="0.25">
      <c r="A52" s="1">
        <v>46185</v>
      </c>
      <c r="B52" s="4" t="s">
        <v>248</v>
      </c>
      <c r="C52" s="4" t="s">
        <v>49</v>
      </c>
      <c r="D52" s="4" t="s">
        <v>340</v>
      </c>
      <c r="E52" s="4" t="s">
        <v>341</v>
      </c>
      <c r="F52" s="5">
        <v>1.8599999999999998E-2</v>
      </c>
      <c r="G52" s="5">
        <v>-4.7399999999999998E-2</v>
      </c>
    </row>
    <row r="53" spans="1:7" x14ac:dyDescent="0.25">
      <c r="A53" s="1">
        <v>46184</v>
      </c>
      <c r="B53" s="4" t="s">
        <v>248</v>
      </c>
      <c r="C53" s="4" t="s">
        <v>50</v>
      </c>
      <c r="D53" s="4" t="s">
        <v>342</v>
      </c>
      <c r="E53" s="4" t="s">
        <v>343</v>
      </c>
      <c r="F53" s="5">
        <v>-2.86E-2</v>
      </c>
      <c r="G53" s="5">
        <v>-6.4899999999999999E-2</v>
      </c>
    </row>
    <row r="54" spans="1:7" x14ac:dyDescent="0.25">
      <c r="A54" s="1">
        <v>46183</v>
      </c>
      <c r="B54" s="4" t="s">
        <v>248</v>
      </c>
      <c r="C54" s="4" t="s">
        <v>51</v>
      </c>
      <c r="D54" s="4" t="s">
        <v>344</v>
      </c>
      <c r="E54" s="4" t="s">
        <v>345</v>
      </c>
      <c r="F54" s="5">
        <v>-1.9599999999999999E-2</v>
      </c>
      <c r="G54" s="5">
        <v>-3.73E-2</v>
      </c>
    </row>
    <row r="55" spans="1:7" x14ac:dyDescent="0.25">
      <c r="A55" s="1">
        <v>46182</v>
      </c>
      <c r="B55" s="4" t="s">
        <v>248</v>
      </c>
      <c r="C55" s="4" t="s">
        <v>52</v>
      </c>
      <c r="D55" s="4" t="s">
        <v>346</v>
      </c>
      <c r="E55" s="4" t="s">
        <v>52</v>
      </c>
      <c r="F55" s="5">
        <v>-6.6E-3</v>
      </c>
      <c r="G55" s="5">
        <v>-1.8100000000000002E-2</v>
      </c>
    </row>
    <row r="56" spans="1:7" x14ac:dyDescent="0.25">
      <c r="A56" s="1">
        <v>46181</v>
      </c>
      <c r="B56" s="4" t="s">
        <v>248</v>
      </c>
      <c r="C56" s="4" t="s">
        <v>53</v>
      </c>
      <c r="D56" s="4" t="s">
        <v>347</v>
      </c>
      <c r="E56" s="4" t="s">
        <v>348</v>
      </c>
      <c r="F56" s="5">
        <v>5.8999999999999999E-3</v>
      </c>
      <c r="G56" s="5">
        <v>-1.15E-2</v>
      </c>
    </row>
    <row r="57" spans="1:7" x14ac:dyDescent="0.25">
      <c r="A57" s="1">
        <v>46178</v>
      </c>
      <c r="B57" s="4" t="s">
        <v>248</v>
      </c>
      <c r="C57" s="4" t="s">
        <v>54</v>
      </c>
      <c r="D57" s="4" t="s">
        <v>349</v>
      </c>
      <c r="E57" s="4" t="s">
        <v>350</v>
      </c>
      <c r="F57" s="5">
        <v>-2.3999999999999998E-3</v>
      </c>
      <c r="G57" s="5">
        <v>-1.7399999999999999E-2</v>
      </c>
    </row>
    <row r="58" spans="1:7" x14ac:dyDescent="0.25">
      <c r="A58" s="1">
        <v>46177</v>
      </c>
      <c r="B58" s="4" t="s">
        <v>248</v>
      </c>
      <c r="C58" s="4" t="s">
        <v>55</v>
      </c>
      <c r="D58" s="4" t="s">
        <v>351</v>
      </c>
      <c r="E58" s="4" t="s">
        <v>352</v>
      </c>
      <c r="F58" s="5">
        <v>0</v>
      </c>
      <c r="G58" s="5">
        <v>-1.4999999999999999E-2</v>
      </c>
    </row>
    <row r="59" spans="1:7" x14ac:dyDescent="0.25">
      <c r="A59" s="1">
        <v>46176</v>
      </c>
      <c r="B59" s="4" t="s">
        <v>248</v>
      </c>
      <c r="C59" s="4" t="s">
        <v>56</v>
      </c>
      <c r="D59" s="4" t="s">
        <v>353</v>
      </c>
      <c r="E59" s="4" t="s">
        <v>354</v>
      </c>
      <c r="F59" s="5">
        <v>-1.1000000000000001E-3</v>
      </c>
      <c r="G59" s="5">
        <v>-1.4999999999999999E-2</v>
      </c>
    </row>
    <row r="60" spans="1:7" x14ac:dyDescent="0.25">
      <c r="A60" s="1">
        <v>46175</v>
      </c>
      <c r="B60" s="4" t="s">
        <v>248</v>
      </c>
      <c r="C60" s="4" t="s">
        <v>57</v>
      </c>
      <c r="D60" s="4" t="s">
        <v>355</v>
      </c>
      <c r="E60" s="4" t="s">
        <v>356</v>
      </c>
      <c r="F60" s="5">
        <v>-1.7899999999999999E-2</v>
      </c>
      <c r="G60" s="5">
        <v>-1.4E-2</v>
      </c>
    </row>
    <row r="61" spans="1:7" x14ac:dyDescent="0.25">
      <c r="A61" s="1">
        <v>46174</v>
      </c>
      <c r="B61" s="4" t="s">
        <v>248</v>
      </c>
      <c r="C61" s="4" t="s">
        <v>58</v>
      </c>
      <c r="D61" s="4" t="s">
        <v>357</v>
      </c>
      <c r="E61" s="4" t="s">
        <v>358</v>
      </c>
      <c r="F61" s="5">
        <v>2.5000000000000001E-3</v>
      </c>
      <c r="G61" s="5">
        <v>4.0000000000000001E-3</v>
      </c>
    </row>
    <row r="62" spans="1:7" x14ac:dyDescent="0.25">
      <c r="A62" s="1">
        <v>46168</v>
      </c>
      <c r="B62" s="4" t="s">
        <v>248</v>
      </c>
      <c r="C62" s="4" t="s">
        <v>59</v>
      </c>
      <c r="D62" s="4" t="s">
        <v>359</v>
      </c>
      <c r="E62" s="4" t="s">
        <v>360</v>
      </c>
      <c r="F62" s="5">
        <v>2.0000000000000001E-4</v>
      </c>
      <c r="G62" s="5">
        <v>1.5E-3</v>
      </c>
    </row>
    <row r="63" spans="1:7" x14ac:dyDescent="0.25">
      <c r="A63" s="1">
        <v>46167</v>
      </c>
      <c r="B63" s="4" t="s">
        <v>248</v>
      </c>
      <c r="C63" s="4" t="s">
        <v>60</v>
      </c>
      <c r="D63" s="4" t="s">
        <v>361</v>
      </c>
      <c r="E63" s="4" t="s">
        <v>61</v>
      </c>
      <c r="F63" s="5">
        <v>2.7300000000000001E-2</v>
      </c>
      <c r="G63" s="5">
        <v>1.2999999999999999E-3</v>
      </c>
    </row>
    <row r="64" spans="1:7" x14ac:dyDescent="0.25">
      <c r="A64" s="1">
        <v>46164</v>
      </c>
      <c r="B64" s="4" t="s">
        <v>248</v>
      </c>
      <c r="C64" s="4" t="s">
        <v>61</v>
      </c>
      <c r="D64" s="4" t="s">
        <v>362</v>
      </c>
      <c r="E64" s="4" t="s">
        <v>62</v>
      </c>
      <c r="F64" s="5">
        <v>3.5000000000000001E-3</v>
      </c>
      <c r="G64" s="5">
        <v>-2.53E-2</v>
      </c>
    </row>
    <row r="65" spans="1:7" x14ac:dyDescent="0.25">
      <c r="A65" s="1">
        <v>46163</v>
      </c>
      <c r="B65" s="4" t="s">
        <v>248</v>
      </c>
      <c r="C65" s="4" t="s">
        <v>62</v>
      </c>
      <c r="D65" s="4" t="s">
        <v>363</v>
      </c>
      <c r="E65" s="4" t="s">
        <v>364</v>
      </c>
      <c r="F65" s="5">
        <v>1.06E-2</v>
      </c>
      <c r="G65" s="5">
        <v>-2.87E-2</v>
      </c>
    </row>
    <row r="66" spans="1:7" x14ac:dyDescent="0.25">
      <c r="A66" s="1">
        <v>46162</v>
      </c>
      <c r="B66" s="4" t="s">
        <v>248</v>
      </c>
      <c r="C66" s="4" t="s">
        <v>63</v>
      </c>
      <c r="D66" s="4" t="s">
        <v>365</v>
      </c>
      <c r="E66" s="4" t="s">
        <v>366</v>
      </c>
      <c r="F66" s="5">
        <v>-8.3000000000000001E-3</v>
      </c>
      <c r="G66" s="5">
        <v>-3.8899999999999997E-2</v>
      </c>
    </row>
    <row r="67" spans="1:7" x14ac:dyDescent="0.25">
      <c r="A67" s="1">
        <v>46161</v>
      </c>
      <c r="B67" s="4" t="s">
        <v>248</v>
      </c>
      <c r="C67" s="4" t="s">
        <v>64</v>
      </c>
      <c r="D67" s="4" t="s">
        <v>367</v>
      </c>
      <c r="E67" s="4" t="s">
        <v>64</v>
      </c>
      <c r="F67" s="5">
        <v>-0.01</v>
      </c>
      <c r="G67" s="5">
        <v>-3.09E-2</v>
      </c>
    </row>
    <row r="68" spans="1:7" x14ac:dyDescent="0.25">
      <c r="A68" s="1">
        <v>46160</v>
      </c>
      <c r="B68" s="4" t="s">
        <v>248</v>
      </c>
      <c r="C68" s="4" t="s">
        <v>65</v>
      </c>
      <c r="D68" s="4" t="s">
        <v>368</v>
      </c>
      <c r="E68" s="4" t="s">
        <v>369</v>
      </c>
      <c r="F68" s="5">
        <v>1.6000000000000001E-3</v>
      </c>
      <c r="G68" s="5">
        <v>-2.1100000000000001E-2</v>
      </c>
    </row>
    <row r="69" spans="1:7" x14ac:dyDescent="0.25">
      <c r="A69" s="1">
        <v>46157</v>
      </c>
      <c r="B69" s="4" t="s">
        <v>248</v>
      </c>
      <c r="C69" s="4" t="s">
        <v>66</v>
      </c>
      <c r="D69" s="4" t="s">
        <v>370</v>
      </c>
      <c r="E69" s="4" t="s">
        <v>371</v>
      </c>
      <c r="F69" s="5">
        <v>-1.7399999999999999E-2</v>
      </c>
      <c r="G69" s="5">
        <v>-2.2700000000000001E-2</v>
      </c>
    </row>
    <row r="70" spans="1:7" x14ac:dyDescent="0.25">
      <c r="A70" s="1">
        <v>46156</v>
      </c>
      <c r="B70" s="4" t="s">
        <v>248</v>
      </c>
      <c r="C70" s="4" t="s">
        <v>67</v>
      </c>
      <c r="D70" s="4" t="s">
        <v>372</v>
      </c>
      <c r="E70" s="4" t="s">
        <v>67</v>
      </c>
      <c r="F70" s="5">
        <v>-7.7999999999999996E-3</v>
      </c>
      <c r="G70" s="5">
        <v>-5.3E-3</v>
      </c>
    </row>
    <row r="71" spans="1:7" x14ac:dyDescent="0.25">
      <c r="A71" s="1">
        <v>46155</v>
      </c>
      <c r="B71" s="4" t="s">
        <v>248</v>
      </c>
      <c r="C71" s="4" t="s">
        <v>68</v>
      </c>
      <c r="D71" s="4" t="s">
        <v>373</v>
      </c>
      <c r="E71" s="4" t="s">
        <v>69</v>
      </c>
      <c r="F71" s="5">
        <v>6.1999999999999998E-3</v>
      </c>
      <c r="G71" s="5">
        <v>2.5000000000000001E-3</v>
      </c>
    </row>
    <row r="72" spans="1:7" x14ac:dyDescent="0.25">
      <c r="A72" s="1">
        <v>46154</v>
      </c>
      <c r="B72" s="4" t="s">
        <v>248</v>
      </c>
      <c r="C72" s="4" t="s">
        <v>69</v>
      </c>
      <c r="D72" s="4" t="s">
        <v>374</v>
      </c>
      <c r="E72" s="4" t="s">
        <v>375</v>
      </c>
      <c r="F72" s="5">
        <v>-3.8999999999999998E-3</v>
      </c>
      <c r="G72" s="5">
        <v>-3.7000000000000002E-3</v>
      </c>
    </row>
    <row r="73" spans="1:7" x14ac:dyDescent="0.25">
      <c r="A73" s="1">
        <v>46153</v>
      </c>
      <c r="B73" s="4" t="s">
        <v>248</v>
      </c>
      <c r="C73" s="4" t="s">
        <v>70</v>
      </c>
      <c r="D73" s="4" t="s">
        <v>376</v>
      </c>
      <c r="E73" s="4" t="s">
        <v>377</v>
      </c>
      <c r="F73" s="5">
        <v>-5.3E-3</v>
      </c>
      <c r="G73" s="5">
        <v>2.0000000000000001E-4</v>
      </c>
    </row>
    <row r="74" spans="1:7" x14ac:dyDescent="0.25">
      <c r="A74" s="1">
        <v>46150</v>
      </c>
      <c r="B74" s="4" t="s">
        <v>248</v>
      </c>
      <c r="C74" s="4" t="s">
        <v>71</v>
      </c>
      <c r="D74" s="4" t="s">
        <v>378</v>
      </c>
      <c r="E74" s="4" t="s">
        <v>379</v>
      </c>
      <c r="F74" s="5">
        <v>1.6000000000000001E-3</v>
      </c>
      <c r="G74" s="5">
        <v>5.4999999999999997E-3</v>
      </c>
    </row>
    <row r="75" spans="1:7" x14ac:dyDescent="0.25">
      <c r="A75" s="1">
        <v>46149</v>
      </c>
      <c r="B75" s="4" t="s">
        <v>248</v>
      </c>
      <c r="C75" s="4" t="s">
        <v>72</v>
      </c>
      <c r="D75" s="4" t="s">
        <v>380</v>
      </c>
      <c r="E75" s="4" t="s">
        <v>381</v>
      </c>
      <c r="F75" s="5">
        <v>-1E-3</v>
      </c>
      <c r="G75" s="5">
        <v>4.0000000000000001E-3</v>
      </c>
    </row>
    <row r="76" spans="1:7" x14ac:dyDescent="0.25">
      <c r="A76" s="1">
        <v>46148</v>
      </c>
      <c r="B76" s="4" t="s">
        <v>248</v>
      </c>
      <c r="C76" s="4" t="s">
        <v>73</v>
      </c>
      <c r="D76" s="4" t="s">
        <v>382</v>
      </c>
      <c r="E76" s="4" t="s">
        <v>383</v>
      </c>
      <c r="F76" s="5">
        <v>1.66E-2</v>
      </c>
      <c r="G76" s="5">
        <v>5.0000000000000001E-3</v>
      </c>
    </row>
    <row r="77" spans="1:7" x14ac:dyDescent="0.25">
      <c r="A77" s="1">
        <v>46147</v>
      </c>
      <c r="B77" s="4" t="s">
        <v>248</v>
      </c>
      <c r="C77" s="4" t="s">
        <v>74</v>
      </c>
      <c r="D77" s="4" t="s">
        <v>384</v>
      </c>
      <c r="E77" s="4" t="s">
        <v>385</v>
      </c>
      <c r="F77" s="5">
        <v>-3.5000000000000001E-3</v>
      </c>
      <c r="G77" s="5">
        <v>-1.14E-2</v>
      </c>
    </row>
    <row r="78" spans="1:7" x14ac:dyDescent="0.25">
      <c r="A78" s="1">
        <v>46146</v>
      </c>
      <c r="B78" s="4" t="s">
        <v>248</v>
      </c>
      <c r="C78" s="4" t="s">
        <v>75</v>
      </c>
      <c r="D78" s="4" t="s">
        <v>386</v>
      </c>
      <c r="E78" s="4" t="s">
        <v>387</v>
      </c>
      <c r="F78" s="5">
        <v>6.1000000000000004E-3</v>
      </c>
      <c r="G78" s="5">
        <v>-7.9000000000000008E-3</v>
      </c>
    </row>
    <row r="79" spans="1:7" x14ac:dyDescent="0.25">
      <c r="A79" s="1">
        <v>46142</v>
      </c>
      <c r="B79" s="4" t="s">
        <v>248</v>
      </c>
      <c r="C79" s="4" t="s">
        <v>76</v>
      </c>
      <c r="D79" s="4" t="s">
        <v>388</v>
      </c>
      <c r="E79" s="4" t="s">
        <v>389</v>
      </c>
      <c r="F79" s="5">
        <v>-6.1999999999999998E-3</v>
      </c>
      <c r="G79" s="5">
        <v>-1.3899999999999999E-2</v>
      </c>
    </row>
    <row r="80" spans="1:7" x14ac:dyDescent="0.25">
      <c r="A80" s="1">
        <v>46141</v>
      </c>
      <c r="B80" s="4" t="s">
        <v>248</v>
      </c>
      <c r="C80" s="4" t="s">
        <v>77</v>
      </c>
      <c r="D80" s="4" t="s">
        <v>390</v>
      </c>
      <c r="E80" s="4" t="s">
        <v>391</v>
      </c>
      <c r="F80" s="5">
        <v>-8.0000000000000004E-4</v>
      </c>
      <c r="G80" s="5">
        <v>-7.7999999999999996E-3</v>
      </c>
    </row>
    <row r="81" spans="1:7" x14ac:dyDescent="0.25">
      <c r="A81" s="1">
        <v>46140</v>
      </c>
      <c r="B81" s="4" t="s">
        <v>248</v>
      </c>
      <c r="C81" s="4" t="s">
        <v>78</v>
      </c>
      <c r="D81" s="4" t="s">
        <v>392</v>
      </c>
      <c r="E81" s="4" t="s">
        <v>78</v>
      </c>
      <c r="F81" s="5">
        <v>-5.4999999999999997E-3</v>
      </c>
      <c r="G81" s="5">
        <v>-7.0000000000000001E-3</v>
      </c>
    </row>
    <row r="82" spans="1:7" x14ac:dyDescent="0.25">
      <c r="A82" s="1">
        <v>46139</v>
      </c>
      <c r="B82" s="4" t="s">
        <v>248</v>
      </c>
      <c r="C82" s="4" t="s">
        <v>79</v>
      </c>
      <c r="D82" s="4" t="s">
        <v>393</v>
      </c>
      <c r="E82" s="4" t="s">
        <v>394</v>
      </c>
      <c r="F82" s="5">
        <v>2.0000000000000001E-4</v>
      </c>
      <c r="G82" s="5">
        <v>-1.4E-3</v>
      </c>
    </row>
    <row r="83" spans="1:7" x14ac:dyDescent="0.25">
      <c r="A83" s="1">
        <v>46136</v>
      </c>
      <c r="B83" s="4" t="s">
        <v>248</v>
      </c>
      <c r="C83" s="4" t="s">
        <v>80</v>
      </c>
      <c r="D83" s="4" t="s">
        <v>81</v>
      </c>
      <c r="E83" s="4" t="s">
        <v>395</v>
      </c>
      <c r="F83" s="5">
        <v>-1.6899999999999998E-2</v>
      </c>
      <c r="G83" s="5">
        <v>-1.6999999999999999E-3</v>
      </c>
    </row>
    <row r="84" spans="1:7" x14ac:dyDescent="0.25">
      <c r="A84" s="1">
        <v>46135</v>
      </c>
      <c r="B84" s="4" t="s">
        <v>248</v>
      </c>
      <c r="C84" s="4" t="s">
        <v>81</v>
      </c>
      <c r="D84" s="4" t="s">
        <v>396</v>
      </c>
      <c r="E84" s="4" t="s">
        <v>397</v>
      </c>
      <c r="F84" s="5">
        <v>-1E-3</v>
      </c>
      <c r="G84" s="5">
        <v>1.55E-2</v>
      </c>
    </row>
    <row r="85" spans="1:7" x14ac:dyDescent="0.25">
      <c r="A85" s="1">
        <v>46134</v>
      </c>
      <c r="B85" s="4" t="s">
        <v>248</v>
      </c>
      <c r="C85" s="4" t="s">
        <v>82</v>
      </c>
      <c r="D85" s="4" t="s">
        <v>398</v>
      </c>
      <c r="E85" s="4" t="s">
        <v>399</v>
      </c>
      <c r="F85" s="5">
        <v>-1E-4</v>
      </c>
      <c r="G85" s="5">
        <v>1.66E-2</v>
      </c>
    </row>
    <row r="86" spans="1:7" x14ac:dyDescent="0.25">
      <c r="A86" s="1">
        <v>46133</v>
      </c>
      <c r="B86" s="4" t="s">
        <v>248</v>
      </c>
      <c r="C86" s="4" t="s">
        <v>83</v>
      </c>
      <c r="D86" s="4" t="s">
        <v>400</v>
      </c>
      <c r="E86" s="4" t="s">
        <v>401</v>
      </c>
      <c r="F86" s="5">
        <v>6.3E-3</v>
      </c>
      <c r="G86" s="5">
        <v>1.66E-2</v>
      </c>
    </row>
    <row r="87" spans="1:7" x14ac:dyDescent="0.25">
      <c r="A87" s="1">
        <v>46132</v>
      </c>
      <c r="B87" s="4" t="s">
        <v>248</v>
      </c>
      <c r="C87" s="4" t="s">
        <v>84</v>
      </c>
      <c r="D87" s="4" t="s">
        <v>85</v>
      </c>
      <c r="E87" s="4" t="s">
        <v>402</v>
      </c>
      <c r="F87" s="5">
        <v>-1.03E-2</v>
      </c>
      <c r="G87" s="5">
        <v>1.03E-2</v>
      </c>
    </row>
    <row r="88" spans="1:7" x14ac:dyDescent="0.25">
      <c r="A88" s="1">
        <v>46129</v>
      </c>
      <c r="B88" s="4" t="s">
        <v>248</v>
      </c>
      <c r="C88" s="4" t="s">
        <v>85</v>
      </c>
      <c r="D88" s="4" t="s">
        <v>403</v>
      </c>
      <c r="E88" s="4" t="s">
        <v>404</v>
      </c>
      <c r="F88" s="5">
        <v>2.6599999999999999E-2</v>
      </c>
      <c r="G88" s="5">
        <v>2.0799999999999999E-2</v>
      </c>
    </row>
    <row r="89" spans="1:7" x14ac:dyDescent="0.25">
      <c r="A89" s="1">
        <v>46128</v>
      </c>
      <c r="B89" s="4" t="s">
        <v>248</v>
      </c>
      <c r="C89" s="4" t="s">
        <v>86</v>
      </c>
      <c r="D89" s="4" t="s">
        <v>405</v>
      </c>
      <c r="E89" s="4" t="s">
        <v>406</v>
      </c>
      <c r="F89" s="5">
        <v>-2.0000000000000001E-4</v>
      </c>
      <c r="G89" s="5">
        <v>-5.7000000000000002E-3</v>
      </c>
    </row>
    <row r="90" spans="1:7" x14ac:dyDescent="0.25">
      <c r="A90" s="1">
        <v>46127</v>
      </c>
      <c r="B90" s="4" t="s">
        <v>248</v>
      </c>
      <c r="C90" s="4" t="s">
        <v>87</v>
      </c>
      <c r="D90" s="4" t="s">
        <v>407</v>
      </c>
      <c r="E90" s="4" t="s">
        <v>408</v>
      </c>
      <c r="F90" s="5">
        <v>-5.0000000000000001E-4</v>
      </c>
      <c r="G90" s="5">
        <v>-5.4000000000000003E-3</v>
      </c>
    </row>
    <row r="91" spans="1:7" x14ac:dyDescent="0.25">
      <c r="A91" s="1">
        <v>46126</v>
      </c>
      <c r="B91" s="4" t="s">
        <v>248</v>
      </c>
      <c r="C91" s="4" t="s">
        <v>88</v>
      </c>
      <c r="D91" s="4" t="s">
        <v>409</v>
      </c>
      <c r="E91" s="4" t="s">
        <v>89</v>
      </c>
      <c r="F91" s="5">
        <v>2.2200000000000001E-2</v>
      </c>
      <c r="G91" s="5">
        <v>-4.8999999999999998E-3</v>
      </c>
    </row>
    <row r="92" spans="1:7" x14ac:dyDescent="0.25">
      <c r="A92" s="1">
        <v>46125</v>
      </c>
      <c r="B92" s="4" t="s">
        <v>248</v>
      </c>
      <c r="C92" s="4" t="s">
        <v>89</v>
      </c>
      <c r="D92" s="4" t="s">
        <v>410</v>
      </c>
      <c r="E92" s="4" t="s">
        <v>411</v>
      </c>
      <c r="F92" s="5">
        <v>-5.4000000000000003E-3</v>
      </c>
      <c r="G92" s="5">
        <v>-2.6499999999999999E-2</v>
      </c>
    </row>
    <row r="93" spans="1:7" x14ac:dyDescent="0.25">
      <c r="A93" s="1">
        <v>46122</v>
      </c>
      <c r="B93" s="4" t="s">
        <v>248</v>
      </c>
      <c r="C93" s="4" t="s">
        <v>90</v>
      </c>
      <c r="D93" s="4" t="s">
        <v>412</v>
      </c>
      <c r="E93" s="4" t="s">
        <v>91</v>
      </c>
      <c r="F93" s="5">
        <v>2.1299999999999999E-2</v>
      </c>
      <c r="G93" s="5">
        <v>-2.12E-2</v>
      </c>
    </row>
    <row r="94" spans="1:7" x14ac:dyDescent="0.25">
      <c r="A94" s="1">
        <v>46121</v>
      </c>
      <c r="B94" s="4" t="s">
        <v>248</v>
      </c>
      <c r="C94" s="4" t="s">
        <v>91</v>
      </c>
      <c r="D94" s="4" t="s">
        <v>413</v>
      </c>
      <c r="E94" s="4" t="s">
        <v>414</v>
      </c>
      <c r="F94" s="5">
        <v>-2.2000000000000001E-3</v>
      </c>
      <c r="G94" s="5">
        <v>-4.1599999999999998E-2</v>
      </c>
    </row>
    <row r="95" spans="1:7" x14ac:dyDescent="0.25">
      <c r="A95" s="1">
        <v>46120</v>
      </c>
      <c r="B95" s="4" t="s">
        <v>248</v>
      </c>
      <c r="C95" s="4" t="s">
        <v>92</v>
      </c>
      <c r="D95" s="4" t="s">
        <v>415</v>
      </c>
      <c r="E95" s="4" t="s">
        <v>93</v>
      </c>
      <c r="F95" s="5">
        <v>4.0899999999999999E-2</v>
      </c>
      <c r="G95" s="5">
        <v>-3.95E-2</v>
      </c>
    </row>
    <row r="96" spans="1:7" x14ac:dyDescent="0.25">
      <c r="A96" s="1">
        <v>46119</v>
      </c>
      <c r="B96" s="4" t="s">
        <v>248</v>
      </c>
      <c r="C96" s="4" t="s">
        <v>93</v>
      </c>
      <c r="D96" s="4" t="s">
        <v>416</v>
      </c>
      <c r="E96" s="4" t="s">
        <v>417</v>
      </c>
      <c r="F96" s="5">
        <v>-1.18E-2</v>
      </c>
      <c r="G96" s="5">
        <v>-7.7200000000000005E-2</v>
      </c>
    </row>
    <row r="97" spans="1:7" x14ac:dyDescent="0.25">
      <c r="A97" s="1">
        <v>46118</v>
      </c>
      <c r="B97" s="4" t="s">
        <v>248</v>
      </c>
      <c r="C97" s="4" t="s">
        <v>94</v>
      </c>
      <c r="D97" s="4" t="s">
        <v>418</v>
      </c>
      <c r="E97" s="4" t="s">
        <v>95</v>
      </c>
      <c r="F97" s="5">
        <v>4.7999999999999996E-3</v>
      </c>
      <c r="G97" s="5">
        <v>-6.6100000000000006E-2</v>
      </c>
    </row>
    <row r="98" spans="1:7" x14ac:dyDescent="0.25">
      <c r="A98" s="1">
        <v>46115</v>
      </c>
      <c r="B98" s="4" t="s">
        <v>248</v>
      </c>
      <c r="C98" s="4" t="s">
        <v>95</v>
      </c>
      <c r="D98" s="4" t="s">
        <v>419</v>
      </c>
      <c r="E98" s="4" t="s">
        <v>420</v>
      </c>
      <c r="F98" s="5">
        <v>-5.9999999999999995E-4</v>
      </c>
      <c r="G98" s="5">
        <v>-7.0699999999999999E-2</v>
      </c>
    </row>
    <row r="99" spans="1:7" x14ac:dyDescent="0.25">
      <c r="A99" s="1">
        <v>46114</v>
      </c>
      <c r="B99" s="4" t="s">
        <v>248</v>
      </c>
      <c r="C99" s="4" t="s">
        <v>96</v>
      </c>
      <c r="D99" s="4" t="s">
        <v>421</v>
      </c>
      <c r="E99" s="4" t="s">
        <v>422</v>
      </c>
      <c r="F99" s="5">
        <v>-1.6000000000000001E-3</v>
      </c>
      <c r="G99" s="5">
        <v>-7.0099999999999996E-2</v>
      </c>
    </row>
    <row r="100" spans="1:7" x14ac:dyDescent="0.25">
      <c r="A100" s="1">
        <v>46113</v>
      </c>
      <c r="B100" s="4" t="s">
        <v>248</v>
      </c>
      <c r="C100" s="4" t="s">
        <v>97</v>
      </c>
      <c r="D100" s="4" t="s">
        <v>423</v>
      </c>
      <c r="E100" s="4" t="s">
        <v>98</v>
      </c>
      <c r="F100" s="5">
        <v>2.29E-2</v>
      </c>
      <c r="G100" s="5">
        <v>-6.8599999999999994E-2</v>
      </c>
    </row>
    <row r="101" spans="1:7" x14ac:dyDescent="0.25">
      <c r="A101" s="1">
        <v>46112</v>
      </c>
      <c r="B101" s="4" t="s">
        <v>248</v>
      </c>
      <c r="C101" s="4" t="s">
        <v>98</v>
      </c>
      <c r="D101" s="4" t="s">
        <v>424</v>
      </c>
      <c r="E101" s="4" t="s">
        <v>425</v>
      </c>
      <c r="F101" s="5">
        <v>-9.7999999999999997E-3</v>
      </c>
      <c r="G101" s="5">
        <v>-8.9499999999999996E-2</v>
      </c>
    </row>
    <row r="102" spans="1:7" x14ac:dyDescent="0.25">
      <c r="A102" s="1">
        <v>46111</v>
      </c>
      <c r="B102" s="4" t="s">
        <v>248</v>
      </c>
      <c r="C102" s="4" t="s">
        <v>99</v>
      </c>
      <c r="D102" s="4" t="s">
        <v>426</v>
      </c>
      <c r="E102" s="4" t="s">
        <v>427</v>
      </c>
      <c r="F102" s="5">
        <v>6.3E-3</v>
      </c>
      <c r="G102" s="5">
        <v>-8.0399999999999999E-2</v>
      </c>
    </row>
    <row r="103" spans="1:7" x14ac:dyDescent="0.25">
      <c r="A103" s="1">
        <v>46108</v>
      </c>
      <c r="B103" s="4" t="s">
        <v>248</v>
      </c>
      <c r="C103" s="4" t="s">
        <v>100</v>
      </c>
      <c r="D103" s="4" t="s">
        <v>428</v>
      </c>
      <c r="E103" s="4" t="s">
        <v>100</v>
      </c>
      <c r="F103" s="5">
        <v>-1.2699999999999999E-2</v>
      </c>
      <c r="G103" s="5">
        <v>-8.6199999999999999E-2</v>
      </c>
    </row>
    <row r="104" spans="1:7" x14ac:dyDescent="0.25">
      <c r="A104" s="1">
        <v>46107</v>
      </c>
      <c r="B104" s="4" t="s">
        <v>248</v>
      </c>
      <c r="C104" s="4" t="s">
        <v>101</v>
      </c>
      <c r="D104" s="4" t="s">
        <v>429</v>
      </c>
      <c r="E104" s="4" t="s">
        <v>430</v>
      </c>
      <c r="F104" s="5">
        <v>-8.3999999999999995E-3</v>
      </c>
      <c r="G104" s="5">
        <v>-7.4399999999999994E-2</v>
      </c>
    </row>
    <row r="105" spans="1:7" x14ac:dyDescent="0.25">
      <c r="A105" s="1">
        <v>46106</v>
      </c>
      <c r="B105" s="4" t="s">
        <v>248</v>
      </c>
      <c r="C105" s="4" t="s">
        <v>102</v>
      </c>
      <c r="D105" s="4" t="s">
        <v>431</v>
      </c>
      <c r="E105" s="4" t="s">
        <v>432</v>
      </c>
      <c r="F105" s="5">
        <v>2.0500000000000001E-2</v>
      </c>
      <c r="G105" s="5">
        <v>-6.6600000000000006E-2</v>
      </c>
    </row>
    <row r="106" spans="1:7" x14ac:dyDescent="0.25">
      <c r="A106" s="1">
        <v>46105</v>
      </c>
      <c r="B106" s="4" t="s">
        <v>248</v>
      </c>
      <c r="C106" s="4" t="s">
        <v>103</v>
      </c>
      <c r="D106" s="4" t="s">
        <v>433</v>
      </c>
      <c r="E106" s="4" t="s">
        <v>434</v>
      </c>
      <c r="F106" s="5">
        <v>-4.0000000000000002E-4</v>
      </c>
      <c r="G106" s="5">
        <v>-8.5400000000000004E-2</v>
      </c>
    </row>
    <row r="107" spans="1:7" x14ac:dyDescent="0.25">
      <c r="A107" s="1">
        <v>46100</v>
      </c>
      <c r="B107" s="4" t="s">
        <v>248</v>
      </c>
      <c r="C107" s="4" t="s">
        <v>104</v>
      </c>
      <c r="D107" s="4" t="s">
        <v>435</v>
      </c>
      <c r="E107" s="4" t="s">
        <v>436</v>
      </c>
      <c r="F107" s="5">
        <v>-1.5299999999999999E-2</v>
      </c>
      <c r="G107" s="5">
        <v>-8.5000000000000006E-2</v>
      </c>
    </row>
    <row r="108" spans="1:7" x14ac:dyDescent="0.25">
      <c r="A108" s="1">
        <v>46099</v>
      </c>
      <c r="B108" s="4" t="s">
        <v>248</v>
      </c>
      <c r="C108" s="4" t="s">
        <v>105</v>
      </c>
      <c r="D108" s="4" t="s">
        <v>105</v>
      </c>
      <c r="E108" s="4" t="s">
        <v>437</v>
      </c>
      <c r="F108" s="5">
        <v>2.6200000000000001E-2</v>
      </c>
      <c r="G108" s="5">
        <v>-7.0800000000000002E-2</v>
      </c>
    </row>
    <row r="109" spans="1:7" x14ac:dyDescent="0.25">
      <c r="A109" s="1">
        <v>46098</v>
      </c>
      <c r="B109" s="4" t="s">
        <v>248</v>
      </c>
      <c r="C109" s="4" t="s">
        <v>106</v>
      </c>
      <c r="D109" s="4" t="s">
        <v>438</v>
      </c>
      <c r="E109" s="4" t="s">
        <v>107</v>
      </c>
      <c r="F109" s="5">
        <v>7.1999999999999998E-3</v>
      </c>
      <c r="G109" s="5">
        <v>-9.4500000000000001E-2</v>
      </c>
    </row>
    <row r="110" spans="1:7" x14ac:dyDescent="0.25">
      <c r="A110" s="1">
        <v>46097</v>
      </c>
      <c r="B110" s="4" t="s">
        <v>248</v>
      </c>
      <c r="C110" s="4" t="s">
        <v>107</v>
      </c>
      <c r="D110" s="4" t="s">
        <v>439</v>
      </c>
      <c r="E110" s="4" t="s">
        <v>440</v>
      </c>
      <c r="F110" s="5">
        <v>5.1000000000000004E-3</v>
      </c>
      <c r="G110" s="5">
        <v>-0.10100000000000001</v>
      </c>
    </row>
    <row r="111" spans="1:7" x14ac:dyDescent="0.25">
      <c r="A111" s="1">
        <v>46094</v>
      </c>
      <c r="B111" s="4" t="s">
        <v>248</v>
      </c>
      <c r="C111" s="4" t="s">
        <v>108</v>
      </c>
      <c r="D111" s="4" t="s">
        <v>441</v>
      </c>
      <c r="E111" s="4" t="s">
        <v>108</v>
      </c>
      <c r="F111" s="5">
        <v>-1.7600000000000001E-2</v>
      </c>
      <c r="G111" s="5">
        <v>-0.1056</v>
      </c>
    </row>
    <row r="112" spans="1:7" x14ac:dyDescent="0.25">
      <c r="A112" s="1">
        <v>46093</v>
      </c>
      <c r="B112" s="4" t="s">
        <v>248</v>
      </c>
      <c r="C112" s="4" t="s">
        <v>109</v>
      </c>
      <c r="D112" s="4" t="s">
        <v>442</v>
      </c>
      <c r="E112" s="4" t="s">
        <v>443</v>
      </c>
      <c r="F112" s="5">
        <v>0</v>
      </c>
      <c r="G112" s="5">
        <v>-8.9599999999999999E-2</v>
      </c>
    </row>
    <row r="113" spans="1:7" x14ac:dyDescent="0.25">
      <c r="A113" s="1">
        <v>46092</v>
      </c>
      <c r="B113" s="4" t="s">
        <v>248</v>
      </c>
      <c r="C113" s="4" t="s">
        <v>110</v>
      </c>
      <c r="D113" s="4" t="s">
        <v>444</v>
      </c>
      <c r="E113" s="4" t="s">
        <v>111</v>
      </c>
      <c r="F113" s="5">
        <v>1.5100000000000001E-2</v>
      </c>
      <c r="G113" s="5">
        <v>-8.9599999999999999E-2</v>
      </c>
    </row>
    <row r="114" spans="1:7" x14ac:dyDescent="0.25">
      <c r="A114" s="1">
        <v>46091</v>
      </c>
      <c r="B114" s="4" t="s">
        <v>248</v>
      </c>
      <c r="C114" s="4" t="s">
        <v>111</v>
      </c>
      <c r="D114" s="4" t="s">
        <v>445</v>
      </c>
      <c r="E114" s="4" t="s">
        <v>112</v>
      </c>
      <c r="F114" s="5">
        <v>2.23E-2</v>
      </c>
      <c r="G114" s="5">
        <v>-0.1031</v>
      </c>
    </row>
    <row r="115" spans="1:7" x14ac:dyDescent="0.25">
      <c r="A115" s="1">
        <v>46090</v>
      </c>
      <c r="B115" s="4" t="s">
        <v>248</v>
      </c>
      <c r="C115" s="4" t="s">
        <v>112</v>
      </c>
      <c r="D115" s="4" t="s">
        <v>446</v>
      </c>
      <c r="E115" s="4" t="s">
        <v>112</v>
      </c>
      <c r="F115" s="5">
        <v>-3.3000000000000002E-2</v>
      </c>
      <c r="G115" s="5">
        <v>-0.1227</v>
      </c>
    </row>
    <row r="116" spans="1:7" x14ac:dyDescent="0.25">
      <c r="A116" s="1">
        <v>46087</v>
      </c>
      <c r="B116" s="4" t="s">
        <v>248</v>
      </c>
      <c r="C116" s="4" t="s">
        <v>113</v>
      </c>
      <c r="D116" s="4" t="s">
        <v>447</v>
      </c>
      <c r="E116" s="4" t="s">
        <v>448</v>
      </c>
      <c r="F116" s="5">
        <v>-1.46E-2</v>
      </c>
      <c r="G116" s="5">
        <v>-9.2799999999999994E-2</v>
      </c>
    </row>
    <row r="117" spans="1:7" x14ac:dyDescent="0.25">
      <c r="A117" s="1">
        <v>46086</v>
      </c>
      <c r="B117" s="4" t="s">
        <v>248</v>
      </c>
      <c r="C117" s="4" t="s">
        <v>114</v>
      </c>
      <c r="D117" s="4" t="s">
        <v>114</v>
      </c>
      <c r="E117" s="4" t="s">
        <v>115</v>
      </c>
      <c r="F117" s="5">
        <v>4.1799999999999997E-2</v>
      </c>
      <c r="G117" s="5">
        <v>-7.9299999999999995E-2</v>
      </c>
    </row>
    <row r="118" spans="1:7" x14ac:dyDescent="0.25">
      <c r="A118" s="1">
        <v>46085</v>
      </c>
      <c r="B118" s="4" t="s">
        <v>248</v>
      </c>
      <c r="C118" s="4" t="s">
        <v>115</v>
      </c>
      <c r="D118" s="4" t="s">
        <v>449</v>
      </c>
      <c r="E118" s="4" t="s">
        <v>450</v>
      </c>
      <c r="F118" s="5">
        <v>1.5599999999999999E-2</v>
      </c>
      <c r="G118" s="5">
        <v>-0.1162</v>
      </c>
    </row>
    <row r="119" spans="1:7" x14ac:dyDescent="0.25">
      <c r="A119" s="1">
        <v>46084</v>
      </c>
      <c r="B119" s="4" t="s">
        <v>248</v>
      </c>
      <c r="C119" s="4" t="s">
        <v>116</v>
      </c>
      <c r="D119" s="4" t="s">
        <v>451</v>
      </c>
      <c r="E119" s="4" t="s">
        <v>452</v>
      </c>
      <c r="F119" s="5">
        <v>-5.6300000000000003E-2</v>
      </c>
      <c r="G119" s="5">
        <v>-0.1298</v>
      </c>
    </row>
    <row r="120" spans="1:7" x14ac:dyDescent="0.25">
      <c r="A120" s="1">
        <v>46083</v>
      </c>
      <c r="B120" s="4" t="s">
        <v>248</v>
      </c>
      <c r="C120" s="4" t="s">
        <v>117</v>
      </c>
      <c r="D120" s="4" t="s">
        <v>118</v>
      </c>
      <c r="E120" s="4" t="s">
        <v>453</v>
      </c>
      <c r="F120" s="5">
        <v>-4.2099999999999999E-2</v>
      </c>
      <c r="G120" s="5">
        <v>-7.8E-2</v>
      </c>
    </row>
    <row r="121" spans="1:7" x14ac:dyDescent="0.25">
      <c r="A121" s="1">
        <v>46080</v>
      </c>
      <c r="B121" s="4" t="s">
        <v>248</v>
      </c>
      <c r="C121" s="4" t="s">
        <v>118</v>
      </c>
      <c r="D121" s="4" t="s">
        <v>454</v>
      </c>
      <c r="E121" s="4" t="s">
        <v>455</v>
      </c>
      <c r="F121" s="5">
        <v>-1.2500000000000001E-2</v>
      </c>
      <c r="G121" s="5">
        <v>-3.7499999999999999E-2</v>
      </c>
    </row>
    <row r="122" spans="1:7" x14ac:dyDescent="0.25">
      <c r="A122" s="1">
        <v>46079</v>
      </c>
      <c r="B122" s="4" t="s">
        <v>248</v>
      </c>
      <c r="C122" s="4" t="s">
        <v>119</v>
      </c>
      <c r="D122" s="4" t="s">
        <v>456</v>
      </c>
      <c r="E122" s="4" t="s">
        <v>457</v>
      </c>
      <c r="F122" s="5">
        <v>-8.3999999999999995E-3</v>
      </c>
      <c r="G122" s="5">
        <v>-2.53E-2</v>
      </c>
    </row>
    <row r="123" spans="1:7" x14ac:dyDescent="0.25">
      <c r="A123" s="1">
        <v>46078</v>
      </c>
      <c r="B123" s="4" t="s">
        <v>248</v>
      </c>
      <c r="C123" s="4" t="s">
        <v>120</v>
      </c>
      <c r="D123" s="4" t="s">
        <v>458</v>
      </c>
      <c r="E123" s="4" t="s">
        <v>120</v>
      </c>
      <c r="F123" s="5">
        <v>-3.0000000000000001E-3</v>
      </c>
      <c r="G123" s="5">
        <v>-1.7000000000000001E-2</v>
      </c>
    </row>
    <row r="124" spans="1:7" x14ac:dyDescent="0.25">
      <c r="A124" s="1">
        <v>46077</v>
      </c>
      <c r="B124" s="4" t="s">
        <v>248</v>
      </c>
      <c r="C124" s="4" t="s">
        <v>121</v>
      </c>
      <c r="D124" s="4" t="s">
        <v>459</v>
      </c>
      <c r="E124" s="4" t="s">
        <v>121</v>
      </c>
      <c r="F124" s="5">
        <v>-3.7000000000000002E-3</v>
      </c>
      <c r="G124" s="5">
        <v>-1.4E-2</v>
      </c>
    </row>
    <row r="125" spans="1:7" x14ac:dyDescent="0.25">
      <c r="A125" s="1">
        <v>46076</v>
      </c>
      <c r="B125" s="4" t="s">
        <v>248</v>
      </c>
      <c r="C125" s="4" t="s">
        <v>122</v>
      </c>
      <c r="D125" s="4" t="s">
        <v>460</v>
      </c>
      <c r="E125" s="4" t="s">
        <v>461</v>
      </c>
      <c r="F125" s="5">
        <v>-2.5999999999999999E-3</v>
      </c>
      <c r="G125" s="5">
        <v>-1.03E-2</v>
      </c>
    </row>
    <row r="126" spans="1:7" x14ac:dyDescent="0.25">
      <c r="A126" s="1">
        <v>46073</v>
      </c>
      <c r="B126" s="4" t="s">
        <v>248</v>
      </c>
      <c r="C126" s="4" t="s">
        <v>123</v>
      </c>
      <c r="D126" s="4" t="s">
        <v>462</v>
      </c>
      <c r="E126" s="4" t="s">
        <v>463</v>
      </c>
      <c r="F126" s="5">
        <v>-1.9E-3</v>
      </c>
      <c r="G126" s="5">
        <v>-7.7000000000000002E-3</v>
      </c>
    </row>
    <row r="127" spans="1:7" x14ac:dyDescent="0.25">
      <c r="A127" s="1">
        <v>46072</v>
      </c>
      <c r="B127" s="4" t="s">
        <v>248</v>
      </c>
      <c r="C127" s="4" t="s">
        <v>124</v>
      </c>
      <c r="D127" s="4" t="s">
        <v>124</v>
      </c>
      <c r="E127" s="4" t="s">
        <v>464</v>
      </c>
      <c r="F127" s="5">
        <v>2.5999999999999999E-3</v>
      </c>
      <c r="G127" s="5">
        <v>-5.7999999999999996E-3</v>
      </c>
    </row>
    <row r="128" spans="1:7" x14ac:dyDescent="0.25">
      <c r="A128" s="1">
        <v>46071</v>
      </c>
      <c r="B128" s="4" t="s">
        <v>248</v>
      </c>
      <c r="C128" s="4" t="s">
        <v>125</v>
      </c>
      <c r="D128" s="4" t="s">
        <v>465</v>
      </c>
      <c r="E128" s="4" t="s">
        <v>466</v>
      </c>
      <c r="F128" s="5">
        <v>-1.9E-3</v>
      </c>
      <c r="G128" s="5">
        <v>-8.3999999999999995E-3</v>
      </c>
    </row>
    <row r="129" spans="1:7" x14ac:dyDescent="0.25">
      <c r="A129" s="1">
        <v>46070</v>
      </c>
      <c r="B129" s="4" t="s">
        <v>248</v>
      </c>
      <c r="C129" s="4" t="s">
        <v>126</v>
      </c>
      <c r="D129" s="4" t="s">
        <v>467</v>
      </c>
      <c r="E129" s="4" t="s">
        <v>468</v>
      </c>
      <c r="F129" s="5">
        <v>-5.4999999999999997E-3</v>
      </c>
      <c r="G129" s="5">
        <v>-6.4999999999999997E-3</v>
      </c>
    </row>
    <row r="130" spans="1:7" x14ac:dyDescent="0.25">
      <c r="A130" s="1">
        <v>46069</v>
      </c>
      <c r="B130" s="4" t="s">
        <v>248</v>
      </c>
      <c r="C130" s="4" t="s">
        <v>127</v>
      </c>
      <c r="D130" s="4" t="s">
        <v>127</v>
      </c>
      <c r="E130" s="4" t="s">
        <v>469</v>
      </c>
      <c r="F130" s="5">
        <v>1.37E-2</v>
      </c>
      <c r="G130" s="5">
        <v>-1E-3</v>
      </c>
    </row>
    <row r="131" spans="1:7" x14ac:dyDescent="0.25">
      <c r="A131" s="1">
        <v>46066</v>
      </c>
      <c r="B131" s="4" t="s">
        <v>248</v>
      </c>
      <c r="C131" s="4" t="s">
        <v>128</v>
      </c>
      <c r="D131" s="4" t="s">
        <v>470</v>
      </c>
      <c r="E131" s="4" t="s">
        <v>471</v>
      </c>
      <c r="F131" s="5">
        <v>-3.8999999999999998E-3</v>
      </c>
      <c r="G131" s="5">
        <v>-1.4500000000000001E-2</v>
      </c>
    </row>
    <row r="132" spans="1:7" x14ac:dyDescent="0.25">
      <c r="A132" s="1">
        <v>46065</v>
      </c>
      <c r="B132" s="4" t="s">
        <v>248</v>
      </c>
      <c r="C132" s="4" t="s">
        <v>129</v>
      </c>
      <c r="D132" s="4" t="s">
        <v>472</v>
      </c>
      <c r="E132" s="4" t="s">
        <v>130</v>
      </c>
      <c r="F132" s="5">
        <v>1.52E-2</v>
      </c>
      <c r="G132" s="5">
        <v>-1.0699999999999999E-2</v>
      </c>
    </row>
    <row r="133" spans="1:7" x14ac:dyDescent="0.25">
      <c r="A133" s="1">
        <v>46064</v>
      </c>
      <c r="B133" s="4" t="s">
        <v>248</v>
      </c>
      <c r="C133" s="4" t="s">
        <v>130</v>
      </c>
      <c r="D133" s="4" t="s">
        <v>473</v>
      </c>
      <c r="E133" s="4" t="s">
        <v>474</v>
      </c>
      <c r="F133" s="5">
        <v>3.3999999999999998E-3</v>
      </c>
      <c r="G133" s="5">
        <v>-2.5499999999999998E-2</v>
      </c>
    </row>
    <row r="134" spans="1:7" x14ac:dyDescent="0.25">
      <c r="A134" s="1">
        <v>46063</v>
      </c>
      <c r="B134" s="4" t="s">
        <v>248</v>
      </c>
      <c r="C134" s="4" t="s">
        <v>131</v>
      </c>
      <c r="D134" s="4" t="s">
        <v>475</v>
      </c>
      <c r="E134" s="4" t="s">
        <v>476</v>
      </c>
      <c r="F134" s="5">
        <v>-1.9E-3</v>
      </c>
      <c r="G134" s="5">
        <v>-2.8799999999999999E-2</v>
      </c>
    </row>
    <row r="135" spans="1:7" x14ac:dyDescent="0.25">
      <c r="A135" s="1">
        <v>46062</v>
      </c>
      <c r="B135" s="4" t="s">
        <v>248</v>
      </c>
      <c r="C135" s="4" t="s">
        <v>132</v>
      </c>
      <c r="D135" s="4" t="s">
        <v>477</v>
      </c>
      <c r="E135" s="4" t="s">
        <v>478</v>
      </c>
      <c r="F135" s="5">
        <v>1.8E-3</v>
      </c>
      <c r="G135" s="5">
        <v>-2.69E-2</v>
      </c>
    </row>
    <row r="136" spans="1:7" x14ac:dyDescent="0.25">
      <c r="A136" s="1">
        <v>46059</v>
      </c>
      <c r="B136" s="4" t="s">
        <v>248</v>
      </c>
      <c r="C136" s="4" t="s">
        <v>133</v>
      </c>
      <c r="D136" s="4" t="s">
        <v>479</v>
      </c>
      <c r="E136" s="4" t="s">
        <v>480</v>
      </c>
      <c r="F136" s="5">
        <v>1.0200000000000001E-2</v>
      </c>
      <c r="G136" s="5">
        <v>-2.86E-2</v>
      </c>
    </row>
    <row r="137" spans="1:7" x14ac:dyDescent="0.25">
      <c r="A137" s="1">
        <v>46058</v>
      </c>
      <c r="B137" s="4" t="s">
        <v>248</v>
      </c>
      <c r="C137" s="4" t="s">
        <v>134</v>
      </c>
      <c r="D137" s="4" t="s">
        <v>481</v>
      </c>
      <c r="E137" s="4" t="s">
        <v>134</v>
      </c>
      <c r="F137" s="5">
        <v>-1.78E-2</v>
      </c>
      <c r="G137" s="5">
        <v>-3.8399999999999997E-2</v>
      </c>
    </row>
    <row r="138" spans="1:7" x14ac:dyDescent="0.25">
      <c r="A138" s="1">
        <v>46057</v>
      </c>
      <c r="B138" s="4" t="s">
        <v>248</v>
      </c>
      <c r="C138" s="4" t="s">
        <v>135</v>
      </c>
      <c r="D138" s="4" t="s">
        <v>482</v>
      </c>
      <c r="E138" s="4" t="s">
        <v>483</v>
      </c>
      <c r="F138" s="5">
        <v>5.9999999999999995E-4</v>
      </c>
      <c r="G138" s="5">
        <v>-2.1000000000000001E-2</v>
      </c>
    </row>
    <row r="139" spans="1:7" x14ac:dyDescent="0.25">
      <c r="A139" s="1">
        <v>46056</v>
      </c>
      <c r="B139" s="4" t="s">
        <v>248</v>
      </c>
      <c r="C139" s="4" t="s">
        <v>136</v>
      </c>
      <c r="D139" s="4" t="s">
        <v>484</v>
      </c>
      <c r="E139" s="4" t="s">
        <v>485</v>
      </c>
      <c r="F139" s="5">
        <v>-4.4999999999999997E-3</v>
      </c>
      <c r="G139" s="5">
        <v>-2.1600000000000001E-2</v>
      </c>
    </row>
    <row r="140" spans="1:7" x14ac:dyDescent="0.25">
      <c r="A140" s="1">
        <v>46055</v>
      </c>
      <c r="B140" s="4" t="s">
        <v>248</v>
      </c>
      <c r="C140" s="4" t="s">
        <v>137</v>
      </c>
      <c r="D140" s="4" t="s">
        <v>486</v>
      </c>
      <c r="E140" s="4" t="s">
        <v>487</v>
      </c>
      <c r="F140" s="5">
        <v>-7.7000000000000002E-3</v>
      </c>
      <c r="G140" s="5">
        <v>-1.7100000000000001E-2</v>
      </c>
    </row>
    <row r="141" spans="1:7" x14ac:dyDescent="0.25">
      <c r="A141" s="1">
        <v>46052</v>
      </c>
      <c r="B141" s="4" t="s">
        <v>248</v>
      </c>
      <c r="C141" s="4" t="s">
        <v>138</v>
      </c>
      <c r="D141" s="4" t="s">
        <v>488</v>
      </c>
      <c r="E141" s="4" t="s">
        <v>138</v>
      </c>
      <c r="F141" s="5">
        <v>-1.52E-2</v>
      </c>
      <c r="G141" s="5">
        <v>-9.4999999999999998E-3</v>
      </c>
    </row>
    <row r="142" spans="1:7" x14ac:dyDescent="0.25">
      <c r="A142" s="1">
        <v>46051</v>
      </c>
      <c r="B142" s="4" t="s">
        <v>248</v>
      </c>
      <c r="C142" s="4" t="s">
        <v>139</v>
      </c>
      <c r="D142" s="4" t="s">
        <v>489</v>
      </c>
      <c r="E142" s="4" t="s">
        <v>490</v>
      </c>
      <c r="F142" s="5">
        <v>-4.0000000000000002E-4</v>
      </c>
      <c r="G142" s="5">
        <v>5.7999999999999996E-3</v>
      </c>
    </row>
    <row r="143" spans="1:7" x14ac:dyDescent="0.25">
      <c r="A143" s="1">
        <v>46050</v>
      </c>
      <c r="B143" s="4" t="s">
        <v>248</v>
      </c>
      <c r="C143" s="4" t="s">
        <v>140</v>
      </c>
      <c r="D143" s="4" t="s">
        <v>140</v>
      </c>
      <c r="E143" s="4" t="s">
        <v>141</v>
      </c>
      <c r="F143" s="5">
        <v>1.8700000000000001E-2</v>
      </c>
      <c r="G143" s="5">
        <v>6.1999999999999998E-3</v>
      </c>
    </row>
    <row r="144" spans="1:7" x14ac:dyDescent="0.25">
      <c r="A144" s="1">
        <v>46049</v>
      </c>
      <c r="B144" s="4" t="s">
        <v>248</v>
      </c>
      <c r="C144" s="4" t="s">
        <v>141</v>
      </c>
      <c r="D144" s="4" t="s">
        <v>491</v>
      </c>
      <c r="E144" s="4" t="s">
        <v>492</v>
      </c>
      <c r="F144" s="5">
        <v>1.26E-2</v>
      </c>
      <c r="G144" s="5">
        <v>-1.2200000000000001E-2</v>
      </c>
    </row>
    <row r="145" spans="1:7" x14ac:dyDescent="0.25">
      <c r="A145" s="1">
        <v>46048</v>
      </c>
      <c r="B145" s="4" t="s">
        <v>248</v>
      </c>
      <c r="C145" s="4" t="s">
        <v>142</v>
      </c>
      <c r="D145" s="4" t="s">
        <v>493</v>
      </c>
      <c r="E145" s="4" t="s">
        <v>494</v>
      </c>
      <c r="F145" s="5">
        <v>-1.3899999999999999E-2</v>
      </c>
      <c r="G145" s="5">
        <v>-2.4500000000000001E-2</v>
      </c>
    </row>
    <row r="146" spans="1:7" x14ac:dyDescent="0.25">
      <c r="A146" s="1">
        <v>46045</v>
      </c>
      <c r="B146" s="4" t="s">
        <v>248</v>
      </c>
      <c r="C146" s="4" t="s">
        <v>143</v>
      </c>
      <c r="D146" s="4" t="s">
        <v>495</v>
      </c>
      <c r="E146" s="4" t="s">
        <v>496</v>
      </c>
      <c r="F146" s="5">
        <v>-7.9000000000000008E-3</v>
      </c>
      <c r="G146" s="5">
        <v>-1.0800000000000001E-2</v>
      </c>
    </row>
    <row r="147" spans="1:7" x14ac:dyDescent="0.25">
      <c r="A147" s="1">
        <v>46044</v>
      </c>
      <c r="B147" s="4" t="s">
        <v>248</v>
      </c>
      <c r="C147" s="4" t="s">
        <v>144</v>
      </c>
      <c r="D147" s="4" t="s">
        <v>497</v>
      </c>
      <c r="E147" s="4" t="s">
        <v>145</v>
      </c>
      <c r="F147" s="5">
        <v>7.6E-3</v>
      </c>
      <c r="G147" s="5">
        <v>-2.8999999999999998E-3</v>
      </c>
    </row>
    <row r="148" spans="1:7" x14ac:dyDescent="0.25">
      <c r="A148" s="1">
        <v>46043</v>
      </c>
      <c r="B148" s="4" t="s">
        <v>248</v>
      </c>
      <c r="C148" s="4" t="s">
        <v>145</v>
      </c>
      <c r="D148" s="4" t="s">
        <v>498</v>
      </c>
      <c r="E148" s="4" t="s">
        <v>145</v>
      </c>
      <c r="F148" s="5">
        <v>-1.23E-2</v>
      </c>
      <c r="G148" s="5">
        <v>-1.04E-2</v>
      </c>
    </row>
    <row r="149" spans="1:7" x14ac:dyDescent="0.25">
      <c r="A149" s="1">
        <v>46042</v>
      </c>
      <c r="B149" s="4" t="s">
        <v>248</v>
      </c>
      <c r="C149" s="4" t="s">
        <v>146</v>
      </c>
      <c r="D149" s="4" t="s">
        <v>499</v>
      </c>
      <c r="E149" s="4" t="s">
        <v>500</v>
      </c>
      <c r="F149" s="5">
        <v>-6.6E-3</v>
      </c>
      <c r="G149" s="5">
        <v>1.9E-3</v>
      </c>
    </row>
    <row r="150" spans="1:7" x14ac:dyDescent="0.25">
      <c r="A150" s="1">
        <v>46041</v>
      </c>
      <c r="B150" s="4" t="s">
        <v>248</v>
      </c>
      <c r="C150" s="4" t="s">
        <v>147</v>
      </c>
      <c r="D150" s="4" t="s">
        <v>501</v>
      </c>
      <c r="E150" s="4" t="s">
        <v>502</v>
      </c>
      <c r="F150" s="5">
        <v>-0.01</v>
      </c>
      <c r="G150" s="5">
        <v>8.6E-3</v>
      </c>
    </row>
    <row r="151" spans="1:7" x14ac:dyDescent="0.25">
      <c r="A151" s="1">
        <v>46038</v>
      </c>
      <c r="B151" s="4" t="s">
        <v>248</v>
      </c>
      <c r="C151" s="4" t="s">
        <v>148</v>
      </c>
      <c r="D151" s="4" t="s">
        <v>503</v>
      </c>
      <c r="E151" s="4" t="s">
        <v>504</v>
      </c>
      <c r="F151" s="5">
        <v>-3.5999999999999999E-3</v>
      </c>
      <c r="G151" s="5">
        <v>1.8800000000000001E-2</v>
      </c>
    </row>
    <row r="152" spans="1:7" x14ac:dyDescent="0.25">
      <c r="A152" s="1">
        <v>46037</v>
      </c>
      <c r="B152" s="4" t="s">
        <v>248</v>
      </c>
      <c r="C152" s="4" t="s">
        <v>149</v>
      </c>
      <c r="D152" s="4" t="s">
        <v>505</v>
      </c>
      <c r="E152" s="4" t="s">
        <v>506</v>
      </c>
      <c r="F152" s="5">
        <v>-5.7999999999999996E-3</v>
      </c>
      <c r="G152" s="5">
        <v>2.2499999999999999E-2</v>
      </c>
    </row>
    <row r="153" spans="1:7" x14ac:dyDescent="0.25">
      <c r="A153" s="1">
        <v>46035</v>
      </c>
      <c r="B153" s="4" t="s">
        <v>248</v>
      </c>
      <c r="C153" s="4" t="s">
        <v>150</v>
      </c>
      <c r="D153" s="4" t="s">
        <v>507</v>
      </c>
      <c r="E153" s="4" t="s">
        <v>508</v>
      </c>
      <c r="F153" s="5">
        <v>-6.8999999999999999E-3</v>
      </c>
      <c r="G153" s="5">
        <v>2.8400000000000002E-2</v>
      </c>
    </row>
    <row r="154" spans="1:7" x14ac:dyDescent="0.25">
      <c r="A154" s="1">
        <v>46034</v>
      </c>
      <c r="B154" s="4" t="s">
        <v>248</v>
      </c>
      <c r="C154" s="4" t="s">
        <v>151</v>
      </c>
      <c r="D154" s="4" t="s">
        <v>509</v>
      </c>
      <c r="E154" s="4" t="s">
        <v>510</v>
      </c>
      <c r="F154" s="5">
        <v>2.3999999999999998E-3</v>
      </c>
      <c r="G154" s="5">
        <v>3.56E-2</v>
      </c>
    </row>
    <row r="155" spans="1:7" x14ac:dyDescent="0.25">
      <c r="A155" s="1">
        <v>46031</v>
      </c>
      <c r="B155" s="4" t="s">
        <v>248</v>
      </c>
      <c r="C155" s="4" t="s">
        <v>152</v>
      </c>
      <c r="D155" s="4" t="s">
        <v>511</v>
      </c>
      <c r="E155" s="4" t="s">
        <v>512</v>
      </c>
      <c r="F155" s="5">
        <v>4.1999999999999997E-3</v>
      </c>
      <c r="G155" s="5">
        <v>3.3099999999999997E-2</v>
      </c>
    </row>
    <row r="156" spans="1:7" x14ac:dyDescent="0.25">
      <c r="A156" s="1">
        <v>46030</v>
      </c>
      <c r="B156" s="4" t="s">
        <v>248</v>
      </c>
      <c r="C156" s="4" t="s">
        <v>153</v>
      </c>
      <c r="D156" s="4" t="s">
        <v>513</v>
      </c>
      <c r="E156" s="4" t="s">
        <v>514</v>
      </c>
      <c r="F156" s="5">
        <v>-2.8999999999999998E-3</v>
      </c>
      <c r="G156" s="5">
        <v>2.8799999999999999E-2</v>
      </c>
    </row>
    <row r="157" spans="1:7" x14ac:dyDescent="0.25">
      <c r="A157" s="1">
        <v>46029</v>
      </c>
      <c r="B157" s="4" t="s">
        <v>248</v>
      </c>
      <c r="C157" s="4" t="s">
        <v>154</v>
      </c>
      <c r="D157" s="4" t="s">
        <v>515</v>
      </c>
      <c r="E157" s="4" t="s">
        <v>516</v>
      </c>
      <c r="F157" s="5">
        <v>-5.5999999999999999E-3</v>
      </c>
      <c r="G157" s="5">
        <v>3.1800000000000002E-2</v>
      </c>
    </row>
    <row r="158" spans="1:7" x14ac:dyDescent="0.25">
      <c r="A158" s="1">
        <v>46028</v>
      </c>
      <c r="B158" s="4" t="s">
        <v>248</v>
      </c>
      <c r="C158" s="4" t="s">
        <v>155</v>
      </c>
      <c r="D158" s="4" t="s">
        <v>517</v>
      </c>
      <c r="E158" s="4" t="s">
        <v>518</v>
      </c>
      <c r="F158" s="5">
        <v>5.8999999999999999E-3</v>
      </c>
      <c r="G158" s="5">
        <v>3.7600000000000001E-2</v>
      </c>
    </row>
    <row r="159" spans="1:7" x14ac:dyDescent="0.25">
      <c r="A159" s="1">
        <v>46027</v>
      </c>
      <c r="B159" s="4" t="s">
        <v>248</v>
      </c>
      <c r="C159" s="4" t="s">
        <v>156</v>
      </c>
      <c r="D159" s="4" t="s">
        <v>156</v>
      </c>
      <c r="E159" s="4" t="s">
        <v>519</v>
      </c>
      <c r="F159" s="5">
        <v>1.21E-2</v>
      </c>
      <c r="G159" s="5">
        <v>3.15E-2</v>
      </c>
    </row>
    <row r="160" spans="1:7" x14ac:dyDescent="0.25">
      <c r="A160" s="1">
        <v>46024</v>
      </c>
      <c r="B160" s="4" t="s">
        <v>248</v>
      </c>
      <c r="C160" s="4" t="s">
        <v>157</v>
      </c>
      <c r="D160" s="4" t="s">
        <v>157</v>
      </c>
      <c r="E160" s="4" t="s">
        <v>520</v>
      </c>
      <c r="F160" s="5">
        <v>1.9199999999999998E-2</v>
      </c>
      <c r="G160" s="5">
        <v>1.9199999999999998E-2</v>
      </c>
    </row>
    <row r="161" spans="1:7" x14ac:dyDescent="0.25">
      <c r="A161" s="1">
        <v>46022</v>
      </c>
      <c r="B161" s="4" t="s">
        <v>248</v>
      </c>
      <c r="C161" s="4" t="s">
        <v>158</v>
      </c>
      <c r="D161" s="4" t="s">
        <v>521</v>
      </c>
      <c r="E161" s="4" t="s">
        <v>522</v>
      </c>
      <c r="F161" s="5">
        <v>1.03E-2</v>
      </c>
      <c r="G161" s="5">
        <v>0.2757</v>
      </c>
    </row>
    <row r="162" spans="1:7" x14ac:dyDescent="0.25">
      <c r="A162" s="1">
        <v>46021</v>
      </c>
      <c r="B162" s="4" t="s">
        <v>248</v>
      </c>
      <c r="C162" s="4" t="s">
        <v>159</v>
      </c>
      <c r="D162" s="4" t="s">
        <v>523</v>
      </c>
      <c r="E162" s="4" t="s">
        <v>160</v>
      </c>
      <c r="F162" s="5">
        <v>1.46E-2</v>
      </c>
      <c r="G162" s="5">
        <v>0.26269999999999999</v>
      </c>
    </row>
    <row r="163" spans="1:7" x14ac:dyDescent="0.25">
      <c r="A163" s="1">
        <v>46020</v>
      </c>
      <c r="B163" s="4" t="s">
        <v>248</v>
      </c>
      <c r="C163" s="4" t="s">
        <v>160</v>
      </c>
      <c r="D163" s="4" t="s">
        <v>524</v>
      </c>
      <c r="E163" s="4" t="s">
        <v>525</v>
      </c>
      <c r="F163" s="5">
        <v>-4.8999999999999998E-3</v>
      </c>
      <c r="G163" s="5">
        <v>0.24460000000000001</v>
      </c>
    </row>
    <row r="164" spans="1:7" x14ac:dyDescent="0.25">
      <c r="A164" s="1">
        <v>46017</v>
      </c>
      <c r="B164" s="4" t="s">
        <v>248</v>
      </c>
      <c r="C164" s="4" t="s">
        <v>161</v>
      </c>
      <c r="D164" s="4" t="s">
        <v>526</v>
      </c>
      <c r="E164" s="4" t="s">
        <v>161</v>
      </c>
      <c r="F164" s="5">
        <v>-2.4500000000000001E-2</v>
      </c>
      <c r="G164" s="5">
        <v>0.25069999999999998</v>
      </c>
    </row>
    <row r="165" spans="1:7" x14ac:dyDescent="0.25">
      <c r="A165" s="1">
        <v>46016</v>
      </c>
      <c r="B165" s="4" t="s">
        <v>248</v>
      </c>
      <c r="C165" s="4" t="s">
        <v>162</v>
      </c>
      <c r="D165" s="4" t="s">
        <v>527</v>
      </c>
      <c r="E165" s="4" t="s">
        <v>528</v>
      </c>
      <c r="F165" s="5">
        <v>1.2999999999999999E-3</v>
      </c>
      <c r="G165" s="5">
        <v>0.28210000000000002</v>
      </c>
    </row>
    <row r="166" spans="1:7" x14ac:dyDescent="0.25">
      <c r="A166" s="1">
        <v>46015</v>
      </c>
      <c r="B166" s="4" t="s">
        <v>248</v>
      </c>
      <c r="C166" s="4" t="s">
        <v>163</v>
      </c>
      <c r="D166" s="4" t="s">
        <v>529</v>
      </c>
      <c r="E166" s="4" t="s">
        <v>530</v>
      </c>
      <c r="F166" s="5">
        <v>-1.4E-3</v>
      </c>
      <c r="G166" s="5">
        <v>0.28050000000000003</v>
      </c>
    </row>
    <row r="167" spans="1:7" x14ac:dyDescent="0.25">
      <c r="A167" s="1">
        <v>46014</v>
      </c>
      <c r="B167" s="4" t="s">
        <v>248</v>
      </c>
      <c r="C167" s="4" t="s">
        <v>164</v>
      </c>
      <c r="D167" s="4" t="s">
        <v>531</v>
      </c>
      <c r="E167" s="4" t="s">
        <v>532</v>
      </c>
      <c r="F167" s="5">
        <v>1E-4</v>
      </c>
      <c r="G167" s="5">
        <v>0.2823</v>
      </c>
    </row>
    <row r="168" spans="1:7" x14ac:dyDescent="0.25">
      <c r="A168" s="1">
        <v>46013</v>
      </c>
      <c r="B168" s="4" t="s">
        <v>248</v>
      </c>
      <c r="C168" s="4" t="s">
        <v>165</v>
      </c>
      <c r="D168" s="4" t="s">
        <v>533</v>
      </c>
      <c r="E168" s="4" t="s">
        <v>534</v>
      </c>
      <c r="F168" s="5">
        <v>2.0000000000000001E-4</v>
      </c>
      <c r="G168" s="5">
        <v>0.28220000000000001</v>
      </c>
    </row>
    <row r="169" spans="1:7" x14ac:dyDescent="0.25">
      <c r="A169" s="1">
        <v>46010</v>
      </c>
      <c r="B169" s="4" t="s">
        <v>248</v>
      </c>
      <c r="C169" s="4" t="s">
        <v>166</v>
      </c>
      <c r="D169" s="4" t="s">
        <v>535</v>
      </c>
      <c r="E169" s="4" t="s">
        <v>167</v>
      </c>
      <c r="F169" s="5">
        <v>6.4999999999999997E-3</v>
      </c>
      <c r="G169" s="5">
        <v>0.28189999999999998</v>
      </c>
    </row>
    <row r="170" spans="1:7" x14ac:dyDescent="0.25">
      <c r="A170" s="1">
        <v>46009</v>
      </c>
      <c r="B170" s="4" t="s">
        <v>248</v>
      </c>
      <c r="C170" s="4" t="s">
        <v>167</v>
      </c>
      <c r="D170" s="4" t="s">
        <v>536</v>
      </c>
      <c r="E170" s="4" t="s">
        <v>537</v>
      </c>
      <c r="F170" s="5">
        <v>3.0000000000000001E-3</v>
      </c>
      <c r="G170" s="5">
        <v>0.2737</v>
      </c>
    </row>
    <row r="171" spans="1:7" x14ac:dyDescent="0.25">
      <c r="A171" s="1">
        <v>46008</v>
      </c>
      <c r="B171" s="4" t="s">
        <v>248</v>
      </c>
      <c r="C171" s="4" t="s">
        <v>168</v>
      </c>
      <c r="D171" s="4" t="s">
        <v>538</v>
      </c>
      <c r="E171" s="4" t="s">
        <v>169</v>
      </c>
      <c r="F171" s="5">
        <v>9.4999999999999998E-3</v>
      </c>
      <c r="G171" s="5">
        <v>0.26989999999999997</v>
      </c>
    </row>
    <row r="172" spans="1:7" x14ac:dyDescent="0.25">
      <c r="A172" s="1">
        <v>46007</v>
      </c>
      <c r="B172" s="4" t="s">
        <v>248</v>
      </c>
      <c r="C172" s="4" t="s">
        <v>169</v>
      </c>
      <c r="D172" s="4" t="s">
        <v>539</v>
      </c>
      <c r="E172" s="4" t="s">
        <v>540</v>
      </c>
      <c r="F172" s="5">
        <v>1.6000000000000001E-3</v>
      </c>
      <c r="G172" s="5">
        <v>0.25790000000000002</v>
      </c>
    </row>
    <row r="173" spans="1:7" x14ac:dyDescent="0.25">
      <c r="A173" s="1">
        <v>46006</v>
      </c>
      <c r="B173" s="4" t="s">
        <v>248</v>
      </c>
      <c r="C173" s="4" t="s">
        <v>170</v>
      </c>
      <c r="D173" s="4" t="s">
        <v>541</v>
      </c>
      <c r="E173" s="4" t="s">
        <v>542</v>
      </c>
      <c r="F173" s="5">
        <v>-6.9999999999999999E-4</v>
      </c>
      <c r="G173" s="5">
        <v>0.25590000000000002</v>
      </c>
    </row>
    <row r="174" spans="1:7" x14ac:dyDescent="0.25">
      <c r="A174" s="1">
        <v>46003</v>
      </c>
      <c r="B174" s="4" t="s">
        <v>248</v>
      </c>
      <c r="C174" s="4" t="s">
        <v>171</v>
      </c>
      <c r="D174" s="4" t="s">
        <v>543</v>
      </c>
      <c r="E174" s="4" t="s">
        <v>172</v>
      </c>
      <c r="F174" s="5">
        <v>3.7000000000000002E-3</v>
      </c>
      <c r="G174" s="5">
        <v>0.25679999999999997</v>
      </c>
    </row>
    <row r="175" spans="1:7" x14ac:dyDescent="0.25">
      <c r="A175" s="1">
        <v>46002</v>
      </c>
      <c r="B175" s="4" t="s">
        <v>248</v>
      </c>
      <c r="C175" s="4" t="s">
        <v>172</v>
      </c>
      <c r="D175" s="4" t="s">
        <v>544</v>
      </c>
      <c r="E175" s="4" t="s">
        <v>545</v>
      </c>
      <c r="F175" s="5">
        <v>-1.1000000000000001E-3</v>
      </c>
      <c r="G175" s="5">
        <v>0.25219999999999998</v>
      </c>
    </row>
    <row r="176" spans="1:7" x14ac:dyDescent="0.25">
      <c r="A176" s="1">
        <v>46001</v>
      </c>
      <c r="B176" s="4" t="s">
        <v>248</v>
      </c>
      <c r="C176" s="4" t="s">
        <v>173</v>
      </c>
      <c r="D176" s="4" t="s">
        <v>546</v>
      </c>
      <c r="E176" s="4" t="s">
        <v>547</v>
      </c>
      <c r="F176" s="5">
        <v>3.3E-3</v>
      </c>
      <c r="G176" s="5">
        <v>0.25359999999999999</v>
      </c>
    </row>
    <row r="177" spans="1:7" x14ac:dyDescent="0.25">
      <c r="A177" s="1">
        <v>46000</v>
      </c>
      <c r="B177" s="4" t="s">
        <v>248</v>
      </c>
      <c r="C177" s="4" t="s">
        <v>174</v>
      </c>
      <c r="D177" s="4" t="s">
        <v>548</v>
      </c>
      <c r="E177" s="4" t="s">
        <v>549</v>
      </c>
      <c r="F177" s="5">
        <v>-8.0000000000000004E-4</v>
      </c>
      <c r="G177" s="5">
        <v>0.2495</v>
      </c>
    </row>
    <row r="178" spans="1:7" x14ac:dyDescent="0.25">
      <c r="A178" s="1">
        <v>45999</v>
      </c>
      <c r="B178" s="4" t="s">
        <v>248</v>
      </c>
      <c r="C178" s="4" t="s">
        <v>175</v>
      </c>
      <c r="D178" s="4" t="s">
        <v>550</v>
      </c>
      <c r="E178" s="4" t="s">
        <v>551</v>
      </c>
      <c r="F178" s="5">
        <v>2.0000000000000001E-4</v>
      </c>
      <c r="G178" s="5">
        <v>0.2505</v>
      </c>
    </row>
    <row r="179" spans="1:7" x14ac:dyDescent="0.25">
      <c r="A179" s="1">
        <v>45996</v>
      </c>
      <c r="B179" s="4" t="s">
        <v>248</v>
      </c>
      <c r="C179" s="4" t="s">
        <v>176</v>
      </c>
      <c r="D179" s="4" t="s">
        <v>552</v>
      </c>
      <c r="E179" s="4" t="s">
        <v>553</v>
      </c>
      <c r="F179" s="5">
        <v>4.4999999999999997E-3</v>
      </c>
      <c r="G179" s="5">
        <v>0.25019999999999998</v>
      </c>
    </row>
    <row r="180" spans="1:7" x14ac:dyDescent="0.25">
      <c r="A180" s="1">
        <v>45995</v>
      </c>
      <c r="B180" s="4" t="s">
        <v>248</v>
      </c>
      <c r="C180" s="4" t="s">
        <v>177</v>
      </c>
      <c r="D180" s="4" t="s">
        <v>554</v>
      </c>
      <c r="E180" s="4" t="s">
        <v>555</v>
      </c>
      <c r="F180" s="5">
        <v>8.0000000000000004E-4</v>
      </c>
      <c r="G180" s="5">
        <v>0.24460000000000001</v>
      </c>
    </row>
    <row r="181" spans="1:7" x14ac:dyDescent="0.25">
      <c r="A181" s="1">
        <v>45994</v>
      </c>
      <c r="B181" s="4" t="s">
        <v>248</v>
      </c>
      <c r="C181" s="4" t="s">
        <v>178</v>
      </c>
      <c r="D181" s="4" t="s">
        <v>556</v>
      </c>
      <c r="E181" s="4" t="s">
        <v>557</v>
      </c>
      <c r="F181" s="5">
        <v>1.1999999999999999E-3</v>
      </c>
      <c r="G181" s="5">
        <v>0.24360000000000001</v>
      </c>
    </row>
    <row r="182" spans="1:7" x14ac:dyDescent="0.25">
      <c r="A182" s="1">
        <v>45993</v>
      </c>
      <c r="B182" s="4" t="s">
        <v>248</v>
      </c>
      <c r="C182" s="4" t="s">
        <v>179</v>
      </c>
      <c r="D182" s="4" t="s">
        <v>558</v>
      </c>
      <c r="E182" s="4" t="s">
        <v>559</v>
      </c>
      <c r="F182" s="5">
        <v>-4.5999999999999999E-3</v>
      </c>
      <c r="G182" s="5">
        <v>0.24210000000000001</v>
      </c>
    </row>
    <row r="183" spans="1:7" x14ac:dyDescent="0.25">
      <c r="A183" s="1">
        <v>45992</v>
      </c>
      <c r="B183" s="4" t="s">
        <v>248</v>
      </c>
      <c r="C183" s="4" t="s">
        <v>180</v>
      </c>
      <c r="D183" s="4" t="s">
        <v>181</v>
      </c>
      <c r="E183" s="4" t="s">
        <v>180</v>
      </c>
      <c r="F183" s="5">
        <v>-9.1000000000000004E-3</v>
      </c>
      <c r="G183" s="5">
        <v>0.24790000000000001</v>
      </c>
    </row>
    <row r="184" spans="1:7" x14ac:dyDescent="0.25">
      <c r="A184" s="1">
        <v>45989</v>
      </c>
      <c r="B184" s="4" t="s">
        <v>248</v>
      </c>
      <c r="C184" s="4" t="s">
        <v>181</v>
      </c>
      <c r="D184" s="4" t="s">
        <v>560</v>
      </c>
      <c r="E184" s="4" t="s">
        <v>561</v>
      </c>
      <c r="F184" s="5">
        <v>-2E-3</v>
      </c>
      <c r="G184" s="5">
        <v>0.25929999999999997</v>
      </c>
    </row>
    <row r="185" spans="1:7" x14ac:dyDescent="0.25">
      <c r="A185" s="1">
        <v>45988</v>
      </c>
      <c r="B185" s="4" t="s">
        <v>248</v>
      </c>
      <c r="C185" s="4" t="s">
        <v>182</v>
      </c>
      <c r="D185" s="4" t="s">
        <v>562</v>
      </c>
      <c r="E185" s="4" t="s">
        <v>563</v>
      </c>
      <c r="F185" s="5">
        <v>5.7000000000000002E-3</v>
      </c>
      <c r="G185" s="5">
        <v>0.26179999999999998</v>
      </c>
    </row>
    <row r="186" spans="1:7" x14ac:dyDescent="0.25">
      <c r="A186" s="1">
        <v>45987</v>
      </c>
      <c r="B186" s="4" t="s">
        <v>248</v>
      </c>
      <c r="C186" s="4" t="s">
        <v>183</v>
      </c>
      <c r="D186" s="4" t="s">
        <v>564</v>
      </c>
      <c r="E186" s="4" t="s">
        <v>184</v>
      </c>
      <c r="F186" s="5">
        <v>8.3000000000000001E-3</v>
      </c>
      <c r="G186" s="5">
        <v>0.25469999999999998</v>
      </c>
    </row>
    <row r="187" spans="1:7" x14ac:dyDescent="0.25">
      <c r="A187" s="1">
        <v>45986</v>
      </c>
      <c r="B187" s="4" t="s">
        <v>248</v>
      </c>
      <c r="C187" s="4" t="s">
        <v>184</v>
      </c>
      <c r="D187" s="4" t="s">
        <v>565</v>
      </c>
      <c r="E187" s="4" t="s">
        <v>185</v>
      </c>
      <c r="F187" s="5">
        <v>2.5000000000000001E-3</v>
      </c>
      <c r="G187" s="5">
        <v>0.24429999999999999</v>
      </c>
    </row>
    <row r="188" spans="1:7" x14ac:dyDescent="0.25">
      <c r="A188" s="1">
        <v>45985</v>
      </c>
      <c r="B188" s="4" t="s">
        <v>248</v>
      </c>
      <c r="C188" s="4" t="s">
        <v>185</v>
      </c>
      <c r="D188" s="4" t="s">
        <v>566</v>
      </c>
      <c r="E188" s="4" t="s">
        <v>567</v>
      </c>
      <c r="F188" s="5">
        <v>7.3000000000000001E-3</v>
      </c>
      <c r="G188" s="5">
        <v>0.24129999999999999</v>
      </c>
    </row>
    <row r="189" spans="1:7" x14ac:dyDescent="0.25">
      <c r="A189" s="1">
        <v>45982</v>
      </c>
      <c r="B189" s="4" t="s">
        <v>248</v>
      </c>
      <c r="C189" s="4" t="s">
        <v>186</v>
      </c>
      <c r="D189" s="4" t="s">
        <v>568</v>
      </c>
      <c r="E189" s="4" t="s">
        <v>569</v>
      </c>
      <c r="F189" s="5">
        <v>5.1000000000000004E-3</v>
      </c>
      <c r="G189" s="5">
        <v>0.23230000000000001</v>
      </c>
    </row>
    <row r="190" spans="1:7" x14ac:dyDescent="0.25">
      <c r="A190" s="1">
        <v>45981</v>
      </c>
      <c r="B190" s="4" t="s">
        <v>248</v>
      </c>
      <c r="C190" s="4" t="s">
        <v>187</v>
      </c>
      <c r="D190" s="4" t="s">
        <v>570</v>
      </c>
      <c r="E190" s="4" t="s">
        <v>571</v>
      </c>
      <c r="F190" s="5">
        <v>-5.1999999999999998E-3</v>
      </c>
      <c r="G190" s="5">
        <v>0.2261</v>
      </c>
    </row>
    <row r="191" spans="1:7" x14ac:dyDescent="0.25">
      <c r="A191" s="1">
        <v>45980</v>
      </c>
      <c r="B191" s="4" t="s">
        <v>248</v>
      </c>
      <c r="C191" s="4" t="s">
        <v>188</v>
      </c>
      <c r="D191" s="4" t="s">
        <v>572</v>
      </c>
      <c r="E191" s="4" t="s">
        <v>573</v>
      </c>
      <c r="F191" s="5">
        <v>-1.5599999999999999E-2</v>
      </c>
      <c r="G191" s="5">
        <v>0.23250000000000001</v>
      </c>
    </row>
    <row r="192" spans="1:7" x14ac:dyDescent="0.25">
      <c r="A192" s="1">
        <v>45978</v>
      </c>
      <c r="B192" s="4" t="s">
        <v>248</v>
      </c>
      <c r="C192" s="4" t="s">
        <v>189</v>
      </c>
      <c r="D192" s="4" t="s">
        <v>574</v>
      </c>
      <c r="E192" s="4" t="s">
        <v>189</v>
      </c>
      <c r="F192" s="5">
        <v>-8.0000000000000002E-3</v>
      </c>
      <c r="G192" s="5">
        <v>0.252</v>
      </c>
    </row>
    <row r="193" spans="1:7" x14ac:dyDescent="0.25">
      <c r="A193" s="1">
        <v>45975</v>
      </c>
      <c r="B193" s="4" t="s">
        <v>248</v>
      </c>
      <c r="C193" s="4" t="s">
        <v>190</v>
      </c>
      <c r="D193" s="4" t="s">
        <v>575</v>
      </c>
      <c r="E193" s="4" t="s">
        <v>576</v>
      </c>
      <c r="F193" s="5">
        <v>-5.7999999999999996E-3</v>
      </c>
      <c r="G193" s="5">
        <v>0.2621</v>
      </c>
    </row>
    <row r="194" spans="1:7" x14ac:dyDescent="0.25">
      <c r="A194" s="1">
        <v>45974</v>
      </c>
      <c r="B194" s="4" t="s">
        <v>248</v>
      </c>
      <c r="C194" s="4" t="s">
        <v>191</v>
      </c>
      <c r="D194" s="4" t="s">
        <v>577</v>
      </c>
      <c r="E194" s="4" t="s">
        <v>192</v>
      </c>
      <c r="F194" s="5">
        <v>4.5999999999999999E-3</v>
      </c>
      <c r="G194" s="5">
        <v>0.26950000000000002</v>
      </c>
    </row>
    <row r="195" spans="1:7" x14ac:dyDescent="0.25">
      <c r="A195" s="1">
        <v>45973</v>
      </c>
      <c r="B195" s="4" t="s">
        <v>248</v>
      </c>
      <c r="C195" s="4" t="s">
        <v>192</v>
      </c>
      <c r="D195" s="4" t="s">
        <v>578</v>
      </c>
      <c r="E195" s="4" t="s">
        <v>579</v>
      </c>
      <c r="F195" s="5">
        <v>2.3999999999999998E-3</v>
      </c>
      <c r="G195" s="5">
        <v>0.26369999999999999</v>
      </c>
    </row>
    <row r="196" spans="1:7" x14ac:dyDescent="0.25">
      <c r="A196" s="1">
        <v>45972</v>
      </c>
      <c r="B196" s="4" t="s">
        <v>248</v>
      </c>
      <c r="C196" s="4" t="s">
        <v>193</v>
      </c>
      <c r="D196" s="4" t="s">
        <v>580</v>
      </c>
      <c r="E196" s="4" t="s">
        <v>193</v>
      </c>
      <c r="F196" s="5">
        <v>-2.3E-2</v>
      </c>
      <c r="G196" s="5">
        <v>0.26069999999999999</v>
      </c>
    </row>
    <row r="197" spans="1:7" x14ac:dyDescent="0.25">
      <c r="A197" s="1">
        <v>45971</v>
      </c>
      <c r="B197" s="4" t="s">
        <v>248</v>
      </c>
      <c r="C197" s="4" t="s">
        <v>194</v>
      </c>
      <c r="D197" s="4" t="s">
        <v>581</v>
      </c>
      <c r="E197" s="4" t="s">
        <v>582</v>
      </c>
      <c r="F197" s="5">
        <v>-1.06E-2</v>
      </c>
      <c r="G197" s="5">
        <v>0.29039999999999999</v>
      </c>
    </row>
    <row r="198" spans="1:7" x14ac:dyDescent="0.25">
      <c r="A198" s="1">
        <v>45968</v>
      </c>
      <c r="B198" s="4" t="s">
        <v>248</v>
      </c>
      <c r="C198" s="4" t="s">
        <v>195</v>
      </c>
      <c r="D198" s="4" t="s">
        <v>583</v>
      </c>
      <c r="E198" s="4" t="s">
        <v>584</v>
      </c>
      <c r="F198" s="5">
        <v>-7.1000000000000004E-3</v>
      </c>
      <c r="G198" s="5">
        <v>0.30430000000000001</v>
      </c>
    </row>
    <row r="199" spans="1:7" x14ac:dyDescent="0.25">
      <c r="A199" s="1">
        <v>45966</v>
      </c>
      <c r="B199" s="4" t="s">
        <v>248</v>
      </c>
      <c r="C199" s="4" t="s">
        <v>196</v>
      </c>
      <c r="D199" s="4" t="s">
        <v>585</v>
      </c>
      <c r="E199" s="4" t="s">
        <v>196</v>
      </c>
      <c r="F199" s="5">
        <v>-8.0000000000000002E-3</v>
      </c>
      <c r="G199" s="5">
        <v>0.31359999999999999</v>
      </c>
    </row>
    <row r="200" spans="1:7" x14ac:dyDescent="0.25">
      <c r="A200" s="1">
        <v>45965</v>
      </c>
      <c r="B200" s="4" t="s">
        <v>248</v>
      </c>
      <c r="C200" s="4" t="s">
        <v>197</v>
      </c>
      <c r="D200" s="4" t="s">
        <v>586</v>
      </c>
      <c r="E200" s="4" t="s">
        <v>587</v>
      </c>
      <c r="F200" s="5">
        <v>-7.4999999999999997E-3</v>
      </c>
      <c r="G200" s="5">
        <v>0.3241</v>
      </c>
    </row>
    <row r="201" spans="1:7" x14ac:dyDescent="0.25">
      <c r="A201" s="1">
        <v>45964</v>
      </c>
      <c r="B201" s="4" t="s">
        <v>248</v>
      </c>
      <c r="C201" s="4" t="s">
        <v>198</v>
      </c>
      <c r="D201" s="4" t="s">
        <v>588</v>
      </c>
      <c r="E201" s="4" t="s">
        <v>199</v>
      </c>
      <c r="F201" s="5">
        <v>3.7000000000000002E-3</v>
      </c>
      <c r="G201" s="5">
        <v>0.3342</v>
      </c>
    </row>
    <row r="202" spans="1:7" x14ac:dyDescent="0.25">
      <c r="A202" s="1">
        <v>45961</v>
      </c>
      <c r="B202" s="4" t="s">
        <v>248</v>
      </c>
      <c r="C202" s="4" t="s">
        <v>199</v>
      </c>
      <c r="D202" s="4" t="s">
        <v>589</v>
      </c>
      <c r="E202" s="4" t="s">
        <v>590</v>
      </c>
      <c r="F202" s="5">
        <v>4.5999999999999999E-3</v>
      </c>
      <c r="G202" s="5">
        <v>0.32919999999999999</v>
      </c>
    </row>
    <row r="203" spans="1:7" x14ac:dyDescent="0.25">
      <c r="A203" s="1">
        <v>45960</v>
      </c>
      <c r="B203" s="4" t="s">
        <v>248</v>
      </c>
      <c r="C203" s="4" t="s">
        <v>200</v>
      </c>
      <c r="D203" s="4" t="s">
        <v>591</v>
      </c>
      <c r="E203" s="4" t="s">
        <v>592</v>
      </c>
      <c r="F203" s="5">
        <v>2.3E-3</v>
      </c>
      <c r="G203" s="5">
        <v>0.3231</v>
      </c>
    </row>
    <row r="204" spans="1:7" x14ac:dyDescent="0.25">
      <c r="A204" s="1">
        <v>45959</v>
      </c>
      <c r="B204" s="4" t="s">
        <v>248</v>
      </c>
      <c r="C204" s="4" t="s">
        <v>201</v>
      </c>
      <c r="D204" s="4" t="s">
        <v>593</v>
      </c>
      <c r="E204" s="4" t="s">
        <v>594</v>
      </c>
      <c r="F204" s="5">
        <v>4.7000000000000002E-3</v>
      </c>
      <c r="G204" s="5">
        <v>0.3201</v>
      </c>
    </row>
    <row r="205" spans="1:7" x14ac:dyDescent="0.25">
      <c r="A205" s="1">
        <v>45958</v>
      </c>
      <c r="B205" s="4" t="s">
        <v>248</v>
      </c>
      <c r="C205" s="4" t="s">
        <v>202</v>
      </c>
      <c r="D205" s="4" t="s">
        <v>595</v>
      </c>
      <c r="E205" s="4" t="s">
        <v>596</v>
      </c>
      <c r="F205" s="5">
        <v>1.9E-3</v>
      </c>
      <c r="G205" s="5">
        <v>0.31390000000000001</v>
      </c>
    </row>
    <row r="206" spans="1:7" x14ac:dyDescent="0.25">
      <c r="A206" s="1">
        <v>45957</v>
      </c>
      <c r="B206" s="4" t="s">
        <v>248</v>
      </c>
      <c r="C206" s="4" t="s">
        <v>203</v>
      </c>
      <c r="D206" s="4" t="s">
        <v>597</v>
      </c>
      <c r="E206" s="4" t="s">
        <v>598</v>
      </c>
      <c r="F206" s="5">
        <v>-3.5000000000000001E-3</v>
      </c>
      <c r="G206" s="5">
        <v>0.3115</v>
      </c>
    </row>
    <row r="207" spans="1:7" x14ac:dyDescent="0.25">
      <c r="A207" s="1">
        <v>45954</v>
      </c>
      <c r="B207" s="4" t="s">
        <v>248</v>
      </c>
      <c r="C207" s="4" t="s">
        <v>204</v>
      </c>
      <c r="D207" s="4" t="s">
        <v>599</v>
      </c>
      <c r="E207" s="4" t="s">
        <v>600</v>
      </c>
      <c r="F207" s="5">
        <v>3.0000000000000001E-3</v>
      </c>
      <c r="G207" s="5">
        <v>0.31609999999999999</v>
      </c>
    </row>
    <row r="208" spans="1:7" x14ac:dyDescent="0.25">
      <c r="A208" s="1">
        <v>45953</v>
      </c>
      <c r="B208" s="4" t="s">
        <v>248</v>
      </c>
      <c r="C208" s="4" t="s">
        <v>205</v>
      </c>
      <c r="D208" s="4" t="s">
        <v>601</v>
      </c>
      <c r="E208" s="4" t="s">
        <v>602</v>
      </c>
      <c r="F208" s="5">
        <v>-3.5000000000000001E-3</v>
      </c>
      <c r="G208" s="5">
        <v>0.31209999999999999</v>
      </c>
    </row>
    <row r="209" spans="1:7" x14ac:dyDescent="0.25">
      <c r="A209" s="1">
        <v>45952</v>
      </c>
      <c r="B209" s="4" t="s">
        <v>248</v>
      </c>
      <c r="C209" s="4" t="s">
        <v>206</v>
      </c>
      <c r="D209" s="4" t="s">
        <v>603</v>
      </c>
      <c r="E209" s="4" t="s">
        <v>207</v>
      </c>
      <c r="F209" s="5">
        <v>5.8999999999999999E-3</v>
      </c>
      <c r="G209" s="5">
        <v>0.31680000000000003</v>
      </c>
    </row>
    <row r="210" spans="1:7" x14ac:dyDescent="0.25">
      <c r="A210" s="1">
        <v>45951</v>
      </c>
      <c r="B210" s="4" t="s">
        <v>248</v>
      </c>
      <c r="C210" s="4" t="s">
        <v>207</v>
      </c>
      <c r="D210" s="4" t="s">
        <v>207</v>
      </c>
      <c r="E210" s="4" t="s">
        <v>208</v>
      </c>
      <c r="F210" s="5">
        <v>2.1700000000000001E-2</v>
      </c>
      <c r="G210" s="5">
        <v>0.30909999999999999</v>
      </c>
    </row>
    <row r="211" spans="1:7" x14ac:dyDescent="0.25">
      <c r="A211" s="1">
        <v>45950</v>
      </c>
      <c r="B211" s="4" t="s">
        <v>248</v>
      </c>
      <c r="C211" s="4" t="s">
        <v>208</v>
      </c>
      <c r="D211" s="4" t="s">
        <v>604</v>
      </c>
      <c r="E211" s="4" t="s">
        <v>209</v>
      </c>
      <c r="F211" s="5">
        <v>2.5499999999999998E-2</v>
      </c>
      <c r="G211" s="5">
        <v>0.28120000000000001</v>
      </c>
    </row>
    <row r="212" spans="1:7" x14ac:dyDescent="0.25">
      <c r="A212" s="1">
        <v>45947</v>
      </c>
      <c r="B212" s="4" t="s">
        <v>248</v>
      </c>
      <c r="C212" s="4" t="s">
        <v>209</v>
      </c>
      <c r="D212" s="4" t="s">
        <v>605</v>
      </c>
      <c r="E212" s="4" t="s">
        <v>606</v>
      </c>
      <c r="F212" s="5">
        <v>1.1000000000000001E-3</v>
      </c>
      <c r="G212" s="5">
        <v>0.24940000000000001</v>
      </c>
    </row>
    <row r="213" spans="1:7" x14ac:dyDescent="0.25">
      <c r="A213" s="1">
        <v>45946</v>
      </c>
      <c r="B213" s="4" t="s">
        <v>248</v>
      </c>
      <c r="C213" s="4" t="s">
        <v>210</v>
      </c>
      <c r="D213" s="4" t="s">
        <v>607</v>
      </c>
      <c r="E213" s="4" t="s">
        <v>608</v>
      </c>
      <c r="F213" s="5">
        <v>1.3100000000000001E-2</v>
      </c>
      <c r="G213" s="5">
        <v>0.24809999999999999</v>
      </c>
    </row>
    <row r="214" spans="1:7" x14ac:dyDescent="0.25">
      <c r="A214" s="1">
        <v>45945</v>
      </c>
      <c r="B214" s="4" t="s">
        <v>248</v>
      </c>
      <c r="C214" s="4" t="s">
        <v>211</v>
      </c>
      <c r="D214" s="4" t="s">
        <v>609</v>
      </c>
      <c r="E214" s="4" t="s">
        <v>610</v>
      </c>
      <c r="F214" s="5">
        <v>-5.3E-3</v>
      </c>
      <c r="G214" s="5">
        <v>0.2319</v>
      </c>
    </row>
    <row r="215" spans="1:7" x14ac:dyDescent="0.25">
      <c r="A215" s="1">
        <v>45944</v>
      </c>
      <c r="B215" s="4" t="s">
        <v>248</v>
      </c>
      <c r="C215" s="4" t="s">
        <v>212</v>
      </c>
      <c r="D215" s="4" t="s">
        <v>611</v>
      </c>
      <c r="E215" s="4" t="s">
        <v>612</v>
      </c>
      <c r="F215" s="5">
        <v>-1.9800000000000002E-2</v>
      </c>
      <c r="G215" s="5">
        <v>0.23849999999999999</v>
      </c>
    </row>
    <row r="216" spans="1:7" x14ac:dyDescent="0.25">
      <c r="A216" s="1">
        <v>45943</v>
      </c>
      <c r="B216" s="4" t="s">
        <v>248</v>
      </c>
      <c r="C216" s="4" t="s">
        <v>213</v>
      </c>
      <c r="D216" s="4" t="s">
        <v>613</v>
      </c>
      <c r="E216" s="4" t="s">
        <v>214</v>
      </c>
      <c r="F216" s="5">
        <v>6.3E-3</v>
      </c>
      <c r="G216" s="5">
        <v>0.26350000000000001</v>
      </c>
    </row>
    <row r="217" spans="1:7" x14ac:dyDescent="0.25">
      <c r="A217" s="1">
        <v>45940</v>
      </c>
      <c r="B217" s="4" t="s">
        <v>248</v>
      </c>
      <c r="C217" s="4" t="s">
        <v>214</v>
      </c>
      <c r="D217" s="4" t="s">
        <v>614</v>
      </c>
      <c r="E217" s="4" t="s">
        <v>615</v>
      </c>
      <c r="F217" s="5">
        <v>-2.7000000000000001E-3</v>
      </c>
      <c r="G217" s="5">
        <v>0.25559999999999999</v>
      </c>
    </row>
    <row r="218" spans="1:7" x14ac:dyDescent="0.25">
      <c r="A218" s="1">
        <v>45939</v>
      </c>
      <c r="B218" s="4" t="s">
        <v>248</v>
      </c>
      <c r="C218" s="4" t="s">
        <v>215</v>
      </c>
      <c r="D218" s="4" t="s">
        <v>616</v>
      </c>
      <c r="E218" s="4" t="s">
        <v>215</v>
      </c>
      <c r="F218" s="5">
        <v>-1.4E-2</v>
      </c>
      <c r="G218" s="5">
        <v>0.25900000000000001</v>
      </c>
    </row>
    <row r="219" spans="1:7" x14ac:dyDescent="0.25">
      <c r="A219" s="1">
        <v>45938</v>
      </c>
      <c r="B219" s="4" t="s">
        <v>248</v>
      </c>
      <c r="C219" s="4" t="s">
        <v>216</v>
      </c>
      <c r="D219" s="4" t="s">
        <v>617</v>
      </c>
      <c r="E219" s="4" t="s">
        <v>618</v>
      </c>
      <c r="F219" s="5">
        <v>-6.4000000000000003E-3</v>
      </c>
      <c r="G219" s="5">
        <v>0.27679999999999999</v>
      </c>
    </row>
    <row r="220" spans="1:7" x14ac:dyDescent="0.25">
      <c r="A220" s="1">
        <v>45937</v>
      </c>
      <c r="B220" s="4" t="s">
        <v>248</v>
      </c>
      <c r="C220" s="4" t="s">
        <v>217</v>
      </c>
      <c r="D220" s="4" t="s">
        <v>619</v>
      </c>
      <c r="E220" s="4" t="s">
        <v>217</v>
      </c>
      <c r="F220" s="5">
        <v>-5.3E-3</v>
      </c>
      <c r="G220" s="5">
        <v>0.28499999999999998</v>
      </c>
    </row>
    <row r="221" spans="1:7" x14ac:dyDescent="0.25">
      <c r="A221" s="1">
        <v>45936</v>
      </c>
      <c r="B221" s="4" t="s">
        <v>248</v>
      </c>
      <c r="C221" s="4" t="s">
        <v>218</v>
      </c>
      <c r="D221" s="4" t="s">
        <v>620</v>
      </c>
      <c r="E221" s="4" t="s">
        <v>219</v>
      </c>
      <c r="F221" s="5">
        <v>1.4E-2</v>
      </c>
      <c r="G221" s="5">
        <v>0.2918</v>
      </c>
    </row>
    <row r="222" spans="1:7" x14ac:dyDescent="0.25">
      <c r="A222" s="1">
        <v>45933</v>
      </c>
      <c r="B222" s="4" t="s">
        <v>248</v>
      </c>
      <c r="C222" s="4" t="s">
        <v>219</v>
      </c>
      <c r="D222" s="4" t="s">
        <v>621</v>
      </c>
      <c r="E222" s="4" t="s">
        <v>622</v>
      </c>
      <c r="F222" s="5">
        <v>1.95E-2</v>
      </c>
      <c r="G222" s="5">
        <v>0.27389999999999998</v>
      </c>
    </row>
    <row r="223" spans="1:7" x14ac:dyDescent="0.25">
      <c r="A223" s="1">
        <v>45932</v>
      </c>
      <c r="B223" s="4" t="s">
        <v>248</v>
      </c>
      <c r="C223" s="4" t="s">
        <v>220</v>
      </c>
      <c r="D223" s="4" t="s">
        <v>623</v>
      </c>
      <c r="E223" s="4" t="s">
        <v>624</v>
      </c>
      <c r="F223" s="5">
        <v>4.7999999999999996E-3</v>
      </c>
      <c r="G223" s="5">
        <v>0.24959999999999999</v>
      </c>
    </row>
    <row r="224" spans="1:7" x14ac:dyDescent="0.25">
      <c r="A224" s="1">
        <v>45931</v>
      </c>
      <c r="B224" s="4" t="s">
        <v>248</v>
      </c>
      <c r="C224" s="4" t="s">
        <v>221</v>
      </c>
      <c r="D224" s="4" t="s">
        <v>222</v>
      </c>
      <c r="E224" s="4" t="s">
        <v>625</v>
      </c>
      <c r="F224" s="5">
        <v>-3.44E-2</v>
      </c>
      <c r="G224" s="5">
        <v>0.24349999999999999</v>
      </c>
    </row>
    <row r="225" spans="1:7" x14ac:dyDescent="0.25">
      <c r="A225" s="1">
        <v>45930</v>
      </c>
      <c r="B225" s="4" t="s">
        <v>248</v>
      </c>
      <c r="C225" s="4" t="s">
        <v>222</v>
      </c>
      <c r="D225" s="4" t="s">
        <v>626</v>
      </c>
      <c r="E225" s="4" t="s">
        <v>627</v>
      </c>
      <c r="F225" s="5">
        <v>2.3E-3</v>
      </c>
      <c r="G225" s="5">
        <v>0.2878</v>
      </c>
    </row>
    <row r="226" spans="1:7" x14ac:dyDescent="0.25">
      <c r="A226" s="1">
        <v>45929</v>
      </c>
      <c r="B226" s="4" t="s">
        <v>248</v>
      </c>
      <c r="C226" s="4" t="s">
        <v>223</v>
      </c>
      <c r="D226" s="4" t="s">
        <v>628</v>
      </c>
      <c r="E226" s="4" t="s">
        <v>223</v>
      </c>
      <c r="F226" s="5">
        <v>-1.8800000000000001E-2</v>
      </c>
      <c r="G226" s="5">
        <v>0.2848</v>
      </c>
    </row>
    <row r="227" spans="1:7" x14ac:dyDescent="0.25">
      <c r="A227" s="1">
        <v>45926</v>
      </c>
      <c r="B227" s="4" t="s">
        <v>248</v>
      </c>
      <c r="C227" s="4" t="s">
        <v>224</v>
      </c>
      <c r="D227" s="4" t="s">
        <v>629</v>
      </c>
      <c r="E227" s="4" t="s">
        <v>630</v>
      </c>
      <c r="F227" s="5">
        <v>-4.4999999999999997E-3</v>
      </c>
      <c r="G227" s="5">
        <v>0.30930000000000002</v>
      </c>
    </row>
    <row r="228" spans="1:7" x14ac:dyDescent="0.25">
      <c r="A228" s="1">
        <v>45925</v>
      </c>
      <c r="B228" s="4" t="s">
        <v>248</v>
      </c>
      <c r="C228" s="4" t="s">
        <v>225</v>
      </c>
      <c r="D228" s="4" t="s">
        <v>631</v>
      </c>
      <c r="E228" s="4" t="s">
        <v>632</v>
      </c>
      <c r="F228" s="5">
        <v>-9.5999999999999992E-3</v>
      </c>
      <c r="G228" s="5">
        <v>0.31519999999999998</v>
      </c>
    </row>
    <row r="229" spans="1:7" x14ac:dyDescent="0.25">
      <c r="A229" s="1">
        <v>45924</v>
      </c>
      <c r="B229" s="4" t="s">
        <v>248</v>
      </c>
      <c r="C229" s="4" t="s">
        <v>226</v>
      </c>
      <c r="D229" s="4" t="s">
        <v>633</v>
      </c>
      <c r="E229" s="4" t="s">
        <v>634</v>
      </c>
      <c r="F229" s="5">
        <v>-7.7000000000000002E-3</v>
      </c>
      <c r="G229" s="5">
        <v>0.32790000000000002</v>
      </c>
    </row>
    <row r="230" spans="1:7" x14ac:dyDescent="0.25">
      <c r="A230" s="1">
        <v>45923</v>
      </c>
      <c r="B230" s="4" t="s">
        <v>248</v>
      </c>
      <c r="C230" s="4" t="s">
        <v>227</v>
      </c>
      <c r="D230" s="4" t="s">
        <v>635</v>
      </c>
      <c r="E230" s="4" t="s">
        <v>636</v>
      </c>
      <c r="F230" s="5">
        <v>-9.2999999999999992E-3</v>
      </c>
      <c r="G230" s="5">
        <v>0.3382</v>
      </c>
    </row>
    <row r="231" spans="1:7" x14ac:dyDescent="0.25">
      <c r="A231" s="1">
        <v>45922</v>
      </c>
      <c r="B231" s="4" t="s">
        <v>248</v>
      </c>
      <c r="C231" s="4" t="s">
        <v>228</v>
      </c>
      <c r="D231" s="4" t="s">
        <v>637</v>
      </c>
      <c r="E231" s="4" t="s">
        <v>638</v>
      </c>
      <c r="F231" s="5">
        <v>5.9999999999999995E-4</v>
      </c>
      <c r="G231" s="5">
        <v>0.35089999999999999</v>
      </c>
    </row>
    <row r="232" spans="1:7" x14ac:dyDescent="0.25">
      <c r="A232" s="1">
        <v>45919</v>
      </c>
      <c r="B232" s="4" t="s">
        <v>248</v>
      </c>
      <c r="C232" s="4" t="s">
        <v>229</v>
      </c>
      <c r="D232" s="4" t="s">
        <v>639</v>
      </c>
      <c r="E232" s="4" t="s">
        <v>640</v>
      </c>
      <c r="F232" s="5">
        <v>7.3000000000000001E-3</v>
      </c>
      <c r="G232" s="5">
        <v>0.35</v>
      </c>
    </row>
    <row r="233" spans="1:7" x14ac:dyDescent="0.25">
      <c r="A233" s="1">
        <v>45918</v>
      </c>
      <c r="B233" s="4" t="s">
        <v>248</v>
      </c>
      <c r="C233" s="4" t="s">
        <v>230</v>
      </c>
      <c r="D233" s="4" t="s">
        <v>641</v>
      </c>
      <c r="E233" s="4" t="s">
        <v>642</v>
      </c>
      <c r="F233" s="5">
        <v>1.09E-2</v>
      </c>
      <c r="G233" s="5">
        <v>0.3402</v>
      </c>
    </row>
    <row r="234" spans="1:7" x14ac:dyDescent="0.25">
      <c r="A234" s="1">
        <v>45917</v>
      </c>
      <c r="B234" s="4" t="s">
        <v>248</v>
      </c>
      <c r="C234" s="4" t="s">
        <v>231</v>
      </c>
      <c r="D234" s="4" t="s">
        <v>643</v>
      </c>
      <c r="E234" s="4" t="s">
        <v>644</v>
      </c>
      <c r="F234" s="5">
        <v>-3.0000000000000001E-3</v>
      </c>
      <c r="G234" s="5">
        <v>0.32579999999999998</v>
      </c>
    </row>
    <row r="235" spans="1:7" x14ac:dyDescent="0.25">
      <c r="A235" s="1">
        <v>45916</v>
      </c>
      <c r="B235" s="4" t="s">
        <v>248</v>
      </c>
      <c r="C235" s="4" t="s">
        <v>232</v>
      </c>
      <c r="D235" s="4" t="s">
        <v>645</v>
      </c>
      <c r="E235" s="4" t="s">
        <v>646</v>
      </c>
      <c r="F235" s="5">
        <v>1.9E-3</v>
      </c>
      <c r="G235" s="5">
        <v>0.32990000000000003</v>
      </c>
    </row>
    <row r="236" spans="1:7" x14ac:dyDescent="0.25">
      <c r="A236" s="1">
        <v>45915</v>
      </c>
      <c r="B236" s="4" t="s">
        <v>248</v>
      </c>
      <c r="C236" s="4" t="s">
        <v>233</v>
      </c>
      <c r="D236" s="4" t="s">
        <v>647</v>
      </c>
      <c r="E236" s="4" t="s">
        <v>233</v>
      </c>
      <c r="F236" s="5">
        <v>-1.11E-2</v>
      </c>
      <c r="G236" s="5">
        <v>0.32740000000000002</v>
      </c>
    </row>
    <row r="237" spans="1:7" x14ac:dyDescent="0.25">
      <c r="A237" s="1">
        <v>45912</v>
      </c>
      <c r="B237" s="4" t="s">
        <v>248</v>
      </c>
      <c r="C237" s="4" t="s">
        <v>234</v>
      </c>
      <c r="D237" s="4" t="s">
        <v>648</v>
      </c>
      <c r="E237" s="4" t="s">
        <v>649</v>
      </c>
      <c r="F237" s="5">
        <v>-2.3E-3</v>
      </c>
      <c r="G237" s="5">
        <v>0.3422</v>
      </c>
    </row>
    <row r="238" spans="1:7" x14ac:dyDescent="0.25">
      <c r="A238" s="1">
        <v>45911</v>
      </c>
      <c r="B238" s="4" t="s">
        <v>248</v>
      </c>
      <c r="C238" s="4" t="s">
        <v>235</v>
      </c>
      <c r="D238" s="4" t="s">
        <v>650</v>
      </c>
      <c r="E238" s="4" t="s">
        <v>651</v>
      </c>
      <c r="F238" s="5">
        <v>1.6000000000000001E-3</v>
      </c>
      <c r="G238" s="5">
        <v>0.3453</v>
      </c>
    </row>
    <row r="239" spans="1:7" x14ac:dyDescent="0.25">
      <c r="A239" s="1">
        <v>45910</v>
      </c>
      <c r="B239" s="4" t="s">
        <v>248</v>
      </c>
      <c r="C239" s="4" t="s">
        <v>236</v>
      </c>
      <c r="D239" s="4" t="s">
        <v>652</v>
      </c>
      <c r="E239" s="4" t="s">
        <v>237</v>
      </c>
      <c r="F239" s="5">
        <v>1.6400000000000001E-2</v>
      </c>
      <c r="G239" s="5">
        <v>0.34310000000000002</v>
      </c>
    </row>
    <row r="240" spans="1:7" x14ac:dyDescent="0.25">
      <c r="A240" s="1">
        <v>45909</v>
      </c>
      <c r="B240" s="4" t="s">
        <v>248</v>
      </c>
      <c r="C240" s="4" t="s">
        <v>237</v>
      </c>
      <c r="D240" s="4" t="s">
        <v>653</v>
      </c>
      <c r="E240" s="4" t="s">
        <v>654</v>
      </c>
      <c r="F240" s="5">
        <v>-2.5899999999999999E-2</v>
      </c>
      <c r="G240" s="5">
        <v>0.32140000000000002</v>
      </c>
    </row>
    <row r="241" spans="1:7" x14ac:dyDescent="0.25">
      <c r="A241" s="1">
        <v>45908</v>
      </c>
      <c r="B241" s="4" t="s">
        <v>248</v>
      </c>
      <c r="C241" s="4" t="s">
        <v>238</v>
      </c>
      <c r="D241" s="4" t="s">
        <v>655</v>
      </c>
      <c r="E241" s="4" t="s">
        <v>656</v>
      </c>
      <c r="F241" s="5">
        <v>-2.3999999999999998E-3</v>
      </c>
      <c r="G241" s="5">
        <v>0.35649999999999998</v>
      </c>
    </row>
    <row r="242" spans="1:7" x14ac:dyDescent="0.25">
      <c r="A242" s="1">
        <v>45904</v>
      </c>
      <c r="B242" s="4" t="s">
        <v>248</v>
      </c>
      <c r="C242" s="4" t="s">
        <v>239</v>
      </c>
      <c r="D242" s="4" t="s">
        <v>657</v>
      </c>
      <c r="E242" s="4" t="s">
        <v>658</v>
      </c>
      <c r="F242" s="5">
        <v>-2.8999999999999998E-3</v>
      </c>
      <c r="G242" s="5">
        <v>0.35980000000000001</v>
      </c>
    </row>
    <row r="243" spans="1:7" x14ac:dyDescent="0.25">
      <c r="A243" s="1">
        <v>45903</v>
      </c>
      <c r="B243" s="4" t="s">
        <v>248</v>
      </c>
      <c r="C243" s="4" t="s">
        <v>240</v>
      </c>
      <c r="D243" s="4" t="s">
        <v>659</v>
      </c>
      <c r="E243" s="4" t="s">
        <v>660</v>
      </c>
      <c r="F243" s="5">
        <v>1.4E-3</v>
      </c>
      <c r="G243" s="5">
        <v>0.36370000000000002</v>
      </c>
    </row>
    <row r="244" spans="1:7" x14ac:dyDescent="0.25">
      <c r="A244" s="1">
        <v>45902</v>
      </c>
      <c r="B244" s="4" t="s">
        <v>248</v>
      </c>
      <c r="C244" s="4" t="s">
        <v>241</v>
      </c>
      <c r="D244" s="4" t="s">
        <v>661</v>
      </c>
      <c r="E244" s="4" t="s">
        <v>662</v>
      </c>
      <c r="F244" s="5">
        <v>2.3E-3</v>
      </c>
      <c r="G244" s="5">
        <v>0.36180000000000001</v>
      </c>
    </row>
    <row r="245" spans="1:7" x14ac:dyDescent="0.25">
      <c r="A245" s="1">
        <v>45901</v>
      </c>
      <c r="B245" s="4" t="s">
        <v>248</v>
      </c>
      <c r="C245" s="4" t="s">
        <v>242</v>
      </c>
      <c r="D245" s="4" t="s">
        <v>663</v>
      </c>
      <c r="E245" s="4" t="s">
        <v>664</v>
      </c>
      <c r="F245" s="5">
        <v>8.0000000000000004E-4</v>
      </c>
      <c r="G245" s="5">
        <v>0.35870000000000002</v>
      </c>
    </row>
    <row r="246" spans="1:7" x14ac:dyDescent="0.25">
      <c r="A246" s="1">
        <v>45898</v>
      </c>
      <c r="B246" s="4" t="s">
        <v>248</v>
      </c>
      <c r="C246" s="4" t="s">
        <v>665</v>
      </c>
      <c r="D246" s="4" t="s">
        <v>666</v>
      </c>
      <c r="E246" s="4" t="s">
        <v>667</v>
      </c>
      <c r="F246" s="5">
        <v>-4.1000000000000003E-3</v>
      </c>
      <c r="G246" s="5">
        <v>0.35749999999999998</v>
      </c>
    </row>
    <row r="247" spans="1:7" x14ac:dyDescent="0.25">
      <c r="A247" s="1">
        <v>45897</v>
      </c>
      <c r="B247" s="4" t="s">
        <v>248</v>
      </c>
      <c r="C247" s="4" t="s">
        <v>668</v>
      </c>
      <c r="D247" s="4" t="s">
        <v>669</v>
      </c>
      <c r="E247" s="4" t="s">
        <v>670</v>
      </c>
      <c r="F247" s="5">
        <v>-4.7000000000000002E-3</v>
      </c>
      <c r="G247" s="5">
        <v>0.36320000000000002</v>
      </c>
    </row>
    <row r="248" spans="1:7" x14ac:dyDescent="0.25">
      <c r="A248" s="1">
        <v>45896</v>
      </c>
      <c r="B248" s="4" t="s">
        <v>248</v>
      </c>
      <c r="C248" s="4" t="s">
        <v>671</v>
      </c>
      <c r="D248" s="4" t="s">
        <v>672</v>
      </c>
      <c r="E248" s="4" t="s">
        <v>673</v>
      </c>
      <c r="F248" s="5">
        <v>8.3999999999999995E-3</v>
      </c>
      <c r="G248" s="5">
        <v>0.36959999999999998</v>
      </c>
    </row>
    <row r="249" spans="1:7" x14ac:dyDescent="0.25">
      <c r="A249" s="1">
        <v>45895</v>
      </c>
      <c r="B249" s="4" t="s">
        <v>248</v>
      </c>
      <c r="C249" s="4" t="s">
        <v>674</v>
      </c>
      <c r="D249" s="4" t="s">
        <v>675</v>
      </c>
      <c r="E249" s="4" t="s">
        <v>676</v>
      </c>
      <c r="F249" s="5">
        <v>3.3999999999999998E-3</v>
      </c>
      <c r="G249" s="5">
        <v>0.35820000000000002</v>
      </c>
    </row>
    <row r="250" spans="1:7" x14ac:dyDescent="0.25">
      <c r="A250" s="1">
        <v>45894</v>
      </c>
      <c r="B250" s="4" t="s">
        <v>248</v>
      </c>
      <c r="C250" s="4" t="s">
        <v>677</v>
      </c>
      <c r="D250" s="4" t="s">
        <v>678</v>
      </c>
      <c r="E250" s="4" t="s">
        <v>679</v>
      </c>
      <c r="F250" s="5">
        <v>8.0000000000000004E-4</v>
      </c>
      <c r="G250" s="5">
        <v>0.35360000000000003</v>
      </c>
    </row>
    <row r="251" spans="1:7" x14ac:dyDescent="0.25">
      <c r="A251" s="1">
        <v>45891</v>
      </c>
      <c r="B251" s="4" t="s">
        <v>248</v>
      </c>
      <c r="C251" s="4" t="s">
        <v>680</v>
      </c>
      <c r="D251" s="4" t="s">
        <v>681</v>
      </c>
      <c r="E251" s="4" t="s">
        <v>682</v>
      </c>
      <c r="F251" s="5">
        <v>1.8499999999999999E-2</v>
      </c>
      <c r="G251" s="5">
        <v>0.35260000000000002</v>
      </c>
    </row>
    <row r="252" spans="1:7" x14ac:dyDescent="0.25">
      <c r="A252" s="1">
        <v>45888</v>
      </c>
      <c r="B252" s="4" t="s">
        <v>248</v>
      </c>
      <c r="C252" s="4" t="s">
        <v>682</v>
      </c>
      <c r="D252" s="4" t="s">
        <v>683</v>
      </c>
      <c r="E252" s="4" t="s">
        <v>684</v>
      </c>
      <c r="F252" s="5">
        <v>-6.4000000000000003E-3</v>
      </c>
      <c r="G252" s="5">
        <v>0.3281</v>
      </c>
    </row>
    <row r="253" spans="1:7" x14ac:dyDescent="0.25">
      <c r="A253" s="1">
        <v>45887</v>
      </c>
      <c r="B253" s="4" t="s">
        <v>248</v>
      </c>
      <c r="C253" s="4" t="s">
        <v>685</v>
      </c>
      <c r="D253" s="4" t="s">
        <v>686</v>
      </c>
      <c r="E253" s="4" t="s">
        <v>687</v>
      </c>
      <c r="F253" s="5">
        <v>-5.0000000000000001E-3</v>
      </c>
      <c r="G253" s="5">
        <v>0.33650000000000002</v>
      </c>
    </row>
    <row r="254" spans="1:7" x14ac:dyDescent="0.25">
      <c r="A254" s="1">
        <v>45884</v>
      </c>
      <c r="B254" s="4" t="s">
        <v>248</v>
      </c>
      <c r="C254" s="4" t="s">
        <v>688</v>
      </c>
      <c r="D254" s="4" t="s">
        <v>689</v>
      </c>
      <c r="E254" s="4" t="s">
        <v>690</v>
      </c>
      <c r="F254" s="5">
        <v>-6.9999999999999999E-4</v>
      </c>
      <c r="G254" s="5">
        <v>0.34329999999999999</v>
      </c>
    </row>
    <row r="255" spans="1:7" x14ac:dyDescent="0.25">
      <c r="A255" s="1">
        <v>45882</v>
      </c>
      <c r="B255" s="4" t="s">
        <v>248</v>
      </c>
      <c r="C255" s="4" t="s">
        <v>691</v>
      </c>
      <c r="D255" s="4" t="s">
        <v>692</v>
      </c>
      <c r="E255" s="4" t="s">
        <v>693</v>
      </c>
      <c r="F255" s="5">
        <v>-1.2999999999999999E-3</v>
      </c>
      <c r="G255" s="5">
        <v>0.34420000000000001</v>
      </c>
    </row>
    <row r="256" spans="1:7" x14ac:dyDescent="0.25">
      <c r="A256" s="1">
        <v>45881</v>
      </c>
      <c r="B256" s="4" t="s">
        <v>248</v>
      </c>
      <c r="C256" s="4" t="s">
        <v>694</v>
      </c>
      <c r="D256" s="4" t="s">
        <v>695</v>
      </c>
      <c r="E256" s="4" t="s">
        <v>696</v>
      </c>
      <c r="F256" s="5">
        <v>2E-3</v>
      </c>
      <c r="G256" s="5">
        <v>0.34589999999999999</v>
      </c>
    </row>
    <row r="257" spans="1:7" x14ac:dyDescent="0.25">
      <c r="A257" s="1">
        <v>45880</v>
      </c>
      <c r="B257" s="4" t="s">
        <v>248</v>
      </c>
      <c r="C257" s="4" t="s">
        <v>697</v>
      </c>
      <c r="D257" s="4" t="s">
        <v>698</v>
      </c>
      <c r="E257" s="4" t="s">
        <v>699</v>
      </c>
      <c r="F257" s="5">
        <v>1.1999999999999999E-3</v>
      </c>
      <c r="G257" s="5">
        <v>0.34320000000000001</v>
      </c>
    </row>
    <row r="258" spans="1:7" x14ac:dyDescent="0.25">
      <c r="A258" s="1">
        <v>45877</v>
      </c>
      <c r="B258" s="4" t="s">
        <v>248</v>
      </c>
      <c r="C258" s="4" t="s">
        <v>700</v>
      </c>
      <c r="D258" s="4" t="s">
        <v>701</v>
      </c>
      <c r="E258" s="4" t="s">
        <v>702</v>
      </c>
      <c r="F258" s="5">
        <v>2E-3</v>
      </c>
      <c r="G258" s="5">
        <v>0.34150000000000003</v>
      </c>
    </row>
    <row r="259" spans="1:7" x14ac:dyDescent="0.25">
      <c r="A259" s="1">
        <v>45876</v>
      </c>
      <c r="B259" s="4" t="s">
        <v>248</v>
      </c>
      <c r="C259" s="4" t="s">
        <v>702</v>
      </c>
      <c r="D259" s="4" t="s">
        <v>703</v>
      </c>
      <c r="E259" s="4" t="s">
        <v>704</v>
      </c>
      <c r="F259" s="5">
        <v>4.7999999999999996E-3</v>
      </c>
      <c r="G259" s="5">
        <v>0.33879999999999999</v>
      </c>
    </row>
    <row r="260" spans="1:7" x14ac:dyDescent="0.25">
      <c r="A260" s="1">
        <v>45875</v>
      </c>
      <c r="B260" s="4" t="s">
        <v>248</v>
      </c>
      <c r="C260" s="4" t="s">
        <v>705</v>
      </c>
      <c r="D260" s="4" t="s">
        <v>706</v>
      </c>
      <c r="E260" s="4" t="s">
        <v>707</v>
      </c>
      <c r="F260" s="5">
        <v>5.5999999999999999E-3</v>
      </c>
      <c r="G260" s="5">
        <v>0.33250000000000002</v>
      </c>
    </row>
    <row r="261" spans="1:7" x14ac:dyDescent="0.25">
      <c r="A261" s="1">
        <v>45874</v>
      </c>
      <c r="B261" s="4" t="s">
        <v>248</v>
      </c>
      <c r="C261" s="4" t="s">
        <v>708</v>
      </c>
      <c r="D261" s="4" t="s">
        <v>709</v>
      </c>
      <c r="E261" s="4" t="s">
        <v>710</v>
      </c>
      <c r="F261" s="5">
        <v>1.5E-3</v>
      </c>
      <c r="G261" s="5">
        <v>0.3251</v>
      </c>
    </row>
    <row r="262" spans="1:7" x14ac:dyDescent="0.25">
      <c r="A262" s="1">
        <v>45873</v>
      </c>
      <c r="B262" s="4" t="s">
        <v>248</v>
      </c>
      <c r="C262" s="4" t="s">
        <v>711</v>
      </c>
      <c r="D262" s="4" t="s">
        <v>712</v>
      </c>
      <c r="E262" s="4" t="s">
        <v>713</v>
      </c>
      <c r="F262" s="5">
        <v>-1.1999999999999999E-3</v>
      </c>
      <c r="G262" s="5">
        <v>0.32319999999999999</v>
      </c>
    </row>
    <row r="263" spans="1:7" x14ac:dyDescent="0.25">
      <c r="A263" s="1">
        <v>45870</v>
      </c>
      <c r="B263" s="4" t="s">
        <v>248</v>
      </c>
      <c r="C263" s="4" t="s">
        <v>714</v>
      </c>
      <c r="D263" s="4" t="s">
        <v>715</v>
      </c>
      <c r="E263" s="4" t="s">
        <v>716</v>
      </c>
      <c r="F263" s="5">
        <v>-3.3E-3</v>
      </c>
      <c r="G263" s="5">
        <v>0.32469999999999999</v>
      </c>
    </row>
    <row r="264" spans="1:7" x14ac:dyDescent="0.25">
      <c r="A264" s="1">
        <v>45869</v>
      </c>
      <c r="B264" s="4" t="s">
        <v>248</v>
      </c>
      <c r="C264" s="4" t="s">
        <v>717</v>
      </c>
      <c r="D264" s="4" t="s">
        <v>718</v>
      </c>
      <c r="E264" s="4" t="s">
        <v>719</v>
      </c>
      <c r="F264" s="5">
        <v>9.7000000000000003E-3</v>
      </c>
      <c r="G264" s="5">
        <v>0.3291</v>
      </c>
    </row>
    <row r="265" spans="1:7" x14ac:dyDescent="0.25">
      <c r="A265" s="1">
        <v>45867</v>
      </c>
      <c r="B265" s="4" t="s">
        <v>248</v>
      </c>
      <c r="C265" s="4" t="s">
        <v>720</v>
      </c>
      <c r="D265" s="4" t="s">
        <v>721</v>
      </c>
      <c r="E265" s="4" t="s">
        <v>722</v>
      </c>
      <c r="F265" s="5">
        <v>6.8999999999999999E-3</v>
      </c>
      <c r="G265" s="5">
        <v>0.31630000000000003</v>
      </c>
    </row>
    <row r="266" spans="1:7" x14ac:dyDescent="0.25">
      <c r="A266" s="1">
        <v>45866</v>
      </c>
      <c r="B266" s="4" t="s">
        <v>248</v>
      </c>
      <c r="C266" s="4" t="s">
        <v>722</v>
      </c>
      <c r="D266" s="4" t="s">
        <v>723</v>
      </c>
      <c r="E266" s="4" t="s">
        <v>724</v>
      </c>
      <c r="F266" s="5">
        <v>-4.7000000000000002E-3</v>
      </c>
      <c r="G266" s="5">
        <v>0.30730000000000002</v>
      </c>
    </row>
    <row r="267" spans="1:7" x14ac:dyDescent="0.25">
      <c r="A267" s="1">
        <v>45863</v>
      </c>
      <c r="B267" s="4" t="s">
        <v>248</v>
      </c>
      <c r="C267" s="4" t="s">
        <v>725</v>
      </c>
      <c r="D267" s="4" t="s">
        <v>725</v>
      </c>
      <c r="E267" s="4" t="s">
        <v>726</v>
      </c>
      <c r="F267" s="5">
        <v>7.1999999999999998E-3</v>
      </c>
      <c r="G267" s="5">
        <v>0.3135</v>
      </c>
    </row>
    <row r="268" spans="1:7" x14ac:dyDescent="0.25">
      <c r="A268" s="1">
        <v>45862</v>
      </c>
      <c r="B268" s="4" t="s">
        <v>248</v>
      </c>
      <c r="C268" s="4" t="s">
        <v>727</v>
      </c>
      <c r="D268" s="4" t="s">
        <v>728</v>
      </c>
      <c r="E268" s="4" t="s">
        <v>729</v>
      </c>
      <c r="F268" s="5">
        <v>9.4999999999999998E-3</v>
      </c>
      <c r="G268" s="5">
        <v>0.30409999999999998</v>
      </c>
    </row>
    <row r="269" spans="1:7" x14ac:dyDescent="0.25">
      <c r="A269" s="1">
        <v>45861</v>
      </c>
      <c r="B269" s="4" t="s">
        <v>248</v>
      </c>
      <c r="C269" s="4" t="s">
        <v>730</v>
      </c>
      <c r="D269" s="4" t="s">
        <v>731</v>
      </c>
      <c r="E269" s="4" t="s">
        <v>732</v>
      </c>
      <c r="F269" s="5">
        <v>-5.5999999999999999E-3</v>
      </c>
      <c r="G269" s="5">
        <v>0.29189999999999999</v>
      </c>
    </row>
    <row r="270" spans="1:7" x14ac:dyDescent="0.25">
      <c r="A270" s="1">
        <v>45860</v>
      </c>
      <c r="B270" s="4" t="s">
        <v>248</v>
      </c>
      <c r="C270" s="4" t="s">
        <v>733</v>
      </c>
      <c r="D270" s="4" t="s">
        <v>734</v>
      </c>
      <c r="E270" s="4" t="s">
        <v>735</v>
      </c>
      <c r="F270" s="5">
        <v>8.9999999999999998E-4</v>
      </c>
      <c r="G270" s="5">
        <v>0.29909999999999998</v>
      </c>
    </row>
    <row r="271" spans="1:7" x14ac:dyDescent="0.25">
      <c r="A271" s="1">
        <v>45859</v>
      </c>
      <c r="B271" s="4" t="s">
        <v>248</v>
      </c>
      <c r="C271" s="4" t="s">
        <v>736</v>
      </c>
      <c r="D271" s="4" t="s">
        <v>737</v>
      </c>
      <c r="E271" s="4" t="s">
        <v>738</v>
      </c>
      <c r="F271" s="5">
        <v>4.0000000000000002E-4</v>
      </c>
      <c r="G271" s="5">
        <v>0.29799999999999999</v>
      </c>
    </row>
    <row r="272" spans="1:7" x14ac:dyDescent="0.25">
      <c r="A272" s="1">
        <v>45856</v>
      </c>
      <c r="B272" s="4" t="s">
        <v>248</v>
      </c>
      <c r="C272" s="4" t="s">
        <v>739</v>
      </c>
      <c r="D272" s="4" t="s">
        <v>740</v>
      </c>
      <c r="E272" s="4" t="s">
        <v>741</v>
      </c>
      <c r="F272" s="5">
        <v>1.2999999999999999E-2</v>
      </c>
      <c r="G272" s="5">
        <v>0.29749999999999999</v>
      </c>
    </row>
    <row r="273" spans="1:7" x14ac:dyDescent="0.25">
      <c r="A273" s="1">
        <v>45855</v>
      </c>
      <c r="B273" s="4" t="s">
        <v>248</v>
      </c>
      <c r="C273" s="4" t="s">
        <v>742</v>
      </c>
      <c r="D273" s="4" t="s">
        <v>742</v>
      </c>
      <c r="E273" s="4" t="s">
        <v>743</v>
      </c>
      <c r="F273" s="5">
        <v>5.5999999999999999E-3</v>
      </c>
      <c r="G273" s="5">
        <v>0.28089999999999998</v>
      </c>
    </row>
    <row r="274" spans="1:7" x14ac:dyDescent="0.25">
      <c r="A274" s="1">
        <v>45854</v>
      </c>
      <c r="B274" s="4" t="s">
        <v>248</v>
      </c>
      <c r="C274" s="4" t="s">
        <v>744</v>
      </c>
      <c r="D274" s="4" t="s">
        <v>745</v>
      </c>
      <c r="E274" s="4" t="s">
        <v>746</v>
      </c>
      <c r="F274" s="5">
        <v>-2.9999999999999997E-4</v>
      </c>
      <c r="G274" s="5">
        <v>0.27379999999999999</v>
      </c>
    </row>
    <row r="275" spans="1:7" x14ac:dyDescent="0.25">
      <c r="A275" s="1">
        <v>45853</v>
      </c>
      <c r="B275" s="4" t="s">
        <v>248</v>
      </c>
      <c r="C275" s="4" t="s">
        <v>747</v>
      </c>
      <c r="D275" s="4" t="s">
        <v>748</v>
      </c>
      <c r="E275" s="4" t="s">
        <v>749</v>
      </c>
      <c r="F275" s="5">
        <v>-5.1000000000000004E-3</v>
      </c>
      <c r="G275" s="5">
        <v>0.2742</v>
      </c>
    </row>
    <row r="276" spans="1:7" x14ac:dyDescent="0.25">
      <c r="A276" s="1">
        <v>45852</v>
      </c>
      <c r="B276" s="4" t="s">
        <v>248</v>
      </c>
      <c r="C276" s="4" t="s">
        <v>750</v>
      </c>
      <c r="D276" s="4" t="s">
        <v>751</v>
      </c>
      <c r="E276" s="4" t="s">
        <v>752</v>
      </c>
      <c r="F276" s="5">
        <v>-4.1000000000000003E-3</v>
      </c>
      <c r="G276" s="5">
        <v>0.28070000000000001</v>
      </c>
    </row>
    <row r="277" spans="1:7" x14ac:dyDescent="0.25">
      <c r="A277" s="1">
        <v>45849</v>
      </c>
      <c r="B277" s="4" t="s">
        <v>248</v>
      </c>
      <c r="C277" s="4" t="s">
        <v>751</v>
      </c>
      <c r="D277" s="4" t="s">
        <v>753</v>
      </c>
      <c r="E277" s="4" t="s">
        <v>754</v>
      </c>
      <c r="F277" s="5">
        <v>8.3999999999999995E-3</v>
      </c>
      <c r="G277" s="5">
        <v>0.28599999999999998</v>
      </c>
    </row>
    <row r="278" spans="1:7" x14ac:dyDescent="0.25">
      <c r="A278" s="1">
        <v>45848</v>
      </c>
      <c r="B278" s="4" t="s">
        <v>248</v>
      </c>
      <c r="C278" s="4" t="s">
        <v>755</v>
      </c>
      <c r="D278" s="4" t="s">
        <v>756</v>
      </c>
      <c r="E278" s="4" t="s">
        <v>757</v>
      </c>
      <c r="F278" s="5">
        <v>6.9999999999999999E-4</v>
      </c>
      <c r="G278" s="5">
        <v>0.27539999999999998</v>
      </c>
    </row>
    <row r="279" spans="1:7" x14ac:dyDescent="0.25">
      <c r="A279" s="1">
        <v>45847</v>
      </c>
      <c r="B279" s="4" t="s">
        <v>248</v>
      </c>
      <c r="C279" s="4" t="s">
        <v>758</v>
      </c>
      <c r="D279" s="4" t="s">
        <v>759</v>
      </c>
      <c r="E279" s="4" t="s">
        <v>760</v>
      </c>
      <c r="F279" s="5">
        <v>-8.9999999999999998E-4</v>
      </c>
      <c r="G279" s="5">
        <v>0.27439999999999998</v>
      </c>
    </row>
    <row r="280" spans="1:7" x14ac:dyDescent="0.25">
      <c r="A280" s="1">
        <v>45846</v>
      </c>
      <c r="B280" s="4" t="s">
        <v>248</v>
      </c>
      <c r="C280" s="4" t="s">
        <v>761</v>
      </c>
      <c r="D280" s="4" t="s">
        <v>762</v>
      </c>
      <c r="E280" s="4" t="s">
        <v>763</v>
      </c>
      <c r="F280" s="5">
        <v>1.9E-3</v>
      </c>
      <c r="G280" s="5">
        <v>0.27550000000000002</v>
      </c>
    </row>
    <row r="281" spans="1:7" x14ac:dyDescent="0.25">
      <c r="A281" s="1">
        <v>45845</v>
      </c>
      <c r="B281" s="4" t="s">
        <v>248</v>
      </c>
      <c r="C281" s="4" t="s">
        <v>764</v>
      </c>
      <c r="D281" s="4" t="s">
        <v>764</v>
      </c>
      <c r="E281" s="4" t="s">
        <v>765</v>
      </c>
      <c r="F281" s="5">
        <v>8.6E-3</v>
      </c>
      <c r="G281" s="5">
        <v>0.2732</v>
      </c>
    </row>
    <row r="282" spans="1:7" x14ac:dyDescent="0.25">
      <c r="A282" s="1">
        <v>45842</v>
      </c>
      <c r="B282" s="4" t="s">
        <v>248</v>
      </c>
      <c r="C282" s="4" t="s">
        <v>766</v>
      </c>
      <c r="D282" s="4" t="s">
        <v>767</v>
      </c>
      <c r="E282" s="4" t="s">
        <v>768</v>
      </c>
      <c r="F282" s="5">
        <v>3.0999999999999999E-3</v>
      </c>
      <c r="G282" s="5">
        <v>0.26229999999999998</v>
      </c>
    </row>
    <row r="283" spans="1:7" x14ac:dyDescent="0.25">
      <c r="A283" s="1">
        <v>45841</v>
      </c>
      <c r="B283" s="4" t="s">
        <v>248</v>
      </c>
      <c r="C283" s="4" t="s">
        <v>769</v>
      </c>
      <c r="D283" s="4" t="s">
        <v>770</v>
      </c>
      <c r="E283" s="4" t="s">
        <v>771</v>
      </c>
      <c r="F283" s="5">
        <v>3.8999999999999998E-3</v>
      </c>
      <c r="G283" s="5">
        <v>0.25840000000000002</v>
      </c>
    </row>
    <row r="284" spans="1:7" x14ac:dyDescent="0.25">
      <c r="A284" s="1">
        <v>45840</v>
      </c>
      <c r="B284" s="4" t="s">
        <v>248</v>
      </c>
      <c r="C284" s="4" t="s">
        <v>772</v>
      </c>
      <c r="D284" s="4" t="s">
        <v>773</v>
      </c>
      <c r="E284" s="4" t="s">
        <v>774</v>
      </c>
      <c r="F284" s="5">
        <v>5.7999999999999996E-3</v>
      </c>
      <c r="G284" s="5">
        <v>0.25340000000000001</v>
      </c>
    </row>
    <row r="285" spans="1:7" x14ac:dyDescent="0.25">
      <c r="A285" s="1">
        <v>45839</v>
      </c>
      <c r="B285" s="4" t="s">
        <v>248</v>
      </c>
      <c r="C285" s="4" t="s">
        <v>775</v>
      </c>
      <c r="D285" s="4" t="s">
        <v>775</v>
      </c>
      <c r="E285" s="4" t="s">
        <v>776</v>
      </c>
      <c r="F285" s="5">
        <v>6.3E-3</v>
      </c>
      <c r="G285" s="5">
        <v>0.24629999999999999</v>
      </c>
    </row>
    <row r="286" spans="1:7" x14ac:dyDescent="0.25">
      <c r="A286" s="1">
        <v>45838</v>
      </c>
      <c r="B286" s="4" t="s">
        <v>248</v>
      </c>
      <c r="C286" s="4" t="s">
        <v>777</v>
      </c>
      <c r="D286" s="4" t="s">
        <v>778</v>
      </c>
      <c r="E286" s="4" t="s">
        <v>779</v>
      </c>
      <c r="F286" s="5">
        <v>-9.7000000000000003E-3</v>
      </c>
      <c r="G286" s="5">
        <v>0.23849999999999999</v>
      </c>
    </row>
    <row r="287" spans="1:7" x14ac:dyDescent="0.25">
      <c r="A287" s="1">
        <v>45834</v>
      </c>
      <c r="B287" s="4" t="s">
        <v>248</v>
      </c>
      <c r="C287" s="4" t="s">
        <v>780</v>
      </c>
      <c r="D287" s="4" t="s">
        <v>781</v>
      </c>
      <c r="E287" s="4" t="s">
        <v>782</v>
      </c>
      <c r="F287" s="5">
        <v>3.8E-3</v>
      </c>
      <c r="G287" s="5">
        <v>0.25059999999999999</v>
      </c>
    </row>
    <row r="288" spans="1:7" x14ac:dyDescent="0.25">
      <c r="A288" s="1">
        <v>45833</v>
      </c>
      <c r="B288" s="4" t="s">
        <v>248</v>
      </c>
      <c r="C288" s="4" t="s">
        <v>783</v>
      </c>
      <c r="D288" s="4" t="s">
        <v>784</v>
      </c>
      <c r="E288" s="4" t="s">
        <v>785</v>
      </c>
      <c r="F288" s="5">
        <v>0.01</v>
      </c>
      <c r="G288" s="5">
        <v>0.24590000000000001</v>
      </c>
    </row>
    <row r="289" spans="1:7" x14ac:dyDescent="0.25">
      <c r="A289" s="1">
        <v>45832</v>
      </c>
      <c r="B289" s="4" t="s">
        <v>248</v>
      </c>
      <c r="C289" s="4" t="s">
        <v>786</v>
      </c>
      <c r="D289" s="4" t="s">
        <v>787</v>
      </c>
      <c r="E289" s="4" t="s">
        <v>788</v>
      </c>
      <c r="F289" s="5">
        <v>2.6499999999999999E-2</v>
      </c>
      <c r="G289" s="5">
        <v>0.2336</v>
      </c>
    </row>
    <row r="290" spans="1:7" x14ac:dyDescent="0.25">
      <c r="A290" s="1">
        <v>45831</v>
      </c>
      <c r="B290" s="4" t="s">
        <v>248</v>
      </c>
      <c r="C290" s="4" t="s">
        <v>789</v>
      </c>
      <c r="D290" s="4" t="s">
        <v>790</v>
      </c>
      <c r="E290" s="4" t="s">
        <v>791</v>
      </c>
      <c r="F290" s="5">
        <v>-1.1299999999999999E-2</v>
      </c>
      <c r="G290" s="5">
        <v>0.20180000000000001</v>
      </c>
    </row>
    <row r="291" spans="1:7" x14ac:dyDescent="0.25">
      <c r="A291" s="1">
        <v>45828</v>
      </c>
      <c r="B291" s="4" t="s">
        <v>248</v>
      </c>
      <c r="C291" s="4" t="s">
        <v>790</v>
      </c>
      <c r="D291" s="4" t="s">
        <v>792</v>
      </c>
      <c r="E291" s="4" t="s">
        <v>793</v>
      </c>
      <c r="F291" s="5">
        <v>1.8800000000000001E-2</v>
      </c>
      <c r="G291" s="5">
        <v>0.2155</v>
      </c>
    </row>
    <row r="292" spans="1:7" x14ac:dyDescent="0.25">
      <c r="A292" s="1">
        <v>45827</v>
      </c>
      <c r="B292" s="4" t="s">
        <v>248</v>
      </c>
      <c r="C292" s="4" t="s">
        <v>794</v>
      </c>
      <c r="D292" s="4" t="s">
        <v>795</v>
      </c>
      <c r="E292" s="4" t="s">
        <v>796</v>
      </c>
      <c r="F292" s="5">
        <v>-1.34E-2</v>
      </c>
      <c r="G292" s="5">
        <v>0.19309999999999999</v>
      </c>
    </row>
    <row r="293" spans="1:7" x14ac:dyDescent="0.25">
      <c r="A293" s="1">
        <v>45826</v>
      </c>
      <c r="B293" s="4" t="s">
        <v>248</v>
      </c>
      <c r="C293" s="4" t="s">
        <v>797</v>
      </c>
      <c r="D293" s="4" t="s">
        <v>798</v>
      </c>
      <c r="E293" s="4" t="s">
        <v>799</v>
      </c>
      <c r="F293" s="5">
        <v>-1.18E-2</v>
      </c>
      <c r="G293" s="5">
        <v>0.20930000000000001</v>
      </c>
    </row>
    <row r="294" spans="1:7" x14ac:dyDescent="0.25">
      <c r="A294" s="1">
        <v>45825</v>
      </c>
      <c r="B294" s="4" t="s">
        <v>248</v>
      </c>
      <c r="C294" s="4" t="s">
        <v>800</v>
      </c>
      <c r="D294" s="4" t="s">
        <v>801</v>
      </c>
      <c r="E294" s="4" t="s">
        <v>802</v>
      </c>
      <c r="F294" s="5">
        <v>-5.4999999999999997E-3</v>
      </c>
      <c r="G294" s="5">
        <v>0.22370000000000001</v>
      </c>
    </row>
    <row r="295" spans="1:7" x14ac:dyDescent="0.25">
      <c r="A295" s="1">
        <v>45824</v>
      </c>
      <c r="B295" s="4" t="s">
        <v>248</v>
      </c>
      <c r="C295" s="4" t="s">
        <v>803</v>
      </c>
      <c r="D295" s="4" t="s">
        <v>804</v>
      </c>
      <c r="E295" s="4" t="s">
        <v>805</v>
      </c>
      <c r="F295" s="5">
        <v>-1.2999999999999999E-2</v>
      </c>
      <c r="G295" s="5">
        <v>0.23050000000000001</v>
      </c>
    </row>
    <row r="296" spans="1:7" x14ac:dyDescent="0.25">
      <c r="A296" s="1">
        <v>45821</v>
      </c>
      <c r="B296" s="4" t="s">
        <v>248</v>
      </c>
      <c r="C296" s="4" t="s">
        <v>806</v>
      </c>
      <c r="D296" s="4" t="s">
        <v>807</v>
      </c>
      <c r="E296" s="4" t="s">
        <v>808</v>
      </c>
      <c r="F296" s="5">
        <v>-6.3E-3</v>
      </c>
      <c r="G296" s="5">
        <v>0.2467</v>
      </c>
    </row>
    <row r="297" spans="1:7" x14ac:dyDescent="0.25">
      <c r="A297" s="1">
        <v>45820</v>
      </c>
      <c r="B297" s="4" t="s">
        <v>248</v>
      </c>
      <c r="C297" s="4" t="s">
        <v>809</v>
      </c>
      <c r="D297" s="4" t="s">
        <v>810</v>
      </c>
      <c r="E297" s="4" t="s">
        <v>315</v>
      </c>
      <c r="F297" s="5">
        <v>-6.4999999999999997E-3</v>
      </c>
      <c r="G297" s="5">
        <v>0.25459999999999999</v>
      </c>
    </row>
    <row r="298" spans="1:7" x14ac:dyDescent="0.25">
      <c r="A298" s="1">
        <v>45819</v>
      </c>
      <c r="B298" s="4" t="s">
        <v>248</v>
      </c>
      <c r="C298" s="4" t="s">
        <v>811</v>
      </c>
      <c r="D298" s="4" t="s">
        <v>812</v>
      </c>
      <c r="E298" s="4" t="s">
        <v>813</v>
      </c>
      <c r="F298" s="5">
        <v>6.9999999999999999E-4</v>
      </c>
      <c r="G298" s="5">
        <v>0.26279999999999998</v>
      </c>
    </row>
    <row r="299" spans="1:7" x14ac:dyDescent="0.25">
      <c r="A299" s="1">
        <v>45818</v>
      </c>
      <c r="B299" s="4" t="s">
        <v>248</v>
      </c>
      <c r="C299" s="4" t="s">
        <v>814</v>
      </c>
      <c r="D299" s="4" t="s">
        <v>815</v>
      </c>
      <c r="E299" s="4" t="s">
        <v>816</v>
      </c>
      <c r="F299" s="5">
        <v>4.4000000000000003E-3</v>
      </c>
      <c r="G299" s="5">
        <v>0.26200000000000001</v>
      </c>
    </row>
    <row r="300" spans="1:7" x14ac:dyDescent="0.25">
      <c r="A300" s="1">
        <v>45814</v>
      </c>
      <c r="B300" s="4" t="s">
        <v>248</v>
      </c>
      <c r="C300" s="4" t="s">
        <v>817</v>
      </c>
      <c r="D300" s="4" t="s">
        <v>818</v>
      </c>
      <c r="E300" s="4" t="s">
        <v>819</v>
      </c>
      <c r="F300" s="5">
        <v>-6.7999999999999996E-3</v>
      </c>
      <c r="G300" s="5">
        <v>0.25650000000000001</v>
      </c>
    </row>
    <row r="301" spans="1:7" x14ac:dyDescent="0.25">
      <c r="A301" s="1">
        <v>45813</v>
      </c>
      <c r="B301" s="4" t="s">
        <v>248</v>
      </c>
      <c r="C301" s="4" t="s">
        <v>820</v>
      </c>
      <c r="D301" s="4" t="s">
        <v>821</v>
      </c>
      <c r="E301" s="4" t="s">
        <v>822</v>
      </c>
      <c r="F301" s="5">
        <v>2.2000000000000001E-3</v>
      </c>
      <c r="G301" s="5">
        <v>0.26519999999999999</v>
      </c>
    </row>
    <row r="302" spans="1:7" x14ac:dyDescent="0.25">
      <c r="A302" s="1">
        <v>45812</v>
      </c>
      <c r="B302" s="4" t="s">
        <v>248</v>
      </c>
      <c r="C302" s="4" t="s">
        <v>822</v>
      </c>
      <c r="D302" s="4" t="s">
        <v>823</v>
      </c>
      <c r="E302" s="4" t="s">
        <v>824</v>
      </c>
      <c r="F302" s="5">
        <v>1.7600000000000001E-2</v>
      </c>
      <c r="G302" s="5">
        <v>0.26229999999999998</v>
      </c>
    </row>
    <row r="303" spans="1:7" x14ac:dyDescent="0.25">
      <c r="A303" s="1">
        <v>45811</v>
      </c>
      <c r="B303" s="4" t="s">
        <v>248</v>
      </c>
      <c r="C303" s="4" t="s">
        <v>824</v>
      </c>
      <c r="D303" s="4" t="s">
        <v>825</v>
      </c>
      <c r="E303" s="4" t="s">
        <v>826</v>
      </c>
      <c r="F303" s="5">
        <v>7.3000000000000001E-3</v>
      </c>
      <c r="G303" s="5">
        <v>0.24049999999999999</v>
      </c>
    </row>
    <row r="304" spans="1:7" x14ac:dyDescent="0.25">
      <c r="A304" s="1">
        <v>45810</v>
      </c>
      <c r="B304" s="4" t="s">
        <v>248</v>
      </c>
      <c r="C304" s="4" t="s">
        <v>826</v>
      </c>
      <c r="D304" s="4" t="s">
        <v>826</v>
      </c>
      <c r="E304" s="4" t="s">
        <v>827</v>
      </c>
      <c r="F304" s="5">
        <v>1.21E-2</v>
      </c>
      <c r="G304" s="5">
        <v>0.23150000000000001</v>
      </c>
    </row>
    <row r="305" spans="1:7" x14ac:dyDescent="0.25">
      <c r="A305" s="1">
        <v>45807</v>
      </c>
      <c r="B305" s="4" t="s">
        <v>248</v>
      </c>
      <c r="C305" s="4" t="s">
        <v>827</v>
      </c>
      <c r="D305" s="4" t="s">
        <v>828</v>
      </c>
      <c r="E305" s="4" t="s">
        <v>829</v>
      </c>
      <c r="F305" s="5">
        <v>3.0999999999999999E-3</v>
      </c>
      <c r="G305" s="5">
        <v>0.21679999999999999</v>
      </c>
    </row>
    <row r="306" spans="1:7" x14ac:dyDescent="0.25">
      <c r="A306" s="1">
        <v>45806</v>
      </c>
      <c r="B306" s="4" t="s">
        <v>248</v>
      </c>
      <c r="C306" s="4" t="s">
        <v>830</v>
      </c>
      <c r="D306" s="4" t="s">
        <v>831</v>
      </c>
      <c r="E306" s="4" t="s">
        <v>832</v>
      </c>
      <c r="F306" s="5">
        <v>-4.1999999999999997E-3</v>
      </c>
      <c r="G306" s="5">
        <v>0.21310000000000001</v>
      </c>
    </row>
    <row r="307" spans="1:7" x14ac:dyDescent="0.25">
      <c r="A307" s="1">
        <v>45805</v>
      </c>
      <c r="B307" s="4" t="s">
        <v>248</v>
      </c>
      <c r="C307" s="4" t="s">
        <v>833</v>
      </c>
      <c r="D307" s="4" t="s">
        <v>834</v>
      </c>
      <c r="E307" s="4" t="s">
        <v>835</v>
      </c>
      <c r="F307" s="5">
        <v>-3.0000000000000001E-3</v>
      </c>
      <c r="G307" s="5">
        <v>0.21820000000000001</v>
      </c>
    </row>
    <row r="308" spans="1:7" x14ac:dyDescent="0.25">
      <c r="A308" s="1">
        <v>45804</v>
      </c>
      <c r="B308" s="4" t="s">
        <v>248</v>
      </c>
      <c r="C308" s="4" t="s">
        <v>836</v>
      </c>
      <c r="D308" s="4" t="s">
        <v>837</v>
      </c>
      <c r="E308" s="4" t="s">
        <v>838</v>
      </c>
      <c r="F308" s="5">
        <v>-8.9999999999999998E-4</v>
      </c>
      <c r="G308" s="5">
        <v>0.2218</v>
      </c>
    </row>
    <row r="309" spans="1:7" x14ac:dyDescent="0.25">
      <c r="A309" s="1">
        <v>45803</v>
      </c>
      <c r="B309" s="4" t="s">
        <v>248</v>
      </c>
      <c r="C309" s="4" t="s">
        <v>839</v>
      </c>
      <c r="D309" s="4" t="s">
        <v>840</v>
      </c>
      <c r="E309" s="4" t="s">
        <v>841</v>
      </c>
      <c r="F309" s="5">
        <v>-2.5000000000000001E-3</v>
      </c>
      <c r="G309" s="5">
        <v>0.22289999999999999</v>
      </c>
    </row>
    <row r="310" spans="1:7" x14ac:dyDescent="0.25">
      <c r="A310" s="1">
        <v>45800</v>
      </c>
      <c r="B310" s="4" t="s">
        <v>248</v>
      </c>
      <c r="C310" s="4" t="s">
        <v>842</v>
      </c>
      <c r="D310" s="4" t="s">
        <v>843</v>
      </c>
      <c r="E310" s="4" t="s">
        <v>844</v>
      </c>
      <c r="F310" s="5">
        <v>-1.1000000000000001E-3</v>
      </c>
      <c r="G310" s="5">
        <v>0.22600000000000001</v>
      </c>
    </row>
    <row r="311" spans="1:7" x14ac:dyDescent="0.25">
      <c r="A311" s="1">
        <v>45799</v>
      </c>
      <c r="B311" s="4" t="s">
        <v>248</v>
      </c>
      <c r="C311" s="4" t="s">
        <v>845</v>
      </c>
      <c r="D311" s="4" t="s">
        <v>846</v>
      </c>
      <c r="E311" s="4" t="s">
        <v>847</v>
      </c>
      <c r="F311" s="5">
        <v>5.8999999999999999E-3</v>
      </c>
      <c r="G311" s="5">
        <v>0.2273</v>
      </c>
    </row>
    <row r="312" spans="1:7" x14ac:dyDescent="0.25">
      <c r="A312" s="1">
        <v>45798</v>
      </c>
      <c r="B312" s="4" t="s">
        <v>248</v>
      </c>
      <c r="C312" s="4" t="s">
        <v>848</v>
      </c>
      <c r="D312" s="4" t="s">
        <v>849</v>
      </c>
      <c r="E312" s="4" t="s">
        <v>850</v>
      </c>
      <c r="F312" s="5">
        <v>-1.8E-3</v>
      </c>
      <c r="G312" s="5">
        <v>0.22020000000000001</v>
      </c>
    </row>
    <row r="313" spans="1:7" x14ac:dyDescent="0.25">
      <c r="A313" s="1">
        <v>45797</v>
      </c>
      <c r="B313" s="4" t="s">
        <v>248</v>
      </c>
      <c r="C313" s="4" t="s">
        <v>851</v>
      </c>
      <c r="D313" s="4" t="s">
        <v>852</v>
      </c>
      <c r="E313" s="4" t="s">
        <v>853</v>
      </c>
      <c r="F313" s="5">
        <v>1.04E-2</v>
      </c>
      <c r="G313" s="5">
        <v>0.22239999999999999</v>
      </c>
    </row>
    <row r="314" spans="1:7" x14ac:dyDescent="0.25">
      <c r="A314" s="1">
        <v>45796</v>
      </c>
      <c r="B314" s="4" t="s">
        <v>248</v>
      </c>
      <c r="C314" s="4" t="s">
        <v>854</v>
      </c>
      <c r="D314" s="4" t="s">
        <v>855</v>
      </c>
      <c r="E314" s="4" t="s">
        <v>856</v>
      </c>
      <c r="F314" s="5">
        <v>5.5999999999999999E-3</v>
      </c>
      <c r="G314" s="5">
        <v>0.2097</v>
      </c>
    </row>
    <row r="315" spans="1:7" x14ac:dyDescent="0.25">
      <c r="A315" s="1">
        <v>45793</v>
      </c>
      <c r="B315" s="4" t="s">
        <v>248</v>
      </c>
      <c r="C315" s="4" t="s">
        <v>856</v>
      </c>
      <c r="D315" s="4" t="s">
        <v>857</v>
      </c>
      <c r="E315" s="4" t="s">
        <v>856</v>
      </c>
      <c r="F315" s="5">
        <v>-1.2500000000000001E-2</v>
      </c>
      <c r="G315" s="5">
        <v>0.20300000000000001</v>
      </c>
    </row>
    <row r="316" spans="1:7" x14ac:dyDescent="0.25">
      <c r="A316" s="1">
        <v>45792</v>
      </c>
      <c r="B316" s="4" t="s">
        <v>248</v>
      </c>
      <c r="C316" s="4" t="s">
        <v>858</v>
      </c>
      <c r="D316" s="4" t="s">
        <v>859</v>
      </c>
      <c r="E316" s="4" t="s">
        <v>860</v>
      </c>
      <c r="F316" s="5">
        <v>-6.9999999999999999E-4</v>
      </c>
      <c r="G316" s="5">
        <v>0.21820000000000001</v>
      </c>
    </row>
    <row r="317" spans="1:7" x14ac:dyDescent="0.25">
      <c r="A317" s="1">
        <v>45791</v>
      </c>
      <c r="B317" s="4" t="s">
        <v>248</v>
      </c>
      <c r="C317" s="4" t="s">
        <v>861</v>
      </c>
      <c r="D317" s="4" t="s">
        <v>862</v>
      </c>
      <c r="E317" s="4" t="s">
        <v>863</v>
      </c>
      <c r="F317" s="5">
        <v>-3.0999999999999999E-3</v>
      </c>
      <c r="G317" s="5">
        <v>0.21909999999999999</v>
      </c>
    </row>
    <row r="318" spans="1:7" x14ac:dyDescent="0.25">
      <c r="A318" s="1">
        <v>45790</v>
      </c>
      <c r="B318" s="4" t="s">
        <v>248</v>
      </c>
      <c r="C318" s="4" t="s">
        <v>864</v>
      </c>
      <c r="D318" s="4" t="s">
        <v>865</v>
      </c>
      <c r="E318" s="4" t="s">
        <v>866</v>
      </c>
      <c r="F318" s="5">
        <v>1.9E-3</v>
      </c>
      <c r="G318" s="5">
        <v>0.22289999999999999</v>
      </c>
    </row>
    <row r="319" spans="1:7" x14ac:dyDescent="0.25">
      <c r="A319" s="1">
        <v>45789</v>
      </c>
      <c r="B319" s="4" t="s">
        <v>248</v>
      </c>
      <c r="C319" s="4" t="s">
        <v>867</v>
      </c>
      <c r="D319" s="4" t="s">
        <v>868</v>
      </c>
      <c r="E319" s="4" t="s">
        <v>869</v>
      </c>
      <c r="F319" s="5">
        <v>1.5100000000000001E-2</v>
      </c>
      <c r="G319" s="5">
        <v>0.22070000000000001</v>
      </c>
    </row>
    <row r="320" spans="1:7" x14ac:dyDescent="0.25">
      <c r="A320" s="1">
        <v>45786</v>
      </c>
      <c r="B320" s="4" t="s">
        <v>248</v>
      </c>
      <c r="C320" s="4" t="s">
        <v>869</v>
      </c>
      <c r="D320" s="4" t="s">
        <v>870</v>
      </c>
      <c r="E320" s="4" t="s">
        <v>871</v>
      </c>
      <c r="F320" s="5">
        <v>9.5999999999999992E-3</v>
      </c>
      <c r="G320" s="5">
        <v>0.20250000000000001</v>
      </c>
    </row>
    <row r="321" spans="1:7" x14ac:dyDescent="0.25">
      <c r="A321" s="1">
        <v>45785</v>
      </c>
      <c r="B321" s="4" t="s">
        <v>248</v>
      </c>
      <c r="C321" s="4" t="s">
        <v>872</v>
      </c>
      <c r="D321" s="4" t="s">
        <v>873</v>
      </c>
      <c r="E321" s="4" t="s">
        <v>874</v>
      </c>
      <c r="F321" s="5">
        <v>-8.9999999999999998E-4</v>
      </c>
      <c r="G321" s="5">
        <v>0.19109999999999999</v>
      </c>
    </row>
    <row r="322" spans="1:7" x14ac:dyDescent="0.25">
      <c r="A322" s="1">
        <v>45784</v>
      </c>
      <c r="B322" s="4" t="s">
        <v>248</v>
      </c>
      <c r="C322" s="4" t="s">
        <v>875</v>
      </c>
      <c r="D322" s="4" t="s">
        <v>876</v>
      </c>
      <c r="E322" s="4" t="s">
        <v>877</v>
      </c>
      <c r="F322" s="5">
        <v>2.5999999999999999E-3</v>
      </c>
      <c r="G322" s="5">
        <v>0.19209999999999999</v>
      </c>
    </row>
    <row r="323" spans="1:7" x14ac:dyDescent="0.25">
      <c r="A323" s="1">
        <v>45783</v>
      </c>
      <c r="B323" s="4" t="s">
        <v>248</v>
      </c>
      <c r="C323" s="4" t="s">
        <v>878</v>
      </c>
      <c r="D323" s="4" t="s">
        <v>879</v>
      </c>
      <c r="E323" s="4" t="s">
        <v>880</v>
      </c>
      <c r="F323" s="5">
        <v>7.4000000000000003E-3</v>
      </c>
      <c r="G323" s="5">
        <v>0.18909999999999999</v>
      </c>
    </row>
    <row r="324" spans="1:7" x14ac:dyDescent="0.25">
      <c r="A324" s="1">
        <v>45782</v>
      </c>
      <c r="B324" s="4" t="s">
        <v>248</v>
      </c>
      <c r="C324" s="4" t="s">
        <v>881</v>
      </c>
      <c r="D324" s="4" t="s">
        <v>882</v>
      </c>
      <c r="E324" s="4" t="s">
        <v>883</v>
      </c>
      <c r="F324" s="5">
        <v>-4.1000000000000003E-3</v>
      </c>
      <c r="G324" s="5">
        <v>0.18029999999999999</v>
      </c>
    </row>
    <row r="325" spans="1:7" x14ac:dyDescent="0.25">
      <c r="A325" s="1">
        <v>45779</v>
      </c>
      <c r="B325" s="4" t="s">
        <v>248</v>
      </c>
      <c r="C325" s="4" t="s">
        <v>884</v>
      </c>
      <c r="D325" s="4" t="s">
        <v>884</v>
      </c>
      <c r="E325" s="4" t="s">
        <v>885</v>
      </c>
      <c r="F325" s="5">
        <v>6.7999999999999996E-3</v>
      </c>
      <c r="G325" s="5">
        <v>0.1852</v>
      </c>
    </row>
    <row r="326" spans="1:7" x14ac:dyDescent="0.25">
      <c r="A326" s="1">
        <v>45777</v>
      </c>
      <c r="B326" s="4" t="s">
        <v>248</v>
      </c>
      <c r="C326" s="4" t="s">
        <v>885</v>
      </c>
      <c r="D326" s="4" t="s">
        <v>886</v>
      </c>
      <c r="E326" s="4" t="s">
        <v>887</v>
      </c>
      <c r="F326" s="5">
        <v>1.1000000000000001E-3</v>
      </c>
      <c r="G326" s="5">
        <v>0.1772</v>
      </c>
    </row>
    <row r="327" spans="1:7" x14ac:dyDescent="0.25">
      <c r="A327" s="1">
        <v>45776</v>
      </c>
      <c r="B327" s="4" t="s">
        <v>248</v>
      </c>
      <c r="C327" s="4" t="s">
        <v>888</v>
      </c>
      <c r="D327" s="4" t="s">
        <v>889</v>
      </c>
      <c r="E327" s="4" t="s">
        <v>890</v>
      </c>
      <c r="F327" s="5">
        <v>-4.1000000000000003E-3</v>
      </c>
      <c r="G327" s="5">
        <v>0.1759</v>
      </c>
    </row>
    <row r="328" spans="1:7" x14ac:dyDescent="0.25">
      <c r="A328" s="1">
        <v>45775</v>
      </c>
      <c r="B328" s="4" t="s">
        <v>248</v>
      </c>
      <c r="C328" s="4" t="s">
        <v>891</v>
      </c>
      <c r="D328" s="4" t="s">
        <v>892</v>
      </c>
      <c r="E328" s="4" t="s">
        <v>893</v>
      </c>
      <c r="F328" s="5">
        <v>7.1000000000000004E-3</v>
      </c>
      <c r="G328" s="5">
        <v>0.1807</v>
      </c>
    </row>
    <row r="329" spans="1:7" x14ac:dyDescent="0.25">
      <c r="A329" s="1">
        <v>45772</v>
      </c>
      <c r="B329" s="4" t="s">
        <v>248</v>
      </c>
      <c r="C329" s="4" t="s">
        <v>894</v>
      </c>
      <c r="D329" s="4" t="s">
        <v>895</v>
      </c>
      <c r="E329" s="4" t="s">
        <v>896</v>
      </c>
      <c r="F329" s="5">
        <v>1.1999999999999999E-3</v>
      </c>
      <c r="G329" s="5">
        <v>0.1724</v>
      </c>
    </row>
    <row r="330" spans="1:7" x14ac:dyDescent="0.25">
      <c r="A330" s="1">
        <v>45771</v>
      </c>
      <c r="B330" s="4" t="s">
        <v>248</v>
      </c>
      <c r="C330" s="4" t="s">
        <v>897</v>
      </c>
      <c r="D330" s="4" t="s">
        <v>898</v>
      </c>
      <c r="E330" s="4" t="s">
        <v>899</v>
      </c>
      <c r="F330" s="5">
        <v>4.4000000000000003E-3</v>
      </c>
      <c r="G330" s="5">
        <v>0.17100000000000001</v>
      </c>
    </row>
    <row r="331" spans="1:7" x14ac:dyDescent="0.25">
      <c r="A331" s="1">
        <v>45770</v>
      </c>
      <c r="B331" s="4" t="s">
        <v>248</v>
      </c>
      <c r="C331" s="4" t="s">
        <v>899</v>
      </c>
      <c r="D331" s="4" t="s">
        <v>900</v>
      </c>
      <c r="E331" s="4" t="s">
        <v>901</v>
      </c>
      <c r="F331" s="5">
        <v>1.1000000000000001E-3</v>
      </c>
      <c r="G331" s="5">
        <v>0.16589999999999999</v>
      </c>
    </row>
    <row r="332" spans="1:7" x14ac:dyDescent="0.25">
      <c r="A332" s="1">
        <v>45769</v>
      </c>
      <c r="B332" s="4" t="s">
        <v>248</v>
      </c>
      <c r="C332" s="4" t="s">
        <v>902</v>
      </c>
      <c r="D332" s="4" t="s">
        <v>903</v>
      </c>
      <c r="E332" s="4" t="s">
        <v>904</v>
      </c>
      <c r="F332" s="5">
        <v>-3.7000000000000002E-3</v>
      </c>
      <c r="G332" s="5">
        <v>0.1646</v>
      </c>
    </row>
    <row r="333" spans="1:7" x14ac:dyDescent="0.25">
      <c r="A333" s="1">
        <v>45768</v>
      </c>
      <c r="B333" s="4" t="s">
        <v>248</v>
      </c>
      <c r="C333" s="4" t="s">
        <v>905</v>
      </c>
      <c r="D333" s="4" t="s">
        <v>906</v>
      </c>
      <c r="E333" s="4" t="s">
        <v>907</v>
      </c>
      <c r="F333" s="5">
        <v>1.5E-3</v>
      </c>
      <c r="G333" s="5">
        <v>0.16889999999999999</v>
      </c>
    </row>
    <row r="334" spans="1:7" x14ac:dyDescent="0.25">
      <c r="A334" s="1">
        <v>45765</v>
      </c>
      <c r="B334" s="4" t="s">
        <v>248</v>
      </c>
      <c r="C334" s="4" t="s">
        <v>908</v>
      </c>
      <c r="D334" s="4" t="s">
        <v>909</v>
      </c>
      <c r="E334" s="4" t="s">
        <v>910</v>
      </c>
      <c r="F334" s="5">
        <v>4.0000000000000001E-3</v>
      </c>
      <c r="G334" s="5">
        <v>0.16719999999999999</v>
      </c>
    </row>
    <row r="335" spans="1:7" x14ac:dyDescent="0.25">
      <c r="A335" s="1">
        <v>45764</v>
      </c>
      <c r="B335" s="4" t="s">
        <v>248</v>
      </c>
      <c r="C335" s="4" t="s">
        <v>911</v>
      </c>
      <c r="D335" s="4" t="s">
        <v>912</v>
      </c>
      <c r="E335" s="4" t="s">
        <v>913</v>
      </c>
      <c r="F335" s="5">
        <v>3.0000000000000001E-3</v>
      </c>
      <c r="G335" s="5">
        <v>0.16259999999999999</v>
      </c>
    </row>
    <row r="336" spans="1:7" x14ac:dyDescent="0.25">
      <c r="A336" s="1">
        <v>45763</v>
      </c>
      <c r="B336" s="4" t="s">
        <v>248</v>
      </c>
      <c r="C336" s="4" t="s">
        <v>913</v>
      </c>
      <c r="D336" s="4" t="s">
        <v>914</v>
      </c>
      <c r="E336" s="4" t="s">
        <v>915</v>
      </c>
      <c r="F336" s="5">
        <v>3.8999999999999998E-3</v>
      </c>
      <c r="G336" s="5">
        <v>0.15909999999999999</v>
      </c>
    </row>
    <row r="337" spans="1:7" x14ac:dyDescent="0.25">
      <c r="A337" s="1">
        <v>45762</v>
      </c>
      <c r="B337" s="4" t="s">
        <v>248</v>
      </c>
      <c r="C337" s="4" t="s">
        <v>915</v>
      </c>
      <c r="D337" s="4" t="s">
        <v>916</v>
      </c>
      <c r="E337" s="4" t="s">
        <v>917</v>
      </c>
      <c r="F337" s="5">
        <v>2.8799999999999999E-2</v>
      </c>
      <c r="G337" s="5">
        <v>0.15459999999999999</v>
      </c>
    </row>
    <row r="338" spans="1:7" x14ac:dyDescent="0.25">
      <c r="A338" s="1">
        <v>45761</v>
      </c>
      <c r="B338" s="4" t="s">
        <v>248</v>
      </c>
      <c r="C338" s="4" t="s">
        <v>917</v>
      </c>
      <c r="D338" s="4" t="s">
        <v>917</v>
      </c>
      <c r="E338" s="4" t="s">
        <v>918</v>
      </c>
      <c r="F338" s="5">
        <v>3.1699999999999999E-2</v>
      </c>
      <c r="G338" s="5">
        <v>0.12230000000000001</v>
      </c>
    </row>
    <row r="339" spans="1:7" x14ac:dyDescent="0.25">
      <c r="A339" s="1">
        <v>45758</v>
      </c>
      <c r="B339" s="4" t="s">
        <v>248</v>
      </c>
      <c r="C339" s="4" t="s">
        <v>918</v>
      </c>
      <c r="D339" s="4" t="s">
        <v>919</v>
      </c>
      <c r="E339" s="4" t="s">
        <v>920</v>
      </c>
      <c r="F339" s="5">
        <v>-1.8700000000000001E-2</v>
      </c>
      <c r="G339" s="5">
        <v>8.7800000000000003E-2</v>
      </c>
    </row>
    <row r="340" spans="1:7" x14ac:dyDescent="0.25">
      <c r="A340" s="1">
        <v>45757</v>
      </c>
      <c r="B340" s="4" t="s">
        <v>248</v>
      </c>
      <c r="C340" s="4" t="s">
        <v>921</v>
      </c>
      <c r="D340" s="4" t="s">
        <v>922</v>
      </c>
      <c r="E340" s="4" t="s">
        <v>923</v>
      </c>
      <c r="F340" s="5">
        <v>2.18E-2</v>
      </c>
      <c r="G340" s="5">
        <v>0.1086</v>
      </c>
    </row>
    <row r="341" spans="1:7" x14ac:dyDescent="0.25">
      <c r="A341" s="1">
        <v>45756</v>
      </c>
      <c r="B341" s="4" t="s">
        <v>248</v>
      </c>
      <c r="C341" s="4" t="s">
        <v>923</v>
      </c>
      <c r="D341" s="4" t="s">
        <v>924</v>
      </c>
      <c r="E341" s="4" t="s">
        <v>925</v>
      </c>
      <c r="F341" s="5">
        <v>-2.7400000000000001E-2</v>
      </c>
      <c r="G341" s="5">
        <v>8.4900000000000003E-2</v>
      </c>
    </row>
    <row r="342" spans="1:7" x14ac:dyDescent="0.25">
      <c r="A342" s="1">
        <v>45755</v>
      </c>
      <c r="B342" s="4" t="s">
        <v>248</v>
      </c>
      <c r="C342" s="4" t="s">
        <v>926</v>
      </c>
      <c r="D342" s="4" t="s">
        <v>927</v>
      </c>
      <c r="E342" s="4" t="s">
        <v>928</v>
      </c>
      <c r="F342" s="5">
        <v>1.35E-2</v>
      </c>
      <c r="G342" s="5">
        <v>0.11550000000000001</v>
      </c>
    </row>
    <row r="343" spans="1:7" x14ac:dyDescent="0.25">
      <c r="A343" s="1">
        <v>45754</v>
      </c>
      <c r="B343" s="4" t="s">
        <v>248</v>
      </c>
      <c r="C343" s="4" t="s">
        <v>929</v>
      </c>
      <c r="D343" s="4" t="s">
        <v>930</v>
      </c>
      <c r="E343" s="4" t="s">
        <v>931</v>
      </c>
      <c r="F343" s="5">
        <v>-5.6399999999999999E-2</v>
      </c>
      <c r="G343" s="5">
        <v>0.1007</v>
      </c>
    </row>
    <row r="344" spans="1:7" x14ac:dyDescent="0.25">
      <c r="A344" s="1">
        <v>45751</v>
      </c>
      <c r="B344" s="4" t="s">
        <v>248</v>
      </c>
      <c r="C344" s="4" t="s">
        <v>932</v>
      </c>
      <c r="D344" s="4" t="s">
        <v>933</v>
      </c>
      <c r="E344" s="4" t="s">
        <v>934</v>
      </c>
      <c r="F344" s="5">
        <v>-1.5E-3</v>
      </c>
      <c r="G344" s="5">
        <v>0.16650000000000001</v>
      </c>
    </row>
    <row r="345" spans="1:7" x14ac:dyDescent="0.25">
      <c r="A345" s="1">
        <v>45750</v>
      </c>
      <c r="B345" s="4" t="s">
        <v>248</v>
      </c>
      <c r="C345" s="4" t="s">
        <v>935</v>
      </c>
      <c r="D345" s="4" t="s">
        <v>936</v>
      </c>
      <c r="E345" s="4" t="s">
        <v>935</v>
      </c>
      <c r="F345" s="5">
        <v>-2.3599999999999999E-2</v>
      </c>
      <c r="G345" s="5">
        <v>0.16819999999999999</v>
      </c>
    </row>
    <row r="346" spans="1:7" x14ac:dyDescent="0.25">
      <c r="A346" s="1">
        <v>45749</v>
      </c>
      <c r="B346" s="4" t="s">
        <v>248</v>
      </c>
      <c r="C346" s="4" t="s">
        <v>937</v>
      </c>
      <c r="D346" s="4" t="s">
        <v>938</v>
      </c>
      <c r="E346" s="4" t="s">
        <v>939</v>
      </c>
      <c r="F346" s="5">
        <v>-4.4999999999999997E-3</v>
      </c>
      <c r="G346" s="5">
        <v>0.19639999999999999</v>
      </c>
    </row>
    <row r="347" spans="1:7" x14ac:dyDescent="0.25">
      <c r="A347" s="1">
        <v>45744</v>
      </c>
      <c r="B347" s="4" t="s">
        <v>248</v>
      </c>
      <c r="C347" s="4" t="s">
        <v>940</v>
      </c>
      <c r="D347" s="4" t="s">
        <v>941</v>
      </c>
      <c r="E347" s="4" t="s">
        <v>942</v>
      </c>
      <c r="F347" s="5">
        <v>9.4000000000000004E-3</v>
      </c>
      <c r="G347" s="5">
        <v>0.2019</v>
      </c>
    </row>
    <row r="348" spans="1:7" x14ac:dyDescent="0.25">
      <c r="A348" s="1">
        <v>45743</v>
      </c>
      <c r="B348" s="4" t="s">
        <v>248</v>
      </c>
      <c r="C348" s="4" t="s">
        <v>943</v>
      </c>
      <c r="D348" s="4" t="s">
        <v>944</v>
      </c>
      <c r="E348" s="4" t="s">
        <v>945</v>
      </c>
      <c r="F348" s="5">
        <v>1.2999999999999999E-3</v>
      </c>
      <c r="G348" s="5">
        <v>0.19070000000000001</v>
      </c>
    </row>
    <row r="349" spans="1:7" x14ac:dyDescent="0.25">
      <c r="A349" s="1">
        <v>45742</v>
      </c>
      <c r="B349" s="4" t="s">
        <v>248</v>
      </c>
      <c r="C349" s="4" t="s">
        <v>946</v>
      </c>
      <c r="D349" s="4" t="s">
        <v>947</v>
      </c>
      <c r="E349" s="4" t="s">
        <v>946</v>
      </c>
      <c r="F349" s="5">
        <v>-6.1999999999999998E-3</v>
      </c>
      <c r="G349" s="5">
        <v>0.18920000000000001</v>
      </c>
    </row>
    <row r="350" spans="1:7" x14ac:dyDescent="0.25">
      <c r="A350" s="1">
        <v>45741</v>
      </c>
      <c r="B350" s="4" t="s">
        <v>248</v>
      </c>
      <c r="C350" s="4" t="s">
        <v>948</v>
      </c>
      <c r="D350" s="4" t="s">
        <v>949</v>
      </c>
      <c r="E350" s="4" t="s">
        <v>948</v>
      </c>
      <c r="F350" s="5">
        <v>-1.01E-2</v>
      </c>
      <c r="G350" s="5">
        <v>0.1966</v>
      </c>
    </row>
    <row r="351" spans="1:7" x14ac:dyDescent="0.25">
      <c r="A351" s="1">
        <v>45740</v>
      </c>
      <c r="B351" s="4" t="s">
        <v>248</v>
      </c>
      <c r="C351" s="4" t="s">
        <v>950</v>
      </c>
      <c r="D351" s="4" t="s">
        <v>951</v>
      </c>
      <c r="E351" s="4" t="s">
        <v>952</v>
      </c>
      <c r="F351" s="5">
        <v>1.35E-2</v>
      </c>
      <c r="G351" s="5">
        <v>0.2089</v>
      </c>
    </row>
    <row r="352" spans="1:7" x14ac:dyDescent="0.25">
      <c r="A352" s="1">
        <v>45737</v>
      </c>
      <c r="B352" s="4" t="s">
        <v>248</v>
      </c>
      <c r="C352" s="4" t="s">
        <v>953</v>
      </c>
      <c r="D352" s="4" t="s">
        <v>953</v>
      </c>
      <c r="E352" s="4" t="s">
        <v>954</v>
      </c>
      <c r="F352" s="5">
        <v>1.47E-2</v>
      </c>
      <c r="G352" s="5">
        <v>0.1928</v>
      </c>
    </row>
    <row r="353" spans="1:7" x14ac:dyDescent="0.25">
      <c r="A353" s="1">
        <v>45736</v>
      </c>
      <c r="B353" s="4" t="s">
        <v>248</v>
      </c>
      <c r="C353" s="4" t="s">
        <v>955</v>
      </c>
      <c r="D353" s="4" t="s">
        <v>956</v>
      </c>
      <c r="E353" s="4" t="s">
        <v>957</v>
      </c>
      <c r="F353" s="5">
        <v>1.01E-2</v>
      </c>
      <c r="G353" s="5">
        <v>0.17549999999999999</v>
      </c>
    </row>
    <row r="354" spans="1:7" x14ac:dyDescent="0.25">
      <c r="A354" s="1">
        <v>45735</v>
      </c>
      <c r="B354" s="4" t="s">
        <v>248</v>
      </c>
      <c r="C354" s="4" t="s">
        <v>958</v>
      </c>
      <c r="D354" s="4" t="s">
        <v>959</v>
      </c>
      <c r="E354" s="4" t="s">
        <v>960</v>
      </c>
      <c r="F354" s="5">
        <v>2.1000000000000001E-2</v>
      </c>
      <c r="G354" s="5">
        <v>0.1638</v>
      </c>
    </row>
    <row r="355" spans="1:7" x14ac:dyDescent="0.25">
      <c r="A355" s="1">
        <v>45734</v>
      </c>
      <c r="B355" s="4" t="s">
        <v>248</v>
      </c>
      <c r="C355" s="4" t="s">
        <v>960</v>
      </c>
      <c r="D355" s="4" t="s">
        <v>961</v>
      </c>
      <c r="E355" s="4" t="s">
        <v>962</v>
      </c>
      <c r="F355" s="5">
        <v>9.7999999999999997E-3</v>
      </c>
      <c r="G355" s="5">
        <v>0.13980000000000001</v>
      </c>
    </row>
    <row r="356" spans="1:7" x14ac:dyDescent="0.25">
      <c r="A356" s="1">
        <v>45733</v>
      </c>
      <c r="B356" s="4" t="s">
        <v>248</v>
      </c>
      <c r="C356" s="4" t="s">
        <v>963</v>
      </c>
      <c r="D356" s="4" t="s">
        <v>964</v>
      </c>
      <c r="E356" s="4" t="s">
        <v>965</v>
      </c>
      <c r="F356" s="5">
        <v>3.8E-3</v>
      </c>
      <c r="G356" s="5">
        <v>0.1288</v>
      </c>
    </row>
    <row r="357" spans="1:7" x14ac:dyDescent="0.25">
      <c r="A357" s="1">
        <v>45730</v>
      </c>
      <c r="B357" s="4" t="s">
        <v>248</v>
      </c>
      <c r="C357" s="4" t="s">
        <v>965</v>
      </c>
      <c r="D357" s="4" t="s">
        <v>966</v>
      </c>
      <c r="E357" s="4" t="s">
        <v>967</v>
      </c>
      <c r="F357" s="5">
        <v>7.4999999999999997E-3</v>
      </c>
      <c r="G357" s="5">
        <v>0.1246</v>
      </c>
    </row>
    <row r="358" spans="1:7" x14ac:dyDescent="0.25">
      <c r="A358" s="1">
        <v>45729</v>
      </c>
      <c r="B358" s="4" t="s">
        <v>248</v>
      </c>
      <c r="C358" s="4" t="s">
        <v>968</v>
      </c>
      <c r="D358" s="4" t="s">
        <v>969</v>
      </c>
      <c r="E358" s="4" t="s">
        <v>970</v>
      </c>
      <c r="F358" s="5">
        <v>1.2E-2</v>
      </c>
      <c r="G358" s="5">
        <v>0.1162</v>
      </c>
    </row>
    <row r="359" spans="1:7" x14ac:dyDescent="0.25">
      <c r="A359" s="1">
        <v>45728</v>
      </c>
      <c r="B359" s="4" t="s">
        <v>248</v>
      </c>
      <c r="C359" s="4" t="s">
        <v>971</v>
      </c>
      <c r="D359" s="4" t="s">
        <v>972</v>
      </c>
      <c r="E359" s="4" t="s">
        <v>973</v>
      </c>
      <c r="F359" s="5">
        <v>-1.11E-2</v>
      </c>
      <c r="G359" s="5">
        <v>0.10299999999999999</v>
      </c>
    </row>
    <row r="360" spans="1:7" x14ac:dyDescent="0.25">
      <c r="A360" s="1">
        <v>45727</v>
      </c>
      <c r="B360" s="4" t="s">
        <v>248</v>
      </c>
      <c r="C360" s="4" t="s">
        <v>974</v>
      </c>
      <c r="D360" s="4" t="s">
        <v>975</v>
      </c>
      <c r="E360" s="4" t="s">
        <v>976</v>
      </c>
      <c r="F360" s="5">
        <v>-6.4000000000000003E-3</v>
      </c>
      <c r="G360" s="5">
        <v>0.1153</v>
      </c>
    </row>
    <row r="361" spans="1:7" x14ac:dyDescent="0.25">
      <c r="A361" s="1">
        <v>45726</v>
      </c>
      <c r="B361" s="4" t="s">
        <v>248</v>
      </c>
      <c r="C361" s="4" t="s">
        <v>977</v>
      </c>
      <c r="D361" s="4" t="s">
        <v>978</v>
      </c>
      <c r="E361" s="4" t="s">
        <v>979</v>
      </c>
      <c r="F361" s="5">
        <v>-1.6000000000000001E-3</v>
      </c>
      <c r="G361" s="5">
        <v>0.1225</v>
      </c>
    </row>
    <row r="362" spans="1:7" x14ac:dyDescent="0.25">
      <c r="A362" s="1">
        <v>45723</v>
      </c>
      <c r="B362" s="4" t="s">
        <v>248</v>
      </c>
      <c r="C362" s="4" t="s">
        <v>980</v>
      </c>
      <c r="D362" s="4" t="s">
        <v>981</v>
      </c>
      <c r="E362" s="4" t="s">
        <v>982</v>
      </c>
      <c r="F362" s="5">
        <v>2.3E-3</v>
      </c>
      <c r="G362" s="5">
        <v>0.12429999999999999</v>
      </c>
    </row>
    <row r="363" spans="1:7" x14ac:dyDescent="0.25">
      <c r="A363" s="1">
        <v>45722</v>
      </c>
      <c r="B363" s="4" t="s">
        <v>248</v>
      </c>
      <c r="C363" s="4" t="s">
        <v>983</v>
      </c>
      <c r="D363" s="4" t="s">
        <v>984</v>
      </c>
      <c r="E363" s="4" t="s">
        <v>985</v>
      </c>
      <c r="F363" s="5">
        <v>-3.2000000000000002E-3</v>
      </c>
      <c r="G363" s="5">
        <v>0.1217</v>
      </c>
    </row>
    <row r="364" spans="1:7" x14ac:dyDescent="0.25">
      <c r="A364" s="1">
        <v>45721</v>
      </c>
      <c r="B364" s="4" t="s">
        <v>248</v>
      </c>
      <c r="C364" s="4" t="s">
        <v>986</v>
      </c>
      <c r="D364" s="4" t="s">
        <v>987</v>
      </c>
      <c r="E364" s="4" t="s">
        <v>988</v>
      </c>
      <c r="F364" s="5">
        <v>-5.0000000000000001E-3</v>
      </c>
      <c r="G364" s="5">
        <v>0.12529999999999999</v>
      </c>
    </row>
    <row r="365" spans="1:7" x14ac:dyDescent="0.25">
      <c r="A365" s="1">
        <v>45720</v>
      </c>
      <c r="B365" s="4" t="s">
        <v>248</v>
      </c>
      <c r="C365" s="4" t="s">
        <v>989</v>
      </c>
      <c r="D365" s="4" t="s">
        <v>990</v>
      </c>
      <c r="E365" s="4" t="s">
        <v>989</v>
      </c>
      <c r="F365" s="5">
        <v>-5.1000000000000004E-3</v>
      </c>
      <c r="G365" s="5">
        <v>0.13089999999999999</v>
      </c>
    </row>
    <row r="366" spans="1:7" x14ac:dyDescent="0.25">
      <c r="A366" s="1">
        <v>45719</v>
      </c>
      <c r="B366" s="4" t="s">
        <v>248</v>
      </c>
      <c r="C366" s="4" t="s">
        <v>991</v>
      </c>
      <c r="D366" s="4" t="s">
        <v>992</v>
      </c>
      <c r="E366" s="4" t="s">
        <v>993</v>
      </c>
      <c r="F366" s="5">
        <v>4.1000000000000003E-3</v>
      </c>
      <c r="G366" s="5">
        <v>0.13669999999999999</v>
      </c>
    </row>
    <row r="367" spans="1:7" x14ac:dyDescent="0.25">
      <c r="A367" s="1">
        <v>45716</v>
      </c>
      <c r="B367" s="4" t="s">
        <v>248</v>
      </c>
      <c r="C367" s="4" t="s">
        <v>994</v>
      </c>
      <c r="D367" s="4" t="s">
        <v>995</v>
      </c>
      <c r="E367" s="4" t="s">
        <v>996</v>
      </c>
      <c r="F367" s="5">
        <v>-1.2E-2</v>
      </c>
      <c r="G367" s="5">
        <v>0.13200000000000001</v>
      </c>
    </row>
    <row r="368" spans="1:7" x14ac:dyDescent="0.25">
      <c r="A368" s="1">
        <v>45715</v>
      </c>
      <c r="B368" s="4" t="s">
        <v>248</v>
      </c>
      <c r="C368" s="4" t="s">
        <v>997</v>
      </c>
      <c r="D368" s="4" t="s">
        <v>998</v>
      </c>
      <c r="E368" s="4" t="s">
        <v>999</v>
      </c>
      <c r="F368" s="5">
        <v>-9.2999999999999992E-3</v>
      </c>
      <c r="G368" s="5">
        <v>0.14580000000000001</v>
      </c>
    </row>
    <row r="369" spans="1:7" x14ac:dyDescent="0.25">
      <c r="A369" s="1">
        <v>45714</v>
      </c>
      <c r="B369" s="4" t="s">
        <v>248</v>
      </c>
      <c r="C369" s="4" t="s">
        <v>1000</v>
      </c>
      <c r="D369" s="4" t="s">
        <v>1001</v>
      </c>
      <c r="E369" s="4" t="s">
        <v>1002</v>
      </c>
      <c r="F369" s="5">
        <v>8.8000000000000005E-3</v>
      </c>
      <c r="G369" s="5">
        <v>0.15659999999999999</v>
      </c>
    </row>
    <row r="370" spans="1:7" x14ac:dyDescent="0.25">
      <c r="A370" s="1">
        <v>45713</v>
      </c>
      <c r="B370" s="4" t="s">
        <v>248</v>
      </c>
      <c r="C370" s="4" t="s">
        <v>1003</v>
      </c>
      <c r="D370" s="4" t="s">
        <v>1004</v>
      </c>
      <c r="E370" s="4" t="s">
        <v>1005</v>
      </c>
      <c r="F370" s="5">
        <v>1.4E-3</v>
      </c>
      <c r="G370" s="5">
        <v>0.14649999999999999</v>
      </c>
    </row>
    <row r="371" spans="1:7" x14ac:dyDescent="0.25">
      <c r="A371" s="1">
        <v>45712</v>
      </c>
      <c r="B371" s="4" t="s">
        <v>248</v>
      </c>
      <c r="C371" s="4" t="s">
        <v>1006</v>
      </c>
      <c r="D371" s="4" t="s">
        <v>1007</v>
      </c>
      <c r="E371" s="4" t="s">
        <v>1008</v>
      </c>
      <c r="F371" s="5">
        <v>4.1999999999999997E-3</v>
      </c>
      <c r="G371" s="5">
        <v>0.1449</v>
      </c>
    </row>
    <row r="372" spans="1:7" x14ac:dyDescent="0.25">
      <c r="A372" s="1">
        <v>45709</v>
      </c>
      <c r="B372" s="4" t="s">
        <v>248</v>
      </c>
      <c r="C372" s="4" t="s">
        <v>1009</v>
      </c>
      <c r="D372" s="4" t="s">
        <v>1010</v>
      </c>
      <c r="E372" s="4" t="s">
        <v>1011</v>
      </c>
      <c r="F372" s="5">
        <v>-6.4999999999999997E-3</v>
      </c>
      <c r="G372" s="5">
        <v>0.1401</v>
      </c>
    </row>
    <row r="373" spans="1:7" x14ac:dyDescent="0.25">
      <c r="A373" s="1">
        <v>45708</v>
      </c>
      <c r="B373" s="4" t="s">
        <v>248</v>
      </c>
      <c r="C373" s="4" t="s">
        <v>1012</v>
      </c>
      <c r="D373" s="4" t="s">
        <v>1013</v>
      </c>
      <c r="E373" s="4" t="s">
        <v>1014</v>
      </c>
      <c r="F373" s="5">
        <v>4.8999999999999998E-3</v>
      </c>
      <c r="G373" s="5">
        <v>0.14749999999999999</v>
      </c>
    </row>
    <row r="374" spans="1:7" x14ac:dyDescent="0.25">
      <c r="A374" s="1">
        <v>45707</v>
      </c>
      <c r="B374" s="4" t="s">
        <v>248</v>
      </c>
      <c r="C374" s="4" t="s">
        <v>1015</v>
      </c>
      <c r="D374" s="4" t="s">
        <v>1015</v>
      </c>
      <c r="E374" s="4" t="s">
        <v>1016</v>
      </c>
      <c r="F374" s="5">
        <v>9.7999999999999997E-3</v>
      </c>
      <c r="G374" s="5">
        <v>0.1419</v>
      </c>
    </row>
    <row r="375" spans="1:7" x14ac:dyDescent="0.25">
      <c r="A375" s="1">
        <v>45706</v>
      </c>
      <c r="B375" s="4" t="s">
        <v>248</v>
      </c>
      <c r="C375" s="4" t="s">
        <v>1016</v>
      </c>
      <c r="D375" s="4" t="s">
        <v>1017</v>
      </c>
      <c r="E375" s="4" t="s">
        <v>1018</v>
      </c>
      <c r="F375" s="5">
        <v>3.7000000000000002E-3</v>
      </c>
      <c r="G375" s="5">
        <v>0.13089999999999999</v>
      </c>
    </row>
    <row r="376" spans="1:7" x14ac:dyDescent="0.25">
      <c r="A376" s="1">
        <v>45705</v>
      </c>
      <c r="B376" s="4" t="s">
        <v>248</v>
      </c>
      <c r="C376" s="4" t="s">
        <v>1019</v>
      </c>
      <c r="D376" s="4" t="s">
        <v>1020</v>
      </c>
      <c r="E376" s="4" t="s">
        <v>1021</v>
      </c>
      <c r="F376" s="5">
        <v>1.17E-2</v>
      </c>
      <c r="G376" s="5">
        <v>0.12670000000000001</v>
      </c>
    </row>
    <row r="377" spans="1:7" x14ac:dyDescent="0.25">
      <c r="A377" s="1">
        <v>45702</v>
      </c>
      <c r="B377" s="4" t="s">
        <v>248</v>
      </c>
      <c r="C377" s="4" t="s">
        <v>1022</v>
      </c>
      <c r="D377" s="4" t="s">
        <v>1023</v>
      </c>
      <c r="E377" s="4" t="s">
        <v>1024</v>
      </c>
      <c r="F377" s="5">
        <v>3.3E-3</v>
      </c>
      <c r="G377" s="5">
        <v>0.1137</v>
      </c>
    </row>
    <row r="378" spans="1:7" x14ac:dyDescent="0.25">
      <c r="A378" s="1">
        <v>45701</v>
      </c>
      <c r="B378" s="4" t="s">
        <v>248</v>
      </c>
      <c r="C378" s="4" t="s">
        <v>1025</v>
      </c>
      <c r="D378" s="4" t="s">
        <v>1026</v>
      </c>
      <c r="E378" s="4" t="s">
        <v>1027</v>
      </c>
      <c r="F378" s="5">
        <v>2.9999999999999997E-4</v>
      </c>
      <c r="G378" s="5">
        <v>0.11</v>
      </c>
    </row>
    <row r="379" spans="1:7" x14ac:dyDescent="0.25">
      <c r="A379" s="1">
        <v>45700</v>
      </c>
      <c r="B379" s="4" t="s">
        <v>248</v>
      </c>
      <c r="C379" s="4" t="s">
        <v>1027</v>
      </c>
      <c r="D379" s="4" t="s">
        <v>1028</v>
      </c>
      <c r="E379" s="4" t="s">
        <v>1029</v>
      </c>
      <c r="F379" s="5">
        <v>7.4000000000000003E-3</v>
      </c>
      <c r="G379" s="5">
        <v>0.10970000000000001</v>
      </c>
    </row>
    <row r="380" spans="1:7" x14ac:dyDescent="0.25">
      <c r="A380" s="1">
        <v>45699</v>
      </c>
      <c r="B380" s="4" t="s">
        <v>248</v>
      </c>
      <c r="C380" s="4" t="s">
        <v>1030</v>
      </c>
      <c r="D380" s="4" t="s">
        <v>1031</v>
      </c>
      <c r="E380" s="4" t="s">
        <v>1032</v>
      </c>
      <c r="F380" s="5">
        <v>-4.5999999999999999E-3</v>
      </c>
      <c r="G380" s="5">
        <v>0.10150000000000001</v>
      </c>
    </row>
    <row r="381" spans="1:7" x14ac:dyDescent="0.25">
      <c r="A381" s="1">
        <v>45698</v>
      </c>
      <c r="B381" s="4" t="s">
        <v>248</v>
      </c>
      <c r="C381" s="4" t="s">
        <v>1033</v>
      </c>
      <c r="D381" s="4" t="s">
        <v>1034</v>
      </c>
      <c r="E381" s="4" t="s">
        <v>1035</v>
      </c>
      <c r="F381" s="5">
        <v>1.4E-3</v>
      </c>
      <c r="G381" s="5">
        <v>0.1066</v>
      </c>
    </row>
    <row r="382" spans="1:7" x14ac:dyDescent="0.25">
      <c r="A382" s="1">
        <v>45695</v>
      </c>
      <c r="B382" s="4" t="s">
        <v>248</v>
      </c>
      <c r="C382" s="4" t="s">
        <v>1036</v>
      </c>
      <c r="D382" s="4" t="s">
        <v>1037</v>
      </c>
      <c r="E382" s="4" t="s">
        <v>1038</v>
      </c>
      <c r="F382" s="5">
        <v>0</v>
      </c>
      <c r="G382" s="5">
        <v>0.1051</v>
      </c>
    </row>
    <row r="383" spans="1:7" x14ac:dyDescent="0.25">
      <c r="A383" s="1">
        <v>45694</v>
      </c>
      <c r="B383" s="4" t="s">
        <v>248</v>
      </c>
      <c r="C383" s="4" t="s">
        <v>1039</v>
      </c>
      <c r="D383" s="4" t="s">
        <v>1039</v>
      </c>
      <c r="E383" s="4" t="s">
        <v>1040</v>
      </c>
      <c r="F383" s="5">
        <v>6.7000000000000002E-3</v>
      </c>
      <c r="G383" s="5">
        <v>0.1051</v>
      </c>
    </row>
    <row r="384" spans="1:7" x14ac:dyDescent="0.25">
      <c r="A384" s="1">
        <v>45693</v>
      </c>
      <c r="B384" s="4" t="s">
        <v>248</v>
      </c>
      <c r="C384" s="4" t="s">
        <v>1041</v>
      </c>
      <c r="D384" s="4" t="s">
        <v>1042</v>
      </c>
      <c r="E384" s="4" t="s">
        <v>1043</v>
      </c>
      <c r="F384" s="5">
        <v>-1.8E-3</v>
      </c>
      <c r="G384" s="5">
        <v>9.7799999999999998E-2</v>
      </c>
    </row>
    <row r="385" spans="1:7" x14ac:dyDescent="0.25">
      <c r="A385" s="1">
        <v>45692</v>
      </c>
      <c r="B385" s="4" t="s">
        <v>248</v>
      </c>
      <c r="C385" s="4" t="s">
        <v>1044</v>
      </c>
      <c r="D385" s="4" t="s">
        <v>1045</v>
      </c>
      <c r="E385" s="4" t="s">
        <v>1046</v>
      </c>
      <c r="F385" s="5">
        <v>2.3E-3</v>
      </c>
      <c r="G385" s="5">
        <v>9.9699999999999997E-2</v>
      </c>
    </row>
    <row r="386" spans="1:7" x14ac:dyDescent="0.25">
      <c r="A386" s="1">
        <v>45691</v>
      </c>
      <c r="B386" s="4" t="s">
        <v>248</v>
      </c>
      <c r="C386" s="4" t="s">
        <v>1047</v>
      </c>
      <c r="D386" s="4" t="s">
        <v>1048</v>
      </c>
      <c r="E386" s="4" t="s">
        <v>1049</v>
      </c>
      <c r="F386" s="5">
        <v>-2.3999999999999998E-3</v>
      </c>
      <c r="G386" s="5">
        <v>9.7199999999999995E-2</v>
      </c>
    </row>
    <row r="387" spans="1:7" x14ac:dyDescent="0.25">
      <c r="A387" s="1">
        <v>45688</v>
      </c>
      <c r="B387" s="4" t="s">
        <v>248</v>
      </c>
      <c r="C387" s="4" t="s">
        <v>1050</v>
      </c>
      <c r="D387" s="4" t="s">
        <v>1051</v>
      </c>
      <c r="E387" s="4" t="s">
        <v>1052</v>
      </c>
      <c r="F387" s="5">
        <v>-5.8999999999999999E-3</v>
      </c>
      <c r="G387" s="5">
        <v>9.98E-2</v>
      </c>
    </row>
    <row r="388" spans="1:7" x14ac:dyDescent="0.25">
      <c r="A388" s="1">
        <v>45687</v>
      </c>
      <c r="B388" s="4" t="s">
        <v>248</v>
      </c>
      <c r="C388" s="4" t="s">
        <v>1053</v>
      </c>
      <c r="D388" s="4" t="s">
        <v>1054</v>
      </c>
      <c r="E388" s="4" t="s">
        <v>1055</v>
      </c>
      <c r="F388" s="5">
        <v>1.4800000000000001E-2</v>
      </c>
      <c r="G388" s="5">
        <v>0.10639999999999999</v>
      </c>
    </row>
    <row r="389" spans="1:7" x14ac:dyDescent="0.25">
      <c r="A389" s="1">
        <v>45686</v>
      </c>
      <c r="B389" s="4" t="s">
        <v>248</v>
      </c>
      <c r="C389" s="4" t="s">
        <v>1055</v>
      </c>
      <c r="D389" s="4" t="s">
        <v>1056</v>
      </c>
      <c r="E389" s="4" t="s">
        <v>1057</v>
      </c>
      <c r="F389" s="5">
        <v>1.2200000000000001E-2</v>
      </c>
      <c r="G389" s="5">
        <v>9.0300000000000005E-2</v>
      </c>
    </row>
    <row r="390" spans="1:7" x14ac:dyDescent="0.25">
      <c r="A390" s="1">
        <v>45685</v>
      </c>
      <c r="B390" s="4" t="s">
        <v>248</v>
      </c>
      <c r="C390" s="4" t="s">
        <v>1058</v>
      </c>
      <c r="D390" s="4" t="s">
        <v>1059</v>
      </c>
      <c r="E390" s="4" t="s">
        <v>1060</v>
      </c>
      <c r="F390" s="5">
        <v>1.6999999999999999E-3</v>
      </c>
      <c r="G390" s="5">
        <v>7.7100000000000002E-2</v>
      </c>
    </row>
    <row r="391" spans="1:7" x14ac:dyDescent="0.25">
      <c r="A391" s="1">
        <v>45684</v>
      </c>
      <c r="B391" s="4" t="s">
        <v>248</v>
      </c>
      <c r="C391" s="4" t="s">
        <v>1061</v>
      </c>
      <c r="D391" s="4" t="s">
        <v>1062</v>
      </c>
      <c r="E391" s="4" t="s">
        <v>1063</v>
      </c>
      <c r="F391" s="5">
        <v>2.9999999999999997E-4</v>
      </c>
      <c r="G391" s="5">
        <v>7.5300000000000006E-2</v>
      </c>
    </row>
    <row r="392" spans="1:7" x14ac:dyDescent="0.25">
      <c r="A392" s="1">
        <v>45681</v>
      </c>
      <c r="B392" s="4" t="s">
        <v>248</v>
      </c>
      <c r="C392" s="4" t="s">
        <v>1063</v>
      </c>
      <c r="D392" s="4" t="s">
        <v>1064</v>
      </c>
      <c r="E392" s="4" t="s">
        <v>1065</v>
      </c>
      <c r="F392" s="5">
        <v>3.3999999999999998E-3</v>
      </c>
      <c r="G392" s="5">
        <v>7.51E-2</v>
      </c>
    </row>
    <row r="393" spans="1:7" x14ac:dyDescent="0.25">
      <c r="A393" s="1">
        <v>45680</v>
      </c>
      <c r="B393" s="4" t="s">
        <v>248</v>
      </c>
      <c r="C393" s="4" t="s">
        <v>1065</v>
      </c>
      <c r="D393" s="4" t="s">
        <v>1066</v>
      </c>
      <c r="E393" s="4" t="s">
        <v>1067</v>
      </c>
      <c r="F393" s="5">
        <v>3.3E-3</v>
      </c>
      <c r="G393" s="5">
        <v>7.1400000000000005E-2</v>
      </c>
    </row>
    <row r="394" spans="1:7" x14ac:dyDescent="0.25">
      <c r="A394" s="1">
        <v>45679</v>
      </c>
      <c r="B394" s="4" t="s">
        <v>248</v>
      </c>
      <c r="C394" s="4" t="s">
        <v>1068</v>
      </c>
      <c r="D394" s="4" t="s">
        <v>1069</v>
      </c>
      <c r="E394" s="4" t="s">
        <v>1070</v>
      </c>
      <c r="F394" s="5">
        <v>4.0000000000000002E-4</v>
      </c>
      <c r="G394" s="5">
        <v>6.7900000000000002E-2</v>
      </c>
    </row>
    <row r="395" spans="1:7" x14ac:dyDescent="0.25">
      <c r="A395" s="1">
        <v>45678</v>
      </c>
      <c r="B395" s="4" t="s">
        <v>248</v>
      </c>
      <c r="C395" s="4" t="s">
        <v>1071</v>
      </c>
      <c r="D395" s="4" t="s">
        <v>1072</v>
      </c>
      <c r="E395" s="4" t="s">
        <v>1073</v>
      </c>
      <c r="F395" s="5">
        <v>-1.2500000000000001E-2</v>
      </c>
      <c r="G395" s="5">
        <v>6.7400000000000002E-2</v>
      </c>
    </row>
    <row r="396" spans="1:7" x14ac:dyDescent="0.25">
      <c r="A396" s="1">
        <v>45677</v>
      </c>
      <c r="B396" s="4" t="s">
        <v>248</v>
      </c>
      <c r="C396" s="4" t="s">
        <v>1074</v>
      </c>
      <c r="D396" s="4" t="s">
        <v>1075</v>
      </c>
      <c r="E396" s="4" t="s">
        <v>1074</v>
      </c>
      <c r="F396" s="5">
        <v>-3.3E-3</v>
      </c>
      <c r="G396" s="5">
        <v>8.09E-2</v>
      </c>
    </row>
    <row r="397" spans="1:7" x14ac:dyDescent="0.25">
      <c r="A397" s="1">
        <v>45674</v>
      </c>
      <c r="B397" s="4" t="s">
        <v>248</v>
      </c>
      <c r="C397" s="4" t="s">
        <v>1076</v>
      </c>
      <c r="D397" s="4" t="s">
        <v>1077</v>
      </c>
      <c r="E397" s="4" t="s">
        <v>1076</v>
      </c>
      <c r="F397" s="5">
        <v>-3.7000000000000002E-3</v>
      </c>
      <c r="G397" s="5">
        <v>8.4500000000000006E-2</v>
      </c>
    </row>
    <row r="398" spans="1:7" x14ac:dyDescent="0.25">
      <c r="A398" s="1">
        <v>45673</v>
      </c>
      <c r="B398" s="4" t="s">
        <v>248</v>
      </c>
      <c r="C398" s="4" t="s">
        <v>1078</v>
      </c>
      <c r="D398" s="4" t="s">
        <v>1079</v>
      </c>
      <c r="E398" s="4" t="s">
        <v>1080</v>
      </c>
      <c r="F398" s="5">
        <v>1E-4</v>
      </c>
      <c r="G398" s="5">
        <v>8.8499999999999995E-2</v>
      </c>
    </row>
    <row r="399" spans="1:7" x14ac:dyDescent="0.25">
      <c r="A399" s="1">
        <v>45672</v>
      </c>
      <c r="B399" s="4" t="s">
        <v>248</v>
      </c>
      <c r="C399" s="4" t="s">
        <v>1081</v>
      </c>
      <c r="D399" s="4" t="s">
        <v>1082</v>
      </c>
      <c r="E399" s="4" t="s">
        <v>1083</v>
      </c>
      <c r="F399" s="5">
        <v>1.0500000000000001E-2</v>
      </c>
      <c r="G399" s="5">
        <v>8.8400000000000006E-2</v>
      </c>
    </row>
    <row r="400" spans="1:7" x14ac:dyDescent="0.25">
      <c r="A400" s="1">
        <v>45670</v>
      </c>
      <c r="B400" s="4" t="s">
        <v>248</v>
      </c>
      <c r="C400" s="4" t="s">
        <v>1083</v>
      </c>
      <c r="D400" s="4" t="s">
        <v>1084</v>
      </c>
      <c r="E400" s="4" t="s">
        <v>1085</v>
      </c>
      <c r="F400" s="5">
        <v>2.3E-3</v>
      </c>
      <c r="G400" s="5">
        <v>7.7100000000000002E-2</v>
      </c>
    </row>
    <row r="401" spans="1:7" x14ac:dyDescent="0.25">
      <c r="A401" s="1">
        <v>45667</v>
      </c>
      <c r="B401" s="4" t="s">
        <v>248</v>
      </c>
      <c r="C401" s="4" t="s">
        <v>1086</v>
      </c>
      <c r="D401" s="4" t="s">
        <v>1087</v>
      </c>
      <c r="E401" s="4" t="s">
        <v>1088</v>
      </c>
      <c r="F401" s="5">
        <v>1.9E-3</v>
      </c>
      <c r="G401" s="5">
        <v>7.46E-2</v>
      </c>
    </row>
    <row r="402" spans="1:7" x14ac:dyDescent="0.25">
      <c r="A402" s="1">
        <v>45666</v>
      </c>
      <c r="B402" s="4" t="s">
        <v>248</v>
      </c>
      <c r="C402" s="4" t="s">
        <v>1089</v>
      </c>
      <c r="D402" s="4" t="s">
        <v>1090</v>
      </c>
      <c r="E402" s="4" t="s">
        <v>1091</v>
      </c>
      <c r="F402" s="5">
        <v>7.7999999999999996E-3</v>
      </c>
      <c r="G402" s="5">
        <v>7.2599999999999998E-2</v>
      </c>
    </row>
    <row r="403" spans="1:7" x14ac:dyDescent="0.25">
      <c r="A403" s="1">
        <v>45665</v>
      </c>
      <c r="B403" s="4" t="s">
        <v>248</v>
      </c>
      <c r="C403" s="4" t="s">
        <v>1091</v>
      </c>
      <c r="D403" s="4" t="s">
        <v>1092</v>
      </c>
      <c r="E403" s="4" t="s">
        <v>1093</v>
      </c>
      <c r="F403" s="5">
        <v>1.2500000000000001E-2</v>
      </c>
      <c r="G403" s="5">
        <v>6.4299999999999996E-2</v>
      </c>
    </row>
    <row r="404" spans="1:7" x14ac:dyDescent="0.25">
      <c r="A404" s="1">
        <v>45664</v>
      </c>
      <c r="B404" s="4" t="s">
        <v>248</v>
      </c>
      <c r="C404" s="4" t="s">
        <v>1093</v>
      </c>
      <c r="D404" s="4" t="s">
        <v>1094</v>
      </c>
      <c r="E404" s="4" t="s">
        <v>1095</v>
      </c>
      <c r="F404" s="5">
        <v>-1.9E-3</v>
      </c>
      <c r="G404" s="5">
        <v>5.1200000000000002E-2</v>
      </c>
    </row>
    <row r="405" spans="1:7" x14ac:dyDescent="0.25">
      <c r="A405" s="1">
        <v>45663</v>
      </c>
      <c r="B405" s="4" t="s">
        <v>248</v>
      </c>
      <c r="C405" s="4" t="s">
        <v>1096</v>
      </c>
      <c r="D405" s="4" t="s">
        <v>1097</v>
      </c>
      <c r="E405" s="4" t="s">
        <v>1098</v>
      </c>
      <c r="F405" s="5">
        <v>2.8E-3</v>
      </c>
      <c r="G405" s="5">
        <v>5.3199999999999997E-2</v>
      </c>
    </row>
    <row r="406" spans="1:7" x14ac:dyDescent="0.25">
      <c r="A406" s="1">
        <v>45660</v>
      </c>
      <c r="B406" s="4" t="s">
        <v>248</v>
      </c>
      <c r="C406" s="4" t="s">
        <v>1098</v>
      </c>
      <c r="D406" s="4" t="s">
        <v>1098</v>
      </c>
      <c r="E406" s="4" t="s">
        <v>1099</v>
      </c>
      <c r="F406" s="5">
        <v>2.8400000000000002E-2</v>
      </c>
      <c r="G406" s="5">
        <v>5.0299999999999997E-2</v>
      </c>
    </row>
    <row r="407" spans="1:7" x14ac:dyDescent="0.25">
      <c r="A407" s="1">
        <v>45659</v>
      </c>
      <c r="B407" s="4" t="s">
        <v>248</v>
      </c>
      <c r="C407" s="4" t="s">
        <v>1099</v>
      </c>
      <c r="D407" s="4" t="s">
        <v>1100</v>
      </c>
      <c r="E407" s="4" t="s">
        <v>1101</v>
      </c>
      <c r="F407" s="5">
        <v>2.1299999999999999E-2</v>
      </c>
      <c r="G407" s="5">
        <v>2.1299999999999999E-2</v>
      </c>
    </row>
    <row r="408" spans="1:7" x14ac:dyDescent="0.25">
      <c r="A408" s="1">
        <v>45657</v>
      </c>
      <c r="B408" s="4" t="s">
        <v>248</v>
      </c>
      <c r="C408" s="4" t="s">
        <v>1102</v>
      </c>
      <c r="D408" s="4" t="s">
        <v>1103</v>
      </c>
      <c r="E408" s="4" t="s">
        <v>1104</v>
      </c>
      <c r="F408" s="5">
        <v>3.7000000000000002E-3</v>
      </c>
      <c r="G408" s="5">
        <v>0.22159999999999999</v>
      </c>
    </row>
    <row r="409" spans="1:7" x14ac:dyDescent="0.25">
      <c r="A409" s="1">
        <v>45656</v>
      </c>
      <c r="B409" s="4" t="s">
        <v>248</v>
      </c>
      <c r="C409" s="4" t="s">
        <v>1105</v>
      </c>
      <c r="D409" s="4" t="s">
        <v>1106</v>
      </c>
      <c r="E409" s="4" t="s">
        <v>1107</v>
      </c>
      <c r="F409" s="5">
        <v>4.7999999999999996E-3</v>
      </c>
      <c r="G409" s="5">
        <v>0.2172</v>
      </c>
    </row>
    <row r="410" spans="1:7" x14ac:dyDescent="0.25">
      <c r="A410" s="1">
        <v>45653</v>
      </c>
      <c r="B410" s="4" t="s">
        <v>248</v>
      </c>
      <c r="C410" s="4" t="s">
        <v>1108</v>
      </c>
      <c r="D410" s="4" t="s">
        <v>1109</v>
      </c>
      <c r="E410" s="4" t="s">
        <v>1110</v>
      </c>
      <c r="F410" s="5">
        <v>-4.0000000000000002E-4</v>
      </c>
      <c r="G410" s="5">
        <v>0.21129999999999999</v>
      </c>
    </row>
    <row r="411" spans="1:7" x14ac:dyDescent="0.25">
      <c r="A411" s="1">
        <v>45652</v>
      </c>
      <c r="B411" s="4" t="s">
        <v>248</v>
      </c>
      <c r="C411" s="4" t="s">
        <v>1111</v>
      </c>
      <c r="D411" s="4" t="s">
        <v>1112</v>
      </c>
      <c r="E411" s="4" t="s">
        <v>1113</v>
      </c>
      <c r="F411" s="5">
        <v>3.0000000000000001E-3</v>
      </c>
      <c r="G411" s="5">
        <v>0.21190000000000001</v>
      </c>
    </row>
    <row r="412" spans="1:7" x14ac:dyDescent="0.25">
      <c r="A412" s="1">
        <v>45651</v>
      </c>
      <c r="B412" s="4" t="s">
        <v>248</v>
      </c>
      <c r="C412" s="4" t="s">
        <v>1113</v>
      </c>
      <c r="D412" s="4" t="s">
        <v>1114</v>
      </c>
      <c r="E412" s="4" t="s">
        <v>1115</v>
      </c>
      <c r="F412" s="5">
        <v>-1.6000000000000001E-3</v>
      </c>
      <c r="G412" s="5">
        <v>0.20830000000000001</v>
      </c>
    </row>
    <row r="413" spans="1:7" x14ac:dyDescent="0.25">
      <c r="A413" s="1">
        <v>45650</v>
      </c>
      <c r="B413" s="4" t="s">
        <v>248</v>
      </c>
      <c r="C413" s="4" t="s">
        <v>1116</v>
      </c>
      <c r="D413" s="4" t="s">
        <v>1117</v>
      </c>
      <c r="E413" s="4" t="s">
        <v>1118</v>
      </c>
      <c r="F413" s="5">
        <v>-5.7999999999999996E-3</v>
      </c>
      <c r="G413" s="5">
        <v>0.2102</v>
      </c>
    </row>
    <row r="414" spans="1:7" x14ac:dyDescent="0.25">
      <c r="A414" s="1">
        <v>45649</v>
      </c>
      <c r="B414" s="4" t="s">
        <v>248</v>
      </c>
      <c r="C414" s="4" t="s">
        <v>1119</v>
      </c>
      <c r="D414" s="4" t="s">
        <v>1120</v>
      </c>
      <c r="E414" s="4" t="s">
        <v>1121</v>
      </c>
      <c r="F414" s="5">
        <v>-1E-4</v>
      </c>
      <c r="G414" s="5">
        <v>0.21729999999999999</v>
      </c>
    </row>
    <row r="415" spans="1:7" x14ac:dyDescent="0.25">
      <c r="A415" s="1">
        <v>45646</v>
      </c>
      <c r="B415" s="4" t="s">
        <v>248</v>
      </c>
      <c r="C415" s="4" t="s">
        <v>1122</v>
      </c>
      <c r="D415" s="4" t="s">
        <v>1123</v>
      </c>
      <c r="E415" s="4" t="s">
        <v>1124</v>
      </c>
      <c r="F415" s="5">
        <v>-2.0000000000000001E-4</v>
      </c>
      <c r="G415" s="5">
        <v>0.21740000000000001</v>
      </c>
    </row>
    <row r="416" spans="1:7" x14ac:dyDescent="0.25">
      <c r="A416" s="1">
        <v>45645</v>
      </c>
      <c r="B416" s="4" t="s">
        <v>248</v>
      </c>
      <c r="C416" s="4" t="s">
        <v>1125</v>
      </c>
      <c r="D416" s="4" t="s">
        <v>1126</v>
      </c>
      <c r="E416" s="4" t="s">
        <v>1127</v>
      </c>
      <c r="F416" s="5">
        <v>-3.0999999999999999E-3</v>
      </c>
      <c r="G416" s="5">
        <v>0.21759999999999999</v>
      </c>
    </row>
    <row r="417" spans="1:7" x14ac:dyDescent="0.25">
      <c r="A417" s="1">
        <v>45644</v>
      </c>
      <c r="B417" s="4" t="s">
        <v>248</v>
      </c>
      <c r="C417" s="4" t="s">
        <v>1128</v>
      </c>
      <c r="D417" s="4" t="s">
        <v>1129</v>
      </c>
      <c r="E417" s="4" t="s">
        <v>1128</v>
      </c>
      <c r="F417" s="5">
        <v>-4.0000000000000002E-4</v>
      </c>
      <c r="G417" s="5">
        <v>0.22140000000000001</v>
      </c>
    </row>
    <row r="418" spans="1:7" x14ac:dyDescent="0.25">
      <c r="A418" s="1">
        <v>45643</v>
      </c>
      <c r="B418" s="4" t="s">
        <v>248</v>
      </c>
      <c r="C418" s="4" t="s">
        <v>1130</v>
      </c>
      <c r="D418" s="4" t="s">
        <v>1131</v>
      </c>
      <c r="E418" s="4" t="s">
        <v>1132</v>
      </c>
      <c r="F418" s="5">
        <v>4.8999999999999998E-3</v>
      </c>
      <c r="G418" s="5">
        <v>0.2218</v>
      </c>
    </row>
    <row r="419" spans="1:7" x14ac:dyDescent="0.25">
      <c r="A419" s="1">
        <v>45642</v>
      </c>
      <c r="B419" s="4" t="s">
        <v>248</v>
      </c>
      <c r="C419" s="4" t="s">
        <v>1133</v>
      </c>
      <c r="D419" s="4" t="s">
        <v>1134</v>
      </c>
      <c r="E419" s="4" t="s">
        <v>1135</v>
      </c>
      <c r="F419" s="5">
        <v>-1E-4</v>
      </c>
      <c r="G419" s="5">
        <v>0.21590000000000001</v>
      </c>
    </row>
    <row r="420" spans="1:7" x14ac:dyDescent="0.25">
      <c r="A420" s="1">
        <v>45639</v>
      </c>
      <c r="B420" s="4" t="s">
        <v>248</v>
      </c>
      <c r="C420" s="4" t="s">
        <v>1136</v>
      </c>
      <c r="D420" s="4" t="s">
        <v>1137</v>
      </c>
      <c r="E420" s="4" t="s">
        <v>1138</v>
      </c>
      <c r="F420" s="5">
        <v>1.8E-3</v>
      </c>
      <c r="G420" s="5">
        <v>0.216</v>
      </c>
    </row>
    <row r="421" spans="1:7" x14ac:dyDescent="0.25">
      <c r="A421" s="1">
        <v>45638</v>
      </c>
      <c r="B421" s="4" t="s">
        <v>248</v>
      </c>
      <c r="C421" s="4" t="s">
        <v>1139</v>
      </c>
      <c r="D421" s="4" t="s">
        <v>1140</v>
      </c>
      <c r="E421" s="4" t="s">
        <v>1141</v>
      </c>
      <c r="F421" s="5">
        <v>-1.4E-3</v>
      </c>
      <c r="G421" s="5">
        <v>0.21379999999999999</v>
      </c>
    </row>
    <row r="422" spans="1:7" x14ac:dyDescent="0.25">
      <c r="A422" s="1">
        <v>45637</v>
      </c>
      <c r="B422" s="4" t="s">
        <v>248</v>
      </c>
      <c r="C422" s="4" t="s">
        <v>1142</v>
      </c>
      <c r="D422" s="4" t="s">
        <v>1143</v>
      </c>
      <c r="E422" s="4" t="s">
        <v>1144</v>
      </c>
      <c r="F422" s="5">
        <v>2.9999999999999997E-4</v>
      </c>
      <c r="G422" s="5">
        <v>0.2155</v>
      </c>
    </row>
    <row r="423" spans="1:7" x14ac:dyDescent="0.25">
      <c r="A423" s="1">
        <v>45636</v>
      </c>
      <c r="B423" s="4" t="s">
        <v>248</v>
      </c>
      <c r="C423" s="4" t="s">
        <v>1145</v>
      </c>
      <c r="D423" s="4" t="s">
        <v>1146</v>
      </c>
      <c r="E423" s="4" t="s">
        <v>1147</v>
      </c>
      <c r="F423" s="5">
        <v>-7.0000000000000001E-3</v>
      </c>
      <c r="G423" s="5">
        <v>0.2152</v>
      </c>
    </row>
    <row r="424" spans="1:7" x14ac:dyDescent="0.25">
      <c r="A424" s="1">
        <v>45635</v>
      </c>
      <c r="B424" s="4" t="s">
        <v>248</v>
      </c>
      <c r="C424" s="4" t="s">
        <v>1148</v>
      </c>
      <c r="D424" s="4" t="s">
        <v>1148</v>
      </c>
      <c r="E424" s="4" t="s">
        <v>1149</v>
      </c>
      <c r="F424" s="5">
        <v>2.3999999999999998E-3</v>
      </c>
      <c r="G424" s="5">
        <v>0.22370000000000001</v>
      </c>
    </row>
    <row r="425" spans="1:7" x14ac:dyDescent="0.25">
      <c r="A425" s="1">
        <v>45632</v>
      </c>
      <c r="B425" s="4" t="s">
        <v>248</v>
      </c>
      <c r="C425" s="4" t="s">
        <v>1150</v>
      </c>
      <c r="D425" s="4" t="s">
        <v>1151</v>
      </c>
      <c r="E425" s="4" t="s">
        <v>1152</v>
      </c>
      <c r="F425" s="5">
        <v>-8.0000000000000002E-3</v>
      </c>
      <c r="G425" s="5">
        <v>0.2208</v>
      </c>
    </row>
    <row r="426" spans="1:7" x14ac:dyDescent="0.25">
      <c r="A426" s="1">
        <v>45631</v>
      </c>
      <c r="B426" s="4" t="s">
        <v>248</v>
      </c>
      <c r="C426" s="4" t="s">
        <v>1153</v>
      </c>
      <c r="D426" s="4" t="s">
        <v>1154</v>
      </c>
      <c r="E426" s="4" t="s">
        <v>1155</v>
      </c>
      <c r="F426" s="5">
        <v>8.8999999999999999E-3</v>
      </c>
      <c r="G426" s="5">
        <v>0.2306</v>
      </c>
    </row>
    <row r="427" spans="1:7" x14ac:dyDescent="0.25">
      <c r="A427" s="1">
        <v>45630</v>
      </c>
      <c r="B427" s="4" t="s">
        <v>248</v>
      </c>
      <c r="C427" s="4" t="s">
        <v>1156</v>
      </c>
      <c r="D427" s="4" t="s">
        <v>1157</v>
      </c>
      <c r="E427" s="4" t="s">
        <v>1158</v>
      </c>
      <c r="F427" s="5">
        <v>1.5E-3</v>
      </c>
      <c r="G427" s="5">
        <v>0.21970000000000001</v>
      </c>
    </row>
    <row r="428" spans="1:7" x14ac:dyDescent="0.25">
      <c r="A428" s="1">
        <v>45629</v>
      </c>
      <c r="B428" s="4" t="s">
        <v>248</v>
      </c>
      <c r="C428" s="4" t="s">
        <v>1159</v>
      </c>
      <c r="D428" s="4" t="s">
        <v>1160</v>
      </c>
      <c r="E428" s="4" t="s">
        <v>1161</v>
      </c>
      <c r="F428" s="5">
        <v>5.9999999999999995E-4</v>
      </c>
      <c r="G428" s="5">
        <v>0.21790000000000001</v>
      </c>
    </row>
    <row r="429" spans="1:7" x14ac:dyDescent="0.25">
      <c r="A429" s="1">
        <v>45628</v>
      </c>
      <c r="B429" s="4" t="s">
        <v>248</v>
      </c>
      <c r="C429" s="4" t="s">
        <v>1162</v>
      </c>
      <c r="D429" s="4" t="s">
        <v>1163</v>
      </c>
      <c r="E429" s="4" t="s">
        <v>1164</v>
      </c>
      <c r="F429" s="5">
        <v>-8.0000000000000002E-3</v>
      </c>
      <c r="G429" s="5">
        <v>0.2172</v>
      </c>
    </row>
    <row r="430" spans="1:7" x14ac:dyDescent="0.25">
      <c r="A430" s="1">
        <v>45625</v>
      </c>
      <c r="B430" s="4" t="s">
        <v>248</v>
      </c>
      <c r="C430" s="4" t="s">
        <v>1165</v>
      </c>
      <c r="D430" s="4" t="s">
        <v>1166</v>
      </c>
      <c r="E430" s="4" t="s">
        <v>1167</v>
      </c>
      <c r="F430" s="5">
        <v>-3.3999999999999998E-3</v>
      </c>
      <c r="G430" s="5">
        <v>0.22689999999999999</v>
      </c>
    </row>
    <row r="431" spans="1:7" x14ac:dyDescent="0.25">
      <c r="A431" s="1">
        <v>45624</v>
      </c>
      <c r="B431" s="4" t="s">
        <v>248</v>
      </c>
      <c r="C431" s="4" t="s">
        <v>1168</v>
      </c>
      <c r="D431" s="4" t="s">
        <v>1169</v>
      </c>
      <c r="E431" s="4" t="s">
        <v>1170</v>
      </c>
      <c r="F431" s="5">
        <v>-8.9999999999999998E-4</v>
      </c>
      <c r="G431" s="5">
        <v>0.23119999999999999</v>
      </c>
    </row>
    <row r="432" spans="1:7" x14ac:dyDescent="0.25">
      <c r="A432" s="1">
        <v>45623</v>
      </c>
      <c r="B432" s="4" t="s">
        <v>248</v>
      </c>
      <c r="C432" s="4" t="s">
        <v>1171</v>
      </c>
      <c r="D432" s="4" t="s">
        <v>1172</v>
      </c>
      <c r="E432" s="4" t="s">
        <v>1173</v>
      </c>
      <c r="F432" s="5">
        <v>6.0000000000000001E-3</v>
      </c>
      <c r="G432" s="5">
        <v>0.23219999999999999</v>
      </c>
    </row>
    <row r="433" spans="1:7" x14ac:dyDescent="0.25">
      <c r="A433" s="1">
        <v>45622</v>
      </c>
      <c r="B433" s="4" t="s">
        <v>248</v>
      </c>
      <c r="C433" s="4" t="s">
        <v>1174</v>
      </c>
      <c r="D433" s="4" t="s">
        <v>1175</v>
      </c>
      <c r="E433" s="4" t="s">
        <v>1176</v>
      </c>
      <c r="F433" s="5">
        <v>6.3E-3</v>
      </c>
      <c r="G433" s="5">
        <v>0.2248</v>
      </c>
    </row>
    <row r="434" spans="1:7" x14ac:dyDescent="0.25">
      <c r="A434" s="1">
        <v>45621</v>
      </c>
      <c r="B434" s="4" t="s">
        <v>248</v>
      </c>
      <c r="C434" s="4" t="s">
        <v>1176</v>
      </c>
      <c r="D434" s="4" t="s">
        <v>1177</v>
      </c>
      <c r="E434" s="4" t="s">
        <v>1178</v>
      </c>
      <c r="F434" s="5">
        <v>-1.1299999999999999E-2</v>
      </c>
      <c r="G434" s="5">
        <v>0.21709999999999999</v>
      </c>
    </row>
    <row r="435" spans="1:7" x14ac:dyDescent="0.25">
      <c r="A435" s="1">
        <v>45618</v>
      </c>
      <c r="B435" s="4" t="s">
        <v>248</v>
      </c>
      <c r="C435" s="4" t="s">
        <v>1179</v>
      </c>
      <c r="D435" s="4" t="s">
        <v>1180</v>
      </c>
      <c r="E435" s="4" t="s">
        <v>1181</v>
      </c>
      <c r="F435" s="5">
        <v>1.1999999999999999E-3</v>
      </c>
      <c r="G435" s="5">
        <v>0.23100000000000001</v>
      </c>
    </row>
    <row r="436" spans="1:7" x14ac:dyDescent="0.25">
      <c r="A436" s="1">
        <v>45617</v>
      </c>
      <c r="B436" s="4" t="s">
        <v>248</v>
      </c>
      <c r="C436" s="4" t="s">
        <v>1182</v>
      </c>
      <c r="D436" s="4" t="s">
        <v>1183</v>
      </c>
      <c r="E436" s="4" t="s">
        <v>1182</v>
      </c>
      <c r="F436" s="5">
        <v>-7.9000000000000008E-3</v>
      </c>
      <c r="G436" s="5">
        <v>0.22950000000000001</v>
      </c>
    </row>
    <row r="437" spans="1:7" x14ac:dyDescent="0.25">
      <c r="A437" s="1">
        <v>45616</v>
      </c>
      <c r="B437" s="4" t="s">
        <v>248</v>
      </c>
      <c r="C437" s="4" t="s">
        <v>1184</v>
      </c>
      <c r="D437" s="4" t="s">
        <v>1185</v>
      </c>
      <c r="E437" s="4" t="s">
        <v>1186</v>
      </c>
      <c r="F437" s="5">
        <v>6.9999999999999999E-4</v>
      </c>
      <c r="G437" s="5">
        <v>0.23930000000000001</v>
      </c>
    </row>
    <row r="438" spans="1:7" x14ac:dyDescent="0.25">
      <c r="A438" s="1">
        <v>45615</v>
      </c>
      <c r="B438" s="4" t="s">
        <v>248</v>
      </c>
      <c r="C438" s="4" t="s">
        <v>1187</v>
      </c>
      <c r="D438" s="4" t="s">
        <v>1188</v>
      </c>
      <c r="E438" s="4" t="s">
        <v>1189</v>
      </c>
      <c r="F438" s="5">
        <v>7.7000000000000002E-3</v>
      </c>
      <c r="G438" s="5">
        <v>0.23849999999999999</v>
      </c>
    </row>
    <row r="439" spans="1:7" x14ac:dyDescent="0.25">
      <c r="A439" s="1">
        <v>45611</v>
      </c>
      <c r="B439" s="4" t="s">
        <v>248</v>
      </c>
      <c r="C439" s="4" t="s">
        <v>1190</v>
      </c>
      <c r="D439" s="4" t="s">
        <v>1191</v>
      </c>
      <c r="E439" s="4" t="s">
        <v>1192</v>
      </c>
      <c r="F439" s="5">
        <v>7.6E-3</v>
      </c>
      <c r="G439" s="5">
        <v>0.22900000000000001</v>
      </c>
    </row>
    <row r="440" spans="1:7" x14ac:dyDescent="0.25">
      <c r="A440" s="1">
        <v>45610</v>
      </c>
      <c r="B440" s="4" t="s">
        <v>248</v>
      </c>
      <c r="C440" s="4" t="s">
        <v>1193</v>
      </c>
      <c r="D440" s="4" t="s">
        <v>1194</v>
      </c>
      <c r="E440" s="4" t="s">
        <v>1195</v>
      </c>
      <c r="F440" s="5">
        <v>5.0000000000000001E-3</v>
      </c>
      <c r="G440" s="5">
        <v>0.2198</v>
      </c>
    </row>
    <row r="441" spans="1:7" x14ac:dyDescent="0.25">
      <c r="A441" s="1">
        <v>45609</v>
      </c>
      <c r="B441" s="4" t="s">
        <v>248</v>
      </c>
      <c r="C441" s="4" t="s">
        <v>1195</v>
      </c>
      <c r="D441" s="4" t="s">
        <v>1196</v>
      </c>
      <c r="E441" s="4" t="s">
        <v>1197</v>
      </c>
      <c r="F441" s="5">
        <v>1.9E-3</v>
      </c>
      <c r="G441" s="5">
        <v>0.21379999999999999</v>
      </c>
    </row>
    <row r="442" spans="1:7" x14ac:dyDescent="0.25">
      <c r="A442" s="1">
        <v>45608</v>
      </c>
      <c r="B442" s="4" t="s">
        <v>248</v>
      </c>
      <c r="C442" s="4" t="s">
        <v>1198</v>
      </c>
      <c r="D442" s="4" t="s">
        <v>1199</v>
      </c>
      <c r="E442" s="4" t="s">
        <v>1200</v>
      </c>
      <c r="F442" s="5">
        <v>-2.8E-3</v>
      </c>
      <c r="G442" s="5">
        <v>0.21149999999999999</v>
      </c>
    </row>
    <row r="443" spans="1:7" x14ac:dyDescent="0.25">
      <c r="A443" s="1">
        <v>45607</v>
      </c>
      <c r="B443" s="4" t="s">
        <v>248</v>
      </c>
      <c r="C443" s="4" t="s">
        <v>1201</v>
      </c>
      <c r="D443" s="4" t="s">
        <v>1202</v>
      </c>
      <c r="E443" s="4" t="s">
        <v>1203</v>
      </c>
      <c r="F443" s="5">
        <v>1.9E-3</v>
      </c>
      <c r="G443" s="5">
        <v>0.21490000000000001</v>
      </c>
    </row>
    <row r="444" spans="1:7" x14ac:dyDescent="0.25">
      <c r="A444" s="1">
        <v>45604</v>
      </c>
      <c r="B444" s="4" t="s">
        <v>248</v>
      </c>
      <c r="C444" s="4" t="s">
        <v>1204</v>
      </c>
      <c r="D444" s="4" t="s">
        <v>1205</v>
      </c>
      <c r="E444" s="4" t="s">
        <v>1206</v>
      </c>
      <c r="F444" s="5">
        <v>1.21E-2</v>
      </c>
      <c r="G444" s="5">
        <v>0.21249999999999999</v>
      </c>
    </row>
    <row r="445" spans="1:7" x14ac:dyDescent="0.25">
      <c r="A445" s="1">
        <v>45603</v>
      </c>
      <c r="B445" s="4" t="s">
        <v>248</v>
      </c>
      <c r="C445" s="4" t="s">
        <v>1207</v>
      </c>
      <c r="D445" s="4" t="s">
        <v>1208</v>
      </c>
      <c r="E445" s="4" t="s">
        <v>1209</v>
      </c>
      <c r="F445" s="5">
        <v>1.3299999999999999E-2</v>
      </c>
      <c r="G445" s="5">
        <v>0.19800000000000001</v>
      </c>
    </row>
    <row r="446" spans="1:7" x14ac:dyDescent="0.25">
      <c r="A446" s="1">
        <v>45601</v>
      </c>
      <c r="B446" s="4" t="s">
        <v>248</v>
      </c>
      <c r="C446" s="4" t="s">
        <v>1209</v>
      </c>
      <c r="D446" s="4" t="s">
        <v>1210</v>
      </c>
      <c r="E446" s="4" t="s">
        <v>1211</v>
      </c>
      <c r="F446" s="5">
        <v>-2.0000000000000001E-4</v>
      </c>
      <c r="G446" s="5">
        <v>0.18229999999999999</v>
      </c>
    </row>
    <row r="447" spans="1:7" x14ac:dyDescent="0.25">
      <c r="A447" s="1">
        <v>45600</v>
      </c>
      <c r="B447" s="4" t="s">
        <v>248</v>
      </c>
      <c r="C447" s="4" t="s">
        <v>1212</v>
      </c>
      <c r="D447" s="4" t="s">
        <v>1212</v>
      </c>
      <c r="E447" s="4" t="s">
        <v>1213</v>
      </c>
      <c r="F447" s="5">
        <v>2.0999999999999999E-3</v>
      </c>
      <c r="G447" s="5">
        <v>0.1825</v>
      </c>
    </row>
    <row r="448" spans="1:7" x14ac:dyDescent="0.25">
      <c r="A448" s="1">
        <v>45597</v>
      </c>
      <c r="B448" s="4" t="s">
        <v>248</v>
      </c>
      <c r="C448" s="4" t="s">
        <v>1214</v>
      </c>
      <c r="D448" s="4" t="s">
        <v>1214</v>
      </c>
      <c r="E448" s="4" t="s">
        <v>1215</v>
      </c>
      <c r="F448" s="5">
        <v>7.1999999999999998E-3</v>
      </c>
      <c r="G448" s="5">
        <v>0.18</v>
      </c>
    </row>
    <row r="449" spans="1:7" x14ac:dyDescent="0.25">
      <c r="A449" s="1">
        <v>45596</v>
      </c>
      <c r="B449" s="4" t="s">
        <v>248</v>
      </c>
      <c r="C449" s="4" t="s">
        <v>1215</v>
      </c>
      <c r="D449" s="4" t="s">
        <v>1216</v>
      </c>
      <c r="E449" s="4" t="s">
        <v>1217</v>
      </c>
      <c r="F449" s="5">
        <v>-1E-3</v>
      </c>
      <c r="G449" s="5">
        <v>0.1716</v>
      </c>
    </row>
    <row r="450" spans="1:7" x14ac:dyDescent="0.25">
      <c r="A450" s="1">
        <v>45595</v>
      </c>
      <c r="B450" s="4" t="s">
        <v>248</v>
      </c>
      <c r="C450" s="4" t="s">
        <v>1218</v>
      </c>
      <c r="D450" s="4" t="s">
        <v>1219</v>
      </c>
      <c r="E450" s="4" t="s">
        <v>1220</v>
      </c>
      <c r="F450" s="5">
        <v>-4.5999999999999999E-3</v>
      </c>
      <c r="G450" s="5">
        <v>0.17280000000000001</v>
      </c>
    </row>
    <row r="451" spans="1:7" x14ac:dyDescent="0.25">
      <c r="A451" s="1">
        <v>45594</v>
      </c>
      <c r="B451" s="4" t="s">
        <v>248</v>
      </c>
      <c r="C451" s="4" t="s">
        <v>1221</v>
      </c>
      <c r="D451" s="4" t="s">
        <v>1222</v>
      </c>
      <c r="E451" s="4" t="s">
        <v>1223</v>
      </c>
      <c r="F451" s="5">
        <v>2.5000000000000001E-3</v>
      </c>
      <c r="G451" s="5">
        <v>0.1782</v>
      </c>
    </row>
    <row r="452" spans="1:7" x14ac:dyDescent="0.25">
      <c r="A452" s="1">
        <v>45593</v>
      </c>
      <c r="B452" s="4" t="s">
        <v>248</v>
      </c>
      <c r="C452" s="4" t="s">
        <v>1224</v>
      </c>
      <c r="D452" s="4" t="s">
        <v>1225</v>
      </c>
      <c r="E452" s="4" t="s">
        <v>1226</v>
      </c>
      <c r="F452" s="5">
        <v>2.0999999999999999E-3</v>
      </c>
      <c r="G452" s="5">
        <v>0.17519999999999999</v>
      </c>
    </row>
    <row r="453" spans="1:7" x14ac:dyDescent="0.25">
      <c r="A453" s="1">
        <v>45590</v>
      </c>
      <c r="B453" s="4" t="s">
        <v>248</v>
      </c>
      <c r="C453" s="4" t="s">
        <v>1227</v>
      </c>
      <c r="D453" s="4" t="s">
        <v>1228</v>
      </c>
      <c r="E453" s="4" t="s">
        <v>1229</v>
      </c>
      <c r="F453" s="5">
        <v>3.0999999999999999E-3</v>
      </c>
      <c r="G453" s="5">
        <v>0.17269999999999999</v>
      </c>
    </row>
    <row r="454" spans="1:7" x14ac:dyDescent="0.25">
      <c r="A454" s="1">
        <v>45589</v>
      </c>
      <c r="B454" s="4" t="s">
        <v>248</v>
      </c>
      <c r="C454" s="4" t="s">
        <v>1230</v>
      </c>
      <c r="D454" s="4" t="s">
        <v>1231</v>
      </c>
      <c r="E454" s="4" t="s">
        <v>1232</v>
      </c>
      <c r="F454" s="5">
        <v>1.4E-3</v>
      </c>
      <c r="G454" s="5">
        <v>0.1691</v>
      </c>
    </row>
    <row r="455" spans="1:7" x14ac:dyDescent="0.25">
      <c r="A455" s="1">
        <v>45588</v>
      </c>
      <c r="B455" s="4" t="s">
        <v>248</v>
      </c>
      <c r="C455" s="4" t="s">
        <v>1233</v>
      </c>
      <c r="D455" s="4" t="s">
        <v>1234</v>
      </c>
      <c r="E455" s="4" t="s">
        <v>1235</v>
      </c>
      <c r="F455" s="5">
        <v>2.3E-3</v>
      </c>
      <c r="G455" s="5">
        <v>0.16750000000000001</v>
      </c>
    </row>
    <row r="456" spans="1:7" x14ac:dyDescent="0.25">
      <c r="A456" s="1">
        <v>45587</v>
      </c>
      <c r="B456" s="4" t="s">
        <v>248</v>
      </c>
      <c r="C456" s="4" t="s">
        <v>1236</v>
      </c>
      <c r="D456" s="4" t="s">
        <v>1237</v>
      </c>
      <c r="E456" s="4" t="s">
        <v>1238</v>
      </c>
      <c r="F456" s="5">
        <v>4.0000000000000002E-4</v>
      </c>
      <c r="G456" s="5">
        <v>0.1648</v>
      </c>
    </row>
    <row r="457" spans="1:7" x14ac:dyDescent="0.25">
      <c r="A457" s="1">
        <v>45586</v>
      </c>
      <c r="B457" s="4" t="s">
        <v>248</v>
      </c>
      <c r="C457" s="4" t="s">
        <v>1239</v>
      </c>
      <c r="D457" s="4" t="s">
        <v>1240</v>
      </c>
      <c r="E457" s="4" t="s">
        <v>1241</v>
      </c>
      <c r="F457" s="5">
        <v>0</v>
      </c>
      <c r="G457" s="5">
        <v>0.1643</v>
      </c>
    </row>
    <row r="458" spans="1:7" x14ac:dyDescent="0.25">
      <c r="A458" s="1">
        <v>45583</v>
      </c>
      <c r="B458" s="4" t="s">
        <v>248</v>
      </c>
      <c r="C458" s="4" t="s">
        <v>1242</v>
      </c>
      <c r="D458" s="4" t="s">
        <v>1243</v>
      </c>
      <c r="E458" s="4" t="s">
        <v>1244</v>
      </c>
      <c r="F458" s="5">
        <v>-3.2000000000000002E-3</v>
      </c>
      <c r="G458" s="5">
        <v>0.16439999999999999</v>
      </c>
    </row>
    <row r="459" spans="1:7" x14ac:dyDescent="0.25">
      <c r="A459" s="1">
        <v>45582</v>
      </c>
      <c r="B459" s="4" t="s">
        <v>248</v>
      </c>
      <c r="C459" s="4" t="s">
        <v>1245</v>
      </c>
      <c r="D459" s="4" t="s">
        <v>1245</v>
      </c>
      <c r="E459" s="4" t="s">
        <v>1246</v>
      </c>
      <c r="F459" s="5">
        <v>2.1000000000000001E-2</v>
      </c>
      <c r="G459" s="5">
        <v>0.1681</v>
      </c>
    </row>
    <row r="460" spans="1:7" x14ac:dyDescent="0.25">
      <c r="A460" s="1">
        <v>45581</v>
      </c>
      <c r="B460" s="4" t="s">
        <v>248</v>
      </c>
      <c r="C460" s="4" t="s">
        <v>1247</v>
      </c>
      <c r="D460" s="4" t="s">
        <v>1248</v>
      </c>
      <c r="E460" s="4" t="s">
        <v>1249</v>
      </c>
      <c r="F460" s="5">
        <v>-7.4999999999999997E-3</v>
      </c>
      <c r="G460" s="5">
        <v>0.14399999999999999</v>
      </c>
    </row>
    <row r="461" spans="1:7" x14ac:dyDescent="0.25">
      <c r="A461" s="1">
        <v>45580</v>
      </c>
      <c r="B461" s="4" t="s">
        <v>248</v>
      </c>
      <c r="C461" s="4" t="s">
        <v>1250</v>
      </c>
      <c r="D461" s="4" t="s">
        <v>1251</v>
      </c>
      <c r="E461" s="4" t="s">
        <v>1252</v>
      </c>
      <c r="F461" s="5">
        <v>-7.7999999999999996E-3</v>
      </c>
      <c r="G461" s="5">
        <v>0.1527</v>
      </c>
    </row>
    <row r="462" spans="1:7" x14ac:dyDescent="0.25">
      <c r="A462" s="1">
        <v>45579</v>
      </c>
      <c r="B462" s="4" t="s">
        <v>248</v>
      </c>
      <c r="C462" s="4" t="s">
        <v>1253</v>
      </c>
      <c r="D462" s="4" t="s">
        <v>1254</v>
      </c>
      <c r="E462" s="4" t="s">
        <v>1255</v>
      </c>
      <c r="F462" s="5">
        <v>-3.8E-3</v>
      </c>
      <c r="G462" s="5">
        <v>0.16170000000000001</v>
      </c>
    </row>
    <row r="463" spans="1:7" x14ac:dyDescent="0.25">
      <c r="A463" s="1">
        <v>45576</v>
      </c>
      <c r="B463" s="4" t="s">
        <v>248</v>
      </c>
      <c r="C463" s="4" t="s">
        <v>1256</v>
      </c>
      <c r="D463" s="4" t="s">
        <v>1257</v>
      </c>
      <c r="E463" s="4" t="s">
        <v>1258</v>
      </c>
      <c r="F463" s="5">
        <v>-1E-4</v>
      </c>
      <c r="G463" s="5">
        <v>0.1661</v>
      </c>
    </row>
    <row r="464" spans="1:7" x14ac:dyDescent="0.25">
      <c r="A464" s="1">
        <v>45575</v>
      </c>
      <c r="B464" s="4" t="s">
        <v>248</v>
      </c>
      <c r="C464" s="4" t="s">
        <v>1259</v>
      </c>
      <c r="D464" s="4" t="s">
        <v>1260</v>
      </c>
      <c r="E464" s="4" t="s">
        <v>1261</v>
      </c>
      <c r="F464" s="5">
        <v>-3.3E-3</v>
      </c>
      <c r="G464" s="5">
        <v>0.16619999999999999</v>
      </c>
    </row>
    <row r="465" spans="1:7" x14ac:dyDescent="0.25">
      <c r="A465" s="1">
        <v>45574</v>
      </c>
      <c r="B465" s="4" t="s">
        <v>248</v>
      </c>
      <c r="C465" s="4" t="s">
        <v>1262</v>
      </c>
      <c r="D465" s="4" t="s">
        <v>1263</v>
      </c>
      <c r="E465" s="4" t="s">
        <v>1264</v>
      </c>
      <c r="F465" s="5">
        <v>9.1999999999999998E-3</v>
      </c>
      <c r="G465" s="5">
        <v>0.17</v>
      </c>
    </row>
    <row r="466" spans="1:7" x14ac:dyDescent="0.25">
      <c r="A466" s="1">
        <v>45573</v>
      </c>
      <c r="B466" s="4" t="s">
        <v>248</v>
      </c>
      <c r="C466" s="4" t="s">
        <v>1264</v>
      </c>
      <c r="D466" s="4" t="s">
        <v>1265</v>
      </c>
      <c r="E466" s="4" t="s">
        <v>1264</v>
      </c>
      <c r="F466" s="5">
        <v>-9.7000000000000003E-3</v>
      </c>
      <c r="G466" s="5">
        <v>0.1593</v>
      </c>
    </row>
    <row r="467" spans="1:7" x14ac:dyDescent="0.25">
      <c r="A467" s="1">
        <v>45572</v>
      </c>
      <c r="B467" s="4" t="s">
        <v>248</v>
      </c>
      <c r="C467" s="4" t="s">
        <v>1266</v>
      </c>
      <c r="D467" s="4" t="s">
        <v>1267</v>
      </c>
      <c r="E467" s="4" t="s">
        <v>1268</v>
      </c>
      <c r="F467" s="5">
        <v>-6.9999999999999999E-4</v>
      </c>
      <c r="G467" s="5">
        <v>0.17069999999999999</v>
      </c>
    </row>
    <row r="468" spans="1:7" x14ac:dyDescent="0.25">
      <c r="A468" s="1">
        <v>45569</v>
      </c>
      <c r="B468" s="4" t="s">
        <v>248</v>
      </c>
      <c r="C468" s="4" t="s">
        <v>1269</v>
      </c>
      <c r="D468" s="4" t="s">
        <v>1270</v>
      </c>
      <c r="E468" s="4" t="s">
        <v>1271</v>
      </c>
      <c r="F468" s="5">
        <v>8.9999999999999998E-4</v>
      </c>
      <c r="G468" s="5">
        <v>0.17150000000000001</v>
      </c>
    </row>
    <row r="469" spans="1:7" x14ac:dyDescent="0.25">
      <c r="A469" s="1">
        <v>45568</v>
      </c>
      <c r="B469" s="4" t="s">
        <v>248</v>
      </c>
      <c r="C469" s="4" t="s">
        <v>1272</v>
      </c>
      <c r="D469" s="4" t="s">
        <v>1273</v>
      </c>
      <c r="E469" s="4" t="s">
        <v>1274</v>
      </c>
      <c r="F469" s="5">
        <v>9.2999999999999992E-3</v>
      </c>
      <c r="G469" s="5">
        <v>0.17050000000000001</v>
      </c>
    </row>
    <row r="470" spans="1:7" x14ac:dyDescent="0.25">
      <c r="A470" s="1">
        <v>45567</v>
      </c>
      <c r="B470" s="4" t="s">
        <v>248</v>
      </c>
      <c r="C470" s="4" t="s">
        <v>1274</v>
      </c>
      <c r="D470" s="4" t="s">
        <v>1275</v>
      </c>
      <c r="E470" s="4" t="s">
        <v>1276</v>
      </c>
      <c r="F470" s="5">
        <v>-1.24E-2</v>
      </c>
      <c r="G470" s="5">
        <v>0.15970000000000001</v>
      </c>
    </row>
    <row r="471" spans="1:7" x14ac:dyDescent="0.25">
      <c r="A471" s="1">
        <v>45566</v>
      </c>
      <c r="B471" s="4" t="s">
        <v>248</v>
      </c>
      <c r="C471" s="4" t="s">
        <v>1277</v>
      </c>
      <c r="D471" s="4" t="s">
        <v>1278</v>
      </c>
      <c r="E471" s="4" t="s">
        <v>1279</v>
      </c>
      <c r="F471" s="5">
        <v>-1.1900000000000001E-2</v>
      </c>
      <c r="G471" s="5">
        <v>0.1744</v>
      </c>
    </row>
    <row r="472" spans="1:7" x14ac:dyDescent="0.25">
      <c r="A472" s="1">
        <v>45565</v>
      </c>
      <c r="B472" s="4" t="s">
        <v>248</v>
      </c>
      <c r="C472" s="4" t="s">
        <v>1280</v>
      </c>
      <c r="D472" s="4" t="s">
        <v>1281</v>
      </c>
      <c r="E472" s="4" t="s">
        <v>1280</v>
      </c>
      <c r="F472" s="5">
        <v>-5.3E-3</v>
      </c>
      <c r="G472" s="5">
        <v>0.1885</v>
      </c>
    </row>
    <row r="473" spans="1:7" x14ac:dyDescent="0.25">
      <c r="A473" s="1">
        <v>45562</v>
      </c>
      <c r="B473" s="4" t="s">
        <v>248</v>
      </c>
      <c r="C473" s="4" t="s">
        <v>1282</v>
      </c>
      <c r="D473" s="4" t="s">
        <v>1283</v>
      </c>
      <c r="E473" s="4" t="s">
        <v>1284</v>
      </c>
      <c r="F473" s="5">
        <v>5.4999999999999997E-3</v>
      </c>
      <c r="G473" s="5">
        <v>0.1948</v>
      </c>
    </row>
    <row r="474" spans="1:7" x14ac:dyDescent="0.25">
      <c r="A474" s="1">
        <v>45561</v>
      </c>
      <c r="B474" s="4" t="s">
        <v>248</v>
      </c>
      <c r="C474" s="4" t="s">
        <v>1285</v>
      </c>
      <c r="D474" s="4" t="s">
        <v>1286</v>
      </c>
      <c r="E474" s="4" t="s">
        <v>1287</v>
      </c>
      <c r="F474" s="5">
        <v>6.1999999999999998E-3</v>
      </c>
      <c r="G474" s="5">
        <v>0.18840000000000001</v>
      </c>
    </row>
    <row r="475" spans="1:7" x14ac:dyDescent="0.25">
      <c r="A475" s="1">
        <v>45560</v>
      </c>
      <c r="B475" s="4" t="s">
        <v>248</v>
      </c>
      <c r="C475" s="4" t="s">
        <v>1288</v>
      </c>
      <c r="D475" s="4" t="s">
        <v>1289</v>
      </c>
      <c r="E475" s="4" t="s">
        <v>1290</v>
      </c>
      <c r="F475" s="5">
        <v>6.3E-3</v>
      </c>
      <c r="G475" s="5">
        <v>0.18110000000000001</v>
      </c>
    </row>
    <row r="476" spans="1:7" x14ac:dyDescent="0.25">
      <c r="A476" s="1">
        <v>45559</v>
      </c>
      <c r="B476" s="4" t="s">
        <v>248</v>
      </c>
      <c r="C476" s="4" t="s">
        <v>1290</v>
      </c>
      <c r="D476" s="4" t="s">
        <v>1291</v>
      </c>
      <c r="E476" s="4" t="s">
        <v>1292</v>
      </c>
      <c r="F476" s="5">
        <v>-5.3E-3</v>
      </c>
      <c r="G476" s="5">
        <v>0.17369999999999999</v>
      </c>
    </row>
    <row r="477" spans="1:7" x14ac:dyDescent="0.25">
      <c r="A477" s="1">
        <v>45558</v>
      </c>
      <c r="B477" s="4" t="s">
        <v>248</v>
      </c>
      <c r="C477" s="4" t="s">
        <v>1293</v>
      </c>
      <c r="D477" s="4" t="s">
        <v>1294</v>
      </c>
      <c r="E477" s="4" t="s">
        <v>1295</v>
      </c>
      <c r="F477" s="5">
        <v>1.6000000000000001E-3</v>
      </c>
      <c r="G477" s="5">
        <v>0.18</v>
      </c>
    </row>
    <row r="478" spans="1:7" x14ac:dyDescent="0.25">
      <c r="A478" s="1">
        <v>45555</v>
      </c>
      <c r="B478" s="4" t="s">
        <v>248</v>
      </c>
      <c r="C478" s="4" t="s">
        <v>1296</v>
      </c>
      <c r="D478" s="4" t="s">
        <v>1297</v>
      </c>
      <c r="E478" s="4" t="s">
        <v>1298</v>
      </c>
      <c r="F478" s="5">
        <v>4.4000000000000003E-3</v>
      </c>
      <c r="G478" s="5">
        <v>0.17810000000000001</v>
      </c>
    </row>
    <row r="479" spans="1:7" x14ac:dyDescent="0.25">
      <c r="A479" s="1">
        <v>45554</v>
      </c>
      <c r="B479" s="4" t="s">
        <v>248</v>
      </c>
      <c r="C479" s="4" t="s">
        <v>1298</v>
      </c>
      <c r="D479" s="4" t="s">
        <v>1299</v>
      </c>
      <c r="E479" s="4" t="s">
        <v>1300</v>
      </c>
      <c r="F479" s="5">
        <v>6.7999999999999996E-3</v>
      </c>
      <c r="G479" s="5">
        <v>0.1729</v>
      </c>
    </row>
    <row r="480" spans="1:7" x14ac:dyDescent="0.25">
      <c r="A480" s="1">
        <v>45553</v>
      </c>
      <c r="B480" s="4" t="s">
        <v>248</v>
      </c>
      <c r="C480" s="4" t="s">
        <v>1301</v>
      </c>
      <c r="D480" s="4" t="s">
        <v>1302</v>
      </c>
      <c r="E480" s="4" t="s">
        <v>1303</v>
      </c>
      <c r="F480" s="5">
        <v>6.4000000000000003E-3</v>
      </c>
      <c r="G480" s="5">
        <v>0.16500000000000001</v>
      </c>
    </row>
    <row r="481" spans="1:7" x14ac:dyDescent="0.25">
      <c r="A481" s="1">
        <v>45548</v>
      </c>
      <c r="B481" s="4" t="s">
        <v>248</v>
      </c>
      <c r="C481" s="4" t="s">
        <v>1304</v>
      </c>
      <c r="D481" s="4" t="s">
        <v>1305</v>
      </c>
      <c r="E481" s="4" t="s">
        <v>1306</v>
      </c>
      <c r="F481" s="5">
        <v>8.2000000000000007E-3</v>
      </c>
      <c r="G481" s="5">
        <v>0.15759999999999999</v>
      </c>
    </row>
    <row r="482" spans="1:7" x14ac:dyDescent="0.25">
      <c r="A482" s="1">
        <v>45547</v>
      </c>
      <c r="B482" s="4" t="s">
        <v>248</v>
      </c>
      <c r="C482" s="4" t="s">
        <v>1307</v>
      </c>
      <c r="D482" s="4" t="s">
        <v>1308</v>
      </c>
      <c r="E482" s="4" t="s">
        <v>1309</v>
      </c>
      <c r="F482" s="5">
        <v>-3.0000000000000001E-3</v>
      </c>
      <c r="G482" s="5">
        <v>0.1482</v>
      </c>
    </row>
    <row r="483" spans="1:7" x14ac:dyDescent="0.25">
      <c r="A483" s="1">
        <v>45546</v>
      </c>
      <c r="B483" s="4" t="s">
        <v>248</v>
      </c>
      <c r="C483" s="4" t="s">
        <v>1310</v>
      </c>
      <c r="D483" s="4" t="s">
        <v>1311</v>
      </c>
      <c r="E483" s="4" t="s">
        <v>1312</v>
      </c>
      <c r="F483" s="5">
        <v>-1.6999999999999999E-3</v>
      </c>
      <c r="G483" s="5">
        <v>0.15160000000000001</v>
      </c>
    </row>
    <row r="484" spans="1:7" x14ac:dyDescent="0.25">
      <c r="A484" s="1">
        <v>45545</v>
      </c>
      <c r="B484" s="4" t="s">
        <v>248</v>
      </c>
      <c r="C484" s="4" t="s">
        <v>1313</v>
      </c>
      <c r="D484" s="4" t="s">
        <v>1314</v>
      </c>
      <c r="E484" s="4" t="s">
        <v>1313</v>
      </c>
      <c r="F484" s="5">
        <v>-2.3E-3</v>
      </c>
      <c r="G484" s="5">
        <v>0.15359999999999999</v>
      </c>
    </row>
    <row r="485" spans="1:7" x14ac:dyDescent="0.25">
      <c r="A485" s="1">
        <v>45544</v>
      </c>
      <c r="B485" s="4" t="s">
        <v>248</v>
      </c>
      <c r="C485" s="4" t="s">
        <v>1315</v>
      </c>
      <c r="D485" s="4" t="s">
        <v>1316</v>
      </c>
      <c r="E485" s="4" t="s">
        <v>1317</v>
      </c>
      <c r="F485" s="5">
        <v>5.1000000000000004E-3</v>
      </c>
      <c r="G485" s="5">
        <v>0.15620000000000001</v>
      </c>
    </row>
    <row r="486" spans="1:7" x14ac:dyDescent="0.25">
      <c r="A486" s="1">
        <v>45541</v>
      </c>
      <c r="B486" s="4" t="s">
        <v>248</v>
      </c>
      <c r="C486" s="4" t="s">
        <v>1318</v>
      </c>
      <c r="D486" s="4" t="s">
        <v>1319</v>
      </c>
      <c r="E486" s="4" t="s">
        <v>1320</v>
      </c>
      <c r="F486" s="5">
        <v>4.0000000000000002E-4</v>
      </c>
      <c r="G486" s="5">
        <v>0.15040000000000001</v>
      </c>
    </row>
    <row r="487" spans="1:7" x14ac:dyDescent="0.25">
      <c r="A487" s="1">
        <v>45540</v>
      </c>
      <c r="B487" s="4" t="s">
        <v>248</v>
      </c>
      <c r="C487" s="4" t="s">
        <v>1321</v>
      </c>
      <c r="D487" s="4" t="s">
        <v>1322</v>
      </c>
      <c r="E487" s="4" t="s">
        <v>1323</v>
      </c>
      <c r="F487" s="5">
        <v>4.1999999999999997E-3</v>
      </c>
      <c r="G487" s="5">
        <v>0.15</v>
      </c>
    </row>
    <row r="488" spans="1:7" x14ac:dyDescent="0.25">
      <c r="A488" s="1">
        <v>45539</v>
      </c>
      <c r="B488" s="4" t="s">
        <v>248</v>
      </c>
      <c r="C488" s="4" t="s">
        <v>1323</v>
      </c>
      <c r="D488" s="4" t="s">
        <v>1324</v>
      </c>
      <c r="E488" s="4" t="s">
        <v>1325</v>
      </c>
      <c r="F488" s="5">
        <v>-3.3999999999999998E-3</v>
      </c>
      <c r="G488" s="5">
        <v>0.14510000000000001</v>
      </c>
    </row>
    <row r="489" spans="1:7" x14ac:dyDescent="0.25">
      <c r="A489" s="1">
        <v>45538</v>
      </c>
      <c r="B489" s="4" t="s">
        <v>248</v>
      </c>
      <c r="C489" s="4" t="s">
        <v>1326</v>
      </c>
      <c r="D489" s="4" t="s">
        <v>1327</v>
      </c>
      <c r="E489" s="4" t="s">
        <v>1328</v>
      </c>
      <c r="F489" s="5">
        <v>-5.1999999999999998E-3</v>
      </c>
      <c r="G489" s="5">
        <v>0.14910000000000001</v>
      </c>
    </row>
    <row r="490" spans="1:7" x14ac:dyDescent="0.25">
      <c r="A490" s="1">
        <v>45537</v>
      </c>
      <c r="B490" s="4" t="s">
        <v>248</v>
      </c>
      <c r="C490" s="4" t="s">
        <v>1329</v>
      </c>
      <c r="D490" s="4" t="s">
        <v>1330</v>
      </c>
      <c r="E490" s="4" t="s">
        <v>1331</v>
      </c>
      <c r="F490" s="5">
        <v>2.5000000000000001E-3</v>
      </c>
      <c r="G490" s="5">
        <v>0.15509999999999999</v>
      </c>
    </row>
    <row r="491" spans="1:7" x14ac:dyDescent="0.25">
      <c r="A491" s="1">
        <v>45534</v>
      </c>
      <c r="B491" s="4" t="s">
        <v>248</v>
      </c>
      <c r="C491" s="4" t="s">
        <v>1332</v>
      </c>
      <c r="D491" s="4" t="s">
        <v>1333</v>
      </c>
      <c r="E491" s="4" t="s">
        <v>1334</v>
      </c>
      <c r="F491" s="5">
        <v>-1E-4</v>
      </c>
      <c r="G491" s="5">
        <v>0.1522</v>
      </c>
    </row>
    <row r="492" spans="1:7" x14ac:dyDescent="0.25">
      <c r="A492" s="1">
        <v>45533</v>
      </c>
      <c r="B492" s="4" t="s">
        <v>248</v>
      </c>
      <c r="C492" s="4" t="s">
        <v>1335</v>
      </c>
      <c r="D492" s="4" t="s">
        <v>1336</v>
      </c>
      <c r="E492" s="4" t="s">
        <v>1337</v>
      </c>
      <c r="F492" s="5">
        <v>1.9E-3</v>
      </c>
      <c r="G492" s="5">
        <v>0.15229999999999999</v>
      </c>
    </row>
    <row r="493" spans="1:7" x14ac:dyDescent="0.25">
      <c r="A493" s="1">
        <v>45532</v>
      </c>
      <c r="B493" s="4" t="s">
        <v>248</v>
      </c>
      <c r="C493" s="4" t="s">
        <v>1338</v>
      </c>
      <c r="D493" s="4" t="s">
        <v>1339</v>
      </c>
      <c r="E493" s="4" t="s">
        <v>1340</v>
      </c>
      <c r="F493" s="5">
        <v>2.2000000000000001E-3</v>
      </c>
      <c r="G493" s="5">
        <v>0.15010000000000001</v>
      </c>
    </row>
    <row r="494" spans="1:7" x14ac:dyDescent="0.25">
      <c r="A494" s="1">
        <v>45531</v>
      </c>
      <c r="B494" s="4" t="s">
        <v>248</v>
      </c>
      <c r="C494" s="4" t="s">
        <v>1341</v>
      </c>
      <c r="D494" s="4" t="s">
        <v>1342</v>
      </c>
      <c r="E494" s="4" t="s">
        <v>1343</v>
      </c>
      <c r="F494" s="5">
        <v>-3.8E-3</v>
      </c>
      <c r="G494" s="5">
        <v>0.1477</v>
      </c>
    </row>
    <row r="495" spans="1:7" x14ac:dyDescent="0.25">
      <c r="A495" s="1">
        <v>45530</v>
      </c>
      <c r="B495" s="4" t="s">
        <v>248</v>
      </c>
      <c r="C495" s="4" t="s">
        <v>1344</v>
      </c>
      <c r="D495" s="4" t="s">
        <v>1345</v>
      </c>
      <c r="E495" s="4" t="s">
        <v>1346</v>
      </c>
      <c r="F495" s="5">
        <v>-1.6999999999999999E-3</v>
      </c>
      <c r="G495" s="5">
        <v>0.152</v>
      </c>
    </row>
    <row r="496" spans="1:7" x14ac:dyDescent="0.25">
      <c r="A496" s="1">
        <v>45527</v>
      </c>
      <c r="B496" s="4" t="s">
        <v>248</v>
      </c>
      <c r="C496" s="4" t="s">
        <v>1347</v>
      </c>
      <c r="D496" s="4" t="s">
        <v>1348</v>
      </c>
      <c r="E496" s="4" t="s">
        <v>1349</v>
      </c>
      <c r="F496" s="5">
        <v>1.9E-3</v>
      </c>
      <c r="G496" s="5">
        <v>0.15390000000000001</v>
      </c>
    </row>
    <row r="497" spans="1:7" x14ac:dyDescent="0.25">
      <c r="A497" s="1">
        <v>45526</v>
      </c>
      <c r="B497" s="4" t="s">
        <v>248</v>
      </c>
      <c r="C497" s="4" t="s">
        <v>1350</v>
      </c>
      <c r="D497" s="4" t="s">
        <v>1351</v>
      </c>
      <c r="E497" s="4" t="s">
        <v>1352</v>
      </c>
      <c r="F497" s="5">
        <v>1E-3</v>
      </c>
      <c r="G497" s="5">
        <v>0.15179999999999999</v>
      </c>
    </row>
    <row r="498" spans="1:7" x14ac:dyDescent="0.25">
      <c r="A498" s="1">
        <v>45523</v>
      </c>
      <c r="B498" s="4" t="s">
        <v>248</v>
      </c>
      <c r="C498" s="4" t="s">
        <v>1353</v>
      </c>
      <c r="D498" s="4" t="s">
        <v>1354</v>
      </c>
      <c r="E498" s="4" t="s">
        <v>1355</v>
      </c>
      <c r="F498" s="5">
        <v>1.4E-3</v>
      </c>
      <c r="G498" s="5">
        <v>0.15060000000000001</v>
      </c>
    </row>
    <row r="499" spans="1:7" x14ac:dyDescent="0.25">
      <c r="A499" s="1">
        <v>45520</v>
      </c>
      <c r="B499" s="4" t="s">
        <v>248</v>
      </c>
      <c r="C499" s="4" t="s">
        <v>1356</v>
      </c>
      <c r="D499" s="4" t="s">
        <v>1357</v>
      </c>
      <c r="E499" s="4" t="s">
        <v>1358</v>
      </c>
      <c r="F499" s="5">
        <v>1.6000000000000001E-3</v>
      </c>
      <c r="G499" s="5">
        <v>0.14910000000000001</v>
      </c>
    </row>
    <row r="500" spans="1:7" x14ac:dyDescent="0.25">
      <c r="A500" s="1">
        <v>45519</v>
      </c>
      <c r="B500" s="4" t="s">
        <v>248</v>
      </c>
      <c r="C500" s="4" t="s">
        <v>1359</v>
      </c>
      <c r="D500" s="4" t="s">
        <v>1360</v>
      </c>
      <c r="E500" s="4" t="s">
        <v>1361</v>
      </c>
      <c r="F500" s="5">
        <v>3.8E-3</v>
      </c>
      <c r="G500" s="5">
        <v>0.1472</v>
      </c>
    </row>
    <row r="501" spans="1:7" x14ac:dyDescent="0.25">
      <c r="A501" s="1">
        <v>45517</v>
      </c>
      <c r="B501" s="4" t="s">
        <v>248</v>
      </c>
      <c r="C501" s="4" t="s">
        <v>1362</v>
      </c>
      <c r="D501" s="4" t="s">
        <v>1363</v>
      </c>
      <c r="E501" s="4" t="s">
        <v>1364</v>
      </c>
      <c r="F501" s="5">
        <v>2.7000000000000001E-3</v>
      </c>
      <c r="G501" s="5">
        <v>0.14280000000000001</v>
      </c>
    </row>
    <row r="502" spans="1:7" x14ac:dyDescent="0.25">
      <c r="A502" s="1">
        <v>45516</v>
      </c>
      <c r="B502" s="4" t="s">
        <v>248</v>
      </c>
      <c r="C502" s="4" t="s">
        <v>1365</v>
      </c>
      <c r="D502" s="4" t="s">
        <v>1366</v>
      </c>
      <c r="E502" s="4" t="s">
        <v>1367</v>
      </c>
      <c r="F502" s="5">
        <v>-8.0000000000000004E-4</v>
      </c>
      <c r="G502" s="5">
        <v>0.13969999999999999</v>
      </c>
    </row>
    <row r="503" spans="1:7" x14ac:dyDescent="0.25">
      <c r="A503" s="1">
        <v>45513</v>
      </c>
      <c r="B503" s="4" t="s">
        <v>248</v>
      </c>
      <c r="C503" s="4" t="s">
        <v>1368</v>
      </c>
      <c r="D503" s="4" t="s">
        <v>1369</v>
      </c>
      <c r="E503" s="4" t="s">
        <v>1370</v>
      </c>
      <c r="F503" s="5">
        <v>-4.0000000000000002E-4</v>
      </c>
      <c r="G503" s="5">
        <v>0.1406</v>
      </c>
    </row>
    <row r="504" spans="1:7" x14ac:dyDescent="0.25">
      <c r="A504" s="1">
        <v>45512</v>
      </c>
      <c r="B504" s="4" t="s">
        <v>248</v>
      </c>
      <c r="C504" s="4" t="s">
        <v>1371</v>
      </c>
      <c r="D504" s="4" t="s">
        <v>1372</v>
      </c>
      <c r="E504" s="4" t="s">
        <v>1373</v>
      </c>
      <c r="F504" s="5">
        <v>1.1999999999999999E-3</v>
      </c>
      <c r="G504" s="5">
        <v>0.14099999999999999</v>
      </c>
    </row>
    <row r="505" spans="1:7" x14ac:dyDescent="0.25">
      <c r="A505" s="1">
        <v>45511</v>
      </c>
      <c r="B505" s="4" t="s">
        <v>248</v>
      </c>
      <c r="C505" s="4" t="s">
        <v>1374</v>
      </c>
      <c r="D505" s="4" t="s">
        <v>1375</v>
      </c>
      <c r="E505" s="4" t="s">
        <v>1376</v>
      </c>
      <c r="F505" s="5">
        <v>-1.8E-3</v>
      </c>
      <c r="G505" s="5">
        <v>0.1396</v>
      </c>
    </row>
    <row r="506" spans="1:7" x14ac:dyDescent="0.25">
      <c r="A506" s="1">
        <v>45510</v>
      </c>
      <c r="B506" s="4" t="s">
        <v>248</v>
      </c>
      <c r="C506" s="4" t="s">
        <v>1377</v>
      </c>
      <c r="D506" s="4" t="s">
        <v>1378</v>
      </c>
      <c r="E506" s="4" t="s">
        <v>1379</v>
      </c>
      <c r="F506" s="5">
        <v>1.49E-2</v>
      </c>
      <c r="G506" s="5">
        <v>0.1416</v>
      </c>
    </row>
    <row r="507" spans="1:7" x14ac:dyDescent="0.25">
      <c r="A507" s="1">
        <v>45509</v>
      </c>
      <c r="B507" s="4" t="s">
        <v>248</v>
      </c>
      <c r="C507" s="4" t="s">
        <v>1380</v>
      </c>
      <c r="D507" s="4" t="s">
        <v>1381</v>
      </c>
      <c r="E507" s="4" t="s">
        <v>1382</v>
      </c>
      <c r="F507" s="5">
        <v>-2.8500000000000001E-2</v>
      </c>
      <c r="G507" s="5">
        <v>0.12479999999999999</v>
      </c>
    </row>
    <row r="508" spans="1:7" x14ac:dyDescent="0.25">
      <c r="A508" s="1">
        <v>45506</v>
      </c>
      <c r="B508" s="4" t="s">
        <v>248</v>
      </c>
      <c r="C508" s="4" t="s">
        <v>1383</v>
      </c>
      <c r="D508" s="4" t="s">
        <v>1384</v>
      </c>
      <c r="E508" s="4" t="s">
        <v>1385</v>
      </c>
      <c r="F508" s="5">
        <v>1.6999999999999999E-3</v>
      </c>
      <c r="G508" s="5">
        <v>0.1578</v>
      </c>
    </row>
    <row r="509" spans="1:7" x14ac:dyDescent="0.25">
      <c r="A509" s="1">
        <v>45505</v>
      </c>
      <c r="B509" s="4" t="s">
        <v>248</v>
      </c>
      <c r="C509" s="4" t="s">
        <v>1386</v>
      </c>
      <c r="D509" s="4" t="s">
        <v>1387</v>
      </c>
      <c r="E509" s="4" t="s">
        <v>1388</v>
      </c>
      <c r="F509" s="5">
        <v>-5.0000000000000001E-4</v>
      </c>
      <c r="G509" s="5">
        <v>0.15590000000000001</v>
      </c>
    </row>
    <row r="510" spans="1:7" x14ac:dyDescent="0.25">
      <c r="A510" s="1">
        <v>45504</v>
      </c>
      <c r="B510" s="4" t="s">
        <v>248</v>
      </c>
      <c r="C510" s="4" t="s">
        <v>1389</v>
      </c>
      <c r="D510" s="4" t="s">
        <v>1390</v>
      </c>
      <c r="E510" s="4" t="s">
        <v>1391</v>
      </c>
      <c r="F510" s="5">
        <v>5.7000000000000002E-3</v>
      </c>
      <c r="G510" s="5">
        <v>0.15640000000000001</v>
      </c>
    </row>
    <row r="511" spans="1:7" x14ac:dyDescent="0.25">
      <c r="A511" s="1">
        <v>45502</v>
      </c>
      <c r="B511" s="4" t="s">
        <v>248</v>
      </c>
      <c r="C511" s="4" t="s">
        <v>1392</v>
      </c>
      <c r="D511" s="4" t="s">
        <v>1393</v>
      </c>
      <c r="E511" s="4" t="s">
        <v>1394</v>
      </c>
      <c r="F511" s="5">
        <v>9.5999999999999992E-3</v>
      </c>
      <c r="G511" s="5">
        <v>0.14990000000000001</v>
      </c>
    </row>
    <row r="512" spans="1:7" x14ac:dyDescent="0.25">
      <c r="A512" s="1">
        <v>45499</v>
      </c>
      <c r="B512" s="4" t="s">
        <v>248</v>
      </c>
      <c r="C512" s="4" t="s">
        <v>1394</v>
      </c>
      <c r="D512" s="4" t="s">
        <v>1395</v>
      </c>
      <c r="E512" s="4" t="s">
        <v>1396</v>
      </c>
      <c r="F512" s="5">
        <v>8.2000000000000007E-3</v>
      </c>
      <c r="G512" s="5">
        <v>0.1389</v>
      </c>
    </row>
    <row r="513" spans="1:7" x14ac:dyDescent="0.25">
      <c r="A513" s="1">
        <v>45498</v>
      </c>
      <c r="B513" s="4" t="s">
        <v>248</v>
      </c>
      <c r="C513" s="4" t="s">
        <v>1396</v>
      </c>
      <c r="D513" s="4" t="s">
        <v>1397</v>
      </c>
      <c r="E513" s="4" t="s">
        <v>1398</v>
      </c>
      <c r="F513" s="5">
        <v>1.4E-3</v>
      </c>
      <c r="G513" s="5">
        <v>0.12959999999999999</v>
      </c>
    </row>
    <row r="514" spans="1:7" x14ac:dyDescent="0.25">
      <c r="A514" s="1">
        <v>45497</v>
      </c>
      <c r="B514" s="4" t="s">
        <v>248</v>
      </c>
      <c r="C514" s="4" t="s">
        <v>1399</v>
      </c>
      <c r="D514" s="4" t="s">
        <v>1400</v>
      </c>
      <c r="E514" s="4" t="s">
        <v>1401</v>
      </c>
      <c r="F514" s="5">
        <v>2.8E-3</v>
      </c>
      <c r="G514" s="5">
        <v>0.128</v>
      </c>
    </row>
    <row r="515" spans="1:7" x14ac:dyDescent="0.25">
      <c r="A515" s="1">
        <v>45496</v>
      </c>
      <c r="B515" s="4" t="s">
        <v>248</v>
      </c>
      <c r="C515" s="4" t="s">
        <v>1402</v>
      </c>
      <c r="D515" s="4" t="s">
        <v>1403</v>
      </c>
      <c r="E515" s="4" t="s">
        <v>1404</v>
      </c>
      <c r="F515" s="5">
        <v>-5.0000000000000001E-4</v>
      </c>
      <c r="G515" s="5">
        <v>0.1249</v>
      </c>
    </row>
    <row r="516" spans="1:7" x14ac:dyDescent="0.25">
      <c r="A516" s="1">
        <v>45495</v>
      </c>
      <c r="B516" s="4" t="s">
        <v>248</v>
      </c>
      <c r="C516" s="4" t="s">
        <v>1405</v>
      </c>
      <c r="D516" s="4" t="s">
        <v>1406</v>
      </c>
      <c r="E516" s="4" t="s">
        <v>1407</v>
      </c>
      <c r="F516" s="5">
        <v>-1E-3</v>
      </c>
      <c r="G516" s="5">
        <v>0.12540000000000001</v>
      </c>
    </row>
    <row r="517" spans="1:7" x14ac:dyDescent="0.25">
      <c r="A517" s="1">
        <v>45492</v>
      </c>
      <c r="B517" s="4" t="s">
        <v>248</v>
      </c>
      <c r="C517" s="4" t="s">
        <v>1408</v>
      </c>
      <c r="D517" s="4" t="s">
        <v>1409</v>
      </c>
      <c r="E517" s="4" t="s">
        <v>1410</v>
      </c>
      <c r="F517" s="5">
        <v>2E-3</v>
      </c>
      <c r="G517" s="5">
        <v>0.1265</v>
      </c>
    </row>
    <row r="518" spans="1:7" x14ac:dyDescent="0.25">
      <c r="A518" s="1">
        <v>45491</v>
      </c>
      <c r="B518" s="4" t="s">
        <v>248</v>
      </c>
      <c r="C518" s="4" t="s">
        <v>1411</v>
      </c>
      <c r="D518" s="4" t="s">
        <v>1412</v>
      </c>
      <c r="E518" s="4" t="s">
        <v>1413</v>
      </c>
      <c r="F518" s="5">
        <v>8.0000000000000004E-4</v>
      </c>
      <c r="G518" s="5">
        <v>0.12429999999999999</v>
      </c>
    </row>
    <row r="519" spans="1:7" x14ac:dyDescent="0.25">
      <c r="A519" s="1">
        <v>45490</v>
      </c>
      <c r="B519" s="4" t="s">
        <v>248</v>
      </c>
      <c r="C519" s="4" t="s">
        <v>1414</v>
      </c>
      <c r="D519" s="4" t="s">
        <v>1415</v>
      </c>
      <c r="E519" s="4" t="s">
        <v>1416</v>
      </c>
      <c r="F519" s="5">
        <v>9.5999999999999992E-3</v>
      </c>
      <c r="G519" s="5">
        <v>0.1234</v>
      </c>
    </row>
    <row r="520" spans="1:7" x14ac:dyDescent="0.25">
      <c r="A520" s="1">
        <v>45489</v>
      </c>
      <c r="B520" s="4" t="s">
        <v>248</v>
      </c>
      <c r="C520" s="4" t="s">
        <v>1417</v>
      </c>
      <c r="D520" s="4" t="s">
        <v>1418</v>
      </c>
      <c r="E520" s="4" t="s">
        <v>1419</v>
      </c>
      <c r="F520" s="5">
        <v>1.6999999999999999E-3</v>
      </c>
      <c r="G520" s="5">
        <v>0.11269999999999999</v>
      </c>
    </row>
    <row r="521" spans="1:7" x14ac:dyDescent="0.25">
      <c r="A521" s="1">
        <v>45488</v>
      </c>
      <c r="B521" s="4" t="s">
        <v>248</v>
      </c>
      <c r="C521" s="4" t="s">
        <v>1420</v>
      </c>
      <c r="D521" s="4" t="s">
        <v>1421</v>
      </c>
      <c r="E521" s="4" t="s">
        <v>1422</v>
      </c>
      <c r="F521" s="5">
        <v>-6.1000000000000004E-3</v>
      </c>
      <c r="G521" s="5">
        <v>0.1109</v>
      </c>
    </row>
    <row r="522" spans="1:7" x14ac:dyDescent="0.25">
      <c r="A522" s="1">
        <v>45485</v>
      </c>
      <c r="B522" s="4" t="s">
        <v>248</v>
      </c>
      <c r="C522" s="4" t="s">
        <v>1423</v>
      </c>
      <c r="D522" s="4" t="s">
        <v>1423</v>
      </c>
      <c r="E522" s="4" t="s">
        <v>1424</v>
      </c>
      <c r="F522" s="5">
        <v>6.1999999999999998E-3</v>
      </c>
      <c r="G522" s="5">
        <v>0.1178</v>
      </c>
    </row>
    <row r="523" spans="1:7" x14ac:dyDescent="0.25">
      <c r="A523" s="1">
        <v>45484</v>
      </c>
      <c r="B523" s="4" t="s">
        <v>248</v>
      </c>
      <c r="C523" s="4" t="s">
        <v>1425</v>
      </c>
      <c r="D523" s="4" t="s">
        <v>1425</v>
      </c>
      <c r="E523" s="4" t="s">
        <v>1426</v>
      </c>
      <c r="F523" s="5">
        <v>5.4999999999999997E-3</v>
      </c>
      <c r="G523" s="5">
        <v>0.1109</v>
      </c>
    </row>
    <row r="524" spans="1:7" x14ac:dyDescent="0.25">
      <c r="A524" s="1">
        <v>45483</v>
      </c>
      <c r="B524" s="4" t="s">
        <v>248</v>
      </c>
      <c r="C524" s="4" t="s">
        <v>1427</v>
      </c>
      <c r="D524" s="4" t="s">
        <v>1428</v>
      </c>
      <c r="E524" s="4" t="s">
        <v>1429</v>
      </c>
      <c r="F524" s="5">
        <v>8.9999999999999998E-4</v>
      </c>
      <c r="G524" s="5">
        <v>0.1048</v>
      </c>
    </row>
    <row r="525" spans="1:7" x14ac:dyDescent="0.25">
      <c r="A525" s="1">
        <v>45482</v>
      </c>
      <c r="B525" s="4" t="s">
        <v>248</v>
      </c>
      <c r="C525" s="4" t="s">
        <v>1430</v>
      </c>
      <c r="D525" s="4" t="s">
        <v>1431</v>
      </c>
      <c r="E525" s="4" t="s">
        <v>1432</v>
      </c>
      <c r="F525" s="5">
        <v>-6.9999999999999999E-4</v>
      </c>
      <c r="G525" s="5">
        <v>0.1038</v>
      </c>
    </row>
    <row r="526" spans="1:7" x14ac:dyDescent="0.25">
      <c r="A526" s="1">
        <v>45481</v>
      </c>
      <c r="B526" s="4" t="s">
        <v>248</v>
      </c>
      <c r="C526" s="4" t="s">
        <v>1433</v>
      </c>
      <c r="D526" s="4" t="s">
        <v>1434</v>
      </c>
      <c r="E526" s="4" t="s">
        <v>1435</v>
      </c>
      <c r="F526" s="5">
        <v>-6.9999999999999999E-4</v>
      </c>
      <c r="G526" s="5">
        <v>0.1046</v>
      </c>
    </row>
    <row r="527" spans="1:7" x14ac:dyDescent="0.25">
      <c r="A527" s="1">
        <v>45478</v>
      </c>
      <c r="B527" s="4" t="s">
        <v>248</v>
      </c>
      <c r="C527" s="4" t="s">
        <v>1434</v>
      </c>
      <c r="D527" s="4" t="s">
        <v>1436</v>
      </c>
      <c r="E527" s="4" t="s">
        <v>1437</v>
      </c>
      <c r="F527" s="5">
        <v>5.4000000000000003E-3</v>
      </c>
      <c r="G527" s="5">
        <v>0.10539999999999999</v>
      </c>
    </row>
    <row r="528" spans="1:7" x14ac:dyDescent="0.25">
      <c r="A528" s="1">
        <v>45477</v>
      </c>
      <c r="B528" s="4" t="s">
        <v>248</v>
      </c>
      <c r="C528" s="4" t="s">
        <v>1438</v>
      </c>
      <c r="D528" s="4" t="s">
        <v>1439</v>
      </c>
      <c r="E528" s="4" t="s">
        <v>1440</v>
      </c>
      <c r="F528" s="5">
        <v>6.6E-3</v>
      </c>
      <c r="G528" s="5">
        <v>9.9500000000000005E-2</v>
      </c>
    </row>
    <row r="529" spans="1:7" x14ac:dyDescent="0.25">
      <c r="A529" s="1">
        <v>45476</v>
      </c>
      <c r="B529" s="4" t="s">
        <v>248</v>
      </c>
      <c r="C529" s="4" t="s">
        <v>1441</v>
      </c>
      <c r="D529" s="4" t="s">
        <v>1442</v>
      </c>
      <c r="E529" s="4" t="s">
        <v>1443</v>
      </c>
      <c r="F529" s="5">
        <v>-2.7000000000000001E-3</v>
      </c>
      <c r="G529" s="5">
        <v>9.2299999999999993E-2</v>
      </c>
    </row>
    <row r="530" spans="1:7" x14ac:dyDescent="0.25">
      <c r="A530" s="1">
        <v>45475</v>
      </c>
      <c r="B530" s="4" t="s">
        <v>248</v>
      </c>
      <c r="C530" s="4" t="s">
        <v>1444</v>
      </c>
      <c r="D530" s="4" t="s">
        <v>1445</v>
      </c>
      <c r="E530" s="4" t="s">
        <v>1446</v>
      </c>
      <c r="F530" s="5">
        <v>-4.4000000000000003E-3</v>
      </c>
      <c r="G530" s="5">
        <v>9.5299999999999996E-2</v>
      </c>
    </row>
    <row r="531" spans="1:7" x14ac:dyDescent="0.25">
      <c r="A531" s="1">
        <v>45474</v>
      </c>
      <c r="B531" s="4" t="s">
        <v>248</v>
      </c>
      <c r="C531" s="4" t="s">
        <v>1447</v>
      </c>
      <c r="D531" s="4" t="s">
        <v>1448</v>
      </c>
      <c r="E531" s="4" t="s">
        <v>1449</v>
      </c>
      <c r="F531" s="5">
        <v>2.0000000000000001E-4</v>
      </c>
      <c r="G531" s="5">
        <v>0.10009999999999999</v>
      </c>
    </row>
    <row r="532" spans="1:7" x14ac:dyDescent="0.25">
      <c r="A532" s="1">
        <v>45471</v>
      </c>
      <c r="B532" s="4" t="s">
        <v>248</v>
      </c>
      <c r="C532" s="4" t="s">
        <v>1450</v>
      </c>
      <c r="D532" s="4" t="s">
        <v>1451</v>
      </c>
      <c r="E532" s="4" t="s">
        <v>1452</v>
      </c>
      <c r="F532" s="5">
        <v>-1.2999999999999999E-3</v>
      </c>
      <c r="G532" s="5">
        <v>9.9900000000000003E-2</v>
      </c>
    </row>
    <row r="533" spans="1:7" x14ac:dyDescent="0.25">
      <c r="A533" s="1">
        <v>45470</v>
      </c>
      <c r="B533" s="4" t="s">
        <v>248</v>
      </c>
      <c r="C533" s="4" t="s">
        <v>1453</v>
      </c>
      <c r="D533" s="4" t="s">
        <v>1454</v>
      </c>
      <c r="E533" s="4" t="s">
        <v>1455</v>
      </c>
      <c r="F533" s="5">
        <v>-2.8E-3</v>
      </c>
      <c r="G533" s="5">
        <v>0.1013</v>
      </c>
    </row>
    <row r="534" spans="1:7" x14ac:dyDescent="0.25">
      <c r="A534" s="1">
        <v>45469</v>
      </c>
      <c r="B534" s="4" t="s">
        <v>248</v>
      </c>
      <c r="C534" s="4" t="s">
        <v>1456</v>
      </c>
      <c r="D534" s="4" t="s">
        <v>1457</v>
      </c>
      <c r="E534" s="4" t="s">
        <v>1458</v>
      </c>
      <c r="F534" s="5">
        <v>-4.0000000000000001E-3</v>
      </c>
      <c r="G534" s="5">
        <v>0.1045</v>
      </c>
    </row>
    <row r="535" spans="1:7" x14ac:dyDescent="0.25">
      <c r="A535" s="1">
        <v>45468</v>
      </c>
      <c r="B535" s="4" t="s">
        <v>248</v>
      </c>
      <c r="C535" s="4" t="s">
        <v>1459</v>
      </c>
      <c r="D535" s="4" t="s">
        <v>1460</v>
      </c>
      <c r="E535" s="4" t="s">
        <v>1461</v>
      </c>
      <c r="F535" s="5">
        <v>2.1700000000000001E-2</v>
      </c>
      <c r="G535" s="5">
        <v>0.1089</v>
      </c>
    </row>
    <row r="536" spans="1:7" x14ac:dyDescent="0.25">
      <c r="A536" s="1">
        <v>45467</v>
      </c>
      <c r="B536" s="4" t="s">
        <v>248</v>
      </c>
      <c r="C536" s="4" t="s">
        <v>1462</v>
      </c>
      <c r="D536" s="4" t="s">
        <v>1463</v>
      </c>
      <c r="E536" s="4" t="s">
        <v>1464</v>
      </c>
      <c r="F536" s="5">
        <v>-1.1999999999999999E-3</v>
      </c>
      <c r="G536" s="5">
        <v>8.5400000000000004E-2</v>
      </c>
    </row>
    <row r="537" spans="1:7" x14ac:dyDescent="0.25">
      <c r="A537" s="1">
        <v>45464</v>
      </c>
      <c r="B537" s="4" t="s">
        <v>248</v>
      </c>
      <c r="C537" s="4" t="s">
        <v>1465</v>
      </c>
      <c r="D537" s="4" t="s">
        <v>1466</v>
      </c>
      <c r="E537" s="4" t="s">
        <v>1467</v>
      </c>
      <c r="F537" s="5">
        <v>2.0000000000000001E-4</v>
      </c>
      <c r="G537" s="5">
        <v>8.6699999999999999E-2</v>
      </c>
    </row>
    <row r="538" spans="1:7" x14ac:dyDescent="0.25">
      <c r="A538" s="1">
        <v>45463</v>
      </c>
      <c r="B538" s="4" t="s">
        <v>248</v>
      </c>
      <c r="C538" s="4" t="s">
        <v>1468</v>
      </c>
      <c r="D538" s="4" t="s">
        <v>1469</v>
      </c>
      <c r="E538" s="4" t="s">
        <v>1470</v>
      </c>
      <c r="F538" s="5">
        <v>-3.8999999999999998E-3</v>
      </c>
      <c r="G538" s="5">
        <v>8.6400000000000005E-2</v>
      </c>
    </row>
    <row r="539" spans="1:7" x14ac:dyDescent="0.25">
      <c r="A539" s="1">
        <v>45462</v>
      </c>
      <c r="B539" s="4" t="s">
        <v>248</v>
      </c>
      <c r="C539" s="4" t="s">
        <v>1471</v>
      </c>
      <c r="D539" s="4" t="s">
        <v>1472</v>
      </c>
      <c r="E539" s="4" t="s">
        <v>1473</v>
      </c>
      <c r="F539" s="5">
        <v>2E-3</v>
      </c>
      <c r="G539" s="5">
        <v>9.06E-2</v>
      </c>
    </row>
    <row r="540" spans="1:7" x14ac:dyDescent="0.25">
      <c r="A540" s="1">
        <v>45457</v>
      </c>
      <c r="B540" s="4" t="s">
        <v>248</v>
      </c>
      <c r="C540" s="4" t="s">
        <v>1474</v>
      </c>
      <c r="D540" s="4" t="s">
        <v>1475</v>
      </c>
      <c r="E540" s="4" t="s">
        <v>1476</v>
      </c>
      <c r="F540" s="5">
        <v>-2E-3</v>
      </c>
      <c r="G540" s="5">
        <v>8.8400000000000006E-2</v>
      </c>
    </row>
    <row r="541" spans="1:7" x14ac:dyDescent="0.25">
      <c r="A541" s="1">
        <v>45456</v>
      </c>
      <c r="B541" s="4" t="s">
        <v>248</v>
      </c>
      <c r="C541" s="4" t="s">
        <v>1477</v>
      </c>
      <c r="D541" s="4" t="s">
        <v>1478</v>
      </c>
      <c r="E541" s="4" t="s">
        <v>1479</v>
      </c>
      <c r="F541" s="5">
        <v>2E-3</v>
      </c>
      <c r="G541" s="5">
        <v>9.06E-2</v>
      </c>
    </row>
    <row r="542" spans="1:7" x14ac:dyDescent="0.25">
      <c r="A542" s="1">
        <v>45455</v>
      </c>
      <c r="B542" s="4" t="s">
        <v>248</v>
      </c>
      <c r="C542" s="4" t="s">
        <v>1480</v>
      </c>
      <c r="D542" s="4" t="s">
        <v>1481</v>
      </c>
      <c r="E542" s="4" t="s">
        <v>1482</v>
      </c>
      <c r="F542" s="5">
        <v>-1.8E-3</v>
      </c>
      <c r="G542" s="5">
        <v>8.8499999999999995E-2</v>
      </c>
    </row>
    <row r="543" spans="1:7" x14ac:dyDescent="0.25">
      <c r="A543" s="1">
        <v>45454</v>
      </c>
      <c r="B543" s="4" t="s">
        <v>248</v>
      </c>
      <c r="C543" s="4" t="s">
        <v>1483</v>
      </c>
      <c r="D543" s="4" t="s">
        <v>1484</v>
      </c>
      <c r="E543" s="4" t="s">
        <v>1485</v>
      </c>
      <c r="F543" s="5">
        <v>2.0999999999999999E-3</v>
      </c>
      <c r="G543" s="5">
        <v>9.0399999999999994E-2</v>
      </c>
    </row>
    <row r="544" spans="1:7" x14ac:dyDescent="0.25">
      <c r="A544" s="1">
        <v>45453</v>
      </c>
      <c r="B544" s="4" t="s">
        <v>248</v>
      </c>
      <c r="C544" s="4" t="s">
        <v>1486</v>
      </c>
      <c r="D544" s="4" t="s">
        <v>1487</v>
      </c>
      <c r="E544" s="4" t="s">
        <v>1488</v>
      </c>
      <c r="F544" s="5">
        <v>-2.8999999999999998E-3</v>
      </c>
      <c r="G544" s="5">
        <v>8.8200000000000001E-2</v>
      </c>
    </row>
    <row r="545" spans="1:7" x14ac:dyDescent="0.25">
      <c r="A545" s="1">
        <v>45450</v>
      </c>
      <c r="B545" s="4" t="s">
        <v>248</v>
      </c>
      <c r="C545" s="4" t="s">
        <v>1489</v>
      </c>
      <c r="D545" s="4" t="s">
        <v>1490</v>
      </c>
      <c r="E545" s="4" t="s">
        <v>1491</v>
      </c>
      <c r="F545" s="5">
        <v>-3.5000000000000001E-3</v>
      </c>
      <c r="G545" s="5">
        <v>9.1300000000000006E-2</v>
      </c>
    </row>
    <row r="546" spans="1:7" x14ac:dyDescent="0.25">
      <c r="A546" s="1">
        <v>45449</v>
      </c>
      <c r="B546" s="4" t="s">
        <v>248</v>
      </c>
      <c r="C546" s="4" t="s">
        <v>1492</v>
      </c>
      <c r="D546" s="4" t="s">
        <v>1493</v>
      </c>
      <c r="E546" s="4" t="s">
        <v>1494</v>
      </c>
      <c r="F546" s="5">
        <v>1.46E-2</v>
      </c>
      <c r="G546" s="5">
        <v>9.5200000000000007E-2</v>
      </c>
    </row>
    <row r="547" spans="1:7" x14ac:dyDescent="0.25">
      <c r="A547" s="1">
        <v>45448</v>
      </c>
      <c r="B547" s="4" t="s">
        <v>248</v>
      </c>
      <c r="C547" s="4" t="s">
        <v>1495</v>
      </c>
      <c r="D547" s="4" t="s">
        <v>1496</v>
      </c>
      <c r="E547" s="4" t="s">
        <v>1495</v>
      </c>
      <c r="F547" s="5">
        <v>-1.4E-2</v>
      </c>
      <c r="G547" s="5">
        <v>7.9399999999999998E-2</v>
      </c>
    </row>
    <row r="548" spans="1:7" x14ac:dyDescent="0.25">
      <c r="A548" s="1">
        <v>45447</v>
      </c>
      <c r="B548" s="4" t="s">
        <v>248</v>
      </c>
      <c r="C548" s="4" t="s">
        <v>1497</v>
      </c>
      <c r="D548" s="4" t="s">
        <v>1498</v>
      </c>
      <c r="E548" s="4" t="s">
        <v>1499</v>
      </c>
      <c r="F548" s="5">
        <v>-5.7000000000000002E-3</v>
      </c>
      <c r="G548" s="5">
        <v>9.4799999999999995E-2</v>
      </c>
    </row>
    <row r="549" spans="1:7" x14ac:dyDescent="0.25">
      <c r="A549" s="1">
        <v>45446</v>
      </c>
      <c r="B549" s="4" t="s">
        <v>248</v>
      </c>
      <c r="C549" s="4" t="s">
        <v>1500</v>
      </c>
      <c r="D549" s="4" t="s">
        <v>1501</v>
      </c>
      <c r="E549" s="4" t="s">
        <v>1502</v>
      </c>
      <c r="F549" s="5">
        <v>2.9999999999999997E-4</v>
      </c>
      <c r="G549" s="5">
        <v>0.10100000000000001</v>
      </c>
    </row>
    <row r="550" spans="1:7" x14ac:dyDescent="0.25">
      <c r="A550" s="1">
        <v>45443</v>
      </c>
      <c r="B550" s="4" t="s">
        <v>248</v>
      </c>
      <c r="C550" s="4" t="s">
        <v>1502</v>
      </c>
      <c r="D550" s="4" t="s">
        <v>1503</v>
      </c>
      <c r="E550" s="4" t="s">
        <v>1504</v>
      </c>
      <c r="F550" s="5">
        <v>-2.0000000000000001E-4</v>
      </c>
      <c r="G550" s="5">
        <v>0.1007</v>
      </c>
    </row>
    <row r="551" spans="1:7" x14ac:dyDescent="0.25">
      <c r="A551" s="1">
        <v>45442</v>
      </c>
      <c r="B551" s="4" t="s">
        <v>248</v>
      </c>
      <c r="C551" s="4" t="s">
        <v>1505</v>
      </c>
      <c r="D551" s="4" t="s">
        <v>1506</v>
      </c>
      <c r="E551" s="4" t="s">
        <v>1505</v>
      </c>
      <c r="F551" s="5">
        <v>-2.5000000000000001E-3</v>
      </c>
      <c r="G551" s="5">
        <v>0.1009</v>
      </c>
    </row>
    <row r="552" spans="1:7" x14ac:dyDescent="0.25">
      <c r="A552" s="1">
        <v>45441</v>
      </c>
      <c r="B552" s="4" t="s">
        <v>248</v>
      </c>
      <c r="C552" s="4" t="s">
        <v>1507</v>
      </c>
      <c r="D552" s="4" t="s">
        <v>1508</v>
      </c>
      <c r="E552" s="4" t="s">
        <v>1509</v>
      </c>
      <c r="F552" s="5">
        <v>-2E-3</v>
      </c>
      <c r="G552" s="5">
        <v>0.1038</v>
      </c>
    </row>
    <row r="553" spans="1:7" x14ac:dyDescent="0.25">
      <c r="A553" s="1">
        <v>45440</v>
      </c>
      <c r="B553" s="4" t="s">
        <v>248</v>
      </c>
      <c r="C553" s="4" t="s">
        <v>1510</v>
      </c>
      <c r="D553" s="4" t="s">
        <v>1511</v>
      </c>
      <c r="E553" s="4" t="s">
        <v>1512</v>
      </c>
      <c r="F553" s="5">
        <v>3.5999999999999999E-3</v>
      </c>
      <c r="G553" s="5">
        <v>0.106</v>
      </c>
    </row>
    <row r="554" spans="1:7" x14ac:dyDescent="0.25">
      <c r="A554" s="1">
        <v>45439</v>
      </c>
      <c r="B554" s="4" t="s">
        <v>248</v>
      </c>
      <c r="C554" s="4" t="s">
        <v>1513</v>
      </c>
      <c r="D554" s="4" t="s">
        <v>1514</v>
      </c>
      <c r="E554" s="4" t="s">
        <v>1515</v>
      </c>
      <c r="F554" s="5">
        <v>-3.3E-3</v>
      </c>
      <c r="G554" s="5">
        <v>0.10199999999999999</v>
      </c>
    </row>
    <row r="555" spans="1:7" x14ac:dyDescent="0.25">
      <c r="A555" s="1">
        <v>45436</v>
      </c>
      <c r="B555" s="4" t="s">
        <v>248</v>
      </c>
      <c r="C555" s="4" t="s">
        <v>1516</v>
      </c>
      <c r="D555" s="4" t="s">
        <v>1517</v>
      </c>
      <c r="E555" s="4" t="s">
        <v>1518</v>
      </c>
      <c r="F555" s="5">
        <v>-4.0000000000000002E-4</v>
      </c>
      <c r="G555" s="5">
        <v>0.1057</v>
      </c>
    </row>
    <row r="556" spans="1:7" x14ac:dyDescent="0.25">
      <c r="A556" s="1">
        <v>45435</v>
      </c>
      <c r="B556" s="4" t="s">
        <v>248</v>
      </c>
      <c r="C556" s="4" t="s">
        <v>1519</v>
      </c>
      <c r="D556" s="4" t="s">
        <v>1520</v>
      </c>
      <c r="E556" s="4" t="s">
        <v>1521</v>
      </c>
      <c r="F556" s="5">
        <v>-1.1999999999999999E-3</v>
      </c>
      <c r="G556" s="5">
        <v>0.1061</v>
      </c>
    </row>
    <row r="557" spans="1:7" x14ac:dyDescent="0.25">
      <c r="A557" s="1">
        <v>45434</v>
      </c>
      <c r="B557" s="4" t="s">
        <v>248</v>
      </c>
      <c r="C557" s="4" t="s">
        <v>1522</v>
      </c>
      <c r="D557" s="4" t="s">
        <v>1523</v>
      </c>
      <c r="E557" s="4" t="s">
        <v>1524</v>
      </c>
      <c r="F557" s="5">
        <v>-2.5999999999999999E-3</v>
      </c>
      <c r="G557" s="5">
        <v>0.1074</v>
      </c>
    </row>
    <row r="558" spans="1:7" x14ac:dyDescent="0.25">
      <c r="A558" s="1">
        <v>45433</v>
      </c>
      <c r="B558" s="4" t="s">
        <v>248</v>
      </c>
      <c r="C558" s="4" t="s">
        <v>1525</v>
      </c>
      <c r="D558" s="4" t="s">
        <v>1526</v>
      </c>
      <c r="E558" s="4" t="s">
        <v>1527</v>
      </c>
      <c r="F558" s="5">
        <v>-1.2999999999999999E-3</v>
      </c>
      <c r="G558" s="5">
        <v>0.1103</v>
      </c>
    </row>
    <row r="559" spans="1:7" x14ac:dyDescent="0.25">
      <c r="A559" s="1">
        <v>45432</v>
      </c>
      <c r="B559" s="4" t="s">
        <v>248</v>
      </c>
      <c r="C559" s="4" t="s">
        <v>1528</v>
      </c>
      <c r="D559" s="4" t="s">
        <v>1529</v>
      </c>
      <c r="E559" s="4" t="s">
        <v>1530</v>
      </c>
      <c r="F559" s="5">
        <v>1.4E-3</v>
      </c>
      <c r="G559" s="5">
        <v>0.1118</v>
      </c>
    </row>
    <row r="560" spans="1:7" x14ac:dyDescent="0.25">
      <c r="A560" s="1">
        <v>45429</v>
      </c>
      <c r="B560" s="4" t="s">
        <v>248</v>
      </c>
      <c r="C560" s="4" t="s">
        <v>1531</v>
      </c>
      <c r="D560" s="4" t="s">
        <v>1532</v>
      </c>
      <c r="E560" s="4" t="s">
        <v>1533</v>
      </c>
      <c r="F560" s="5">
        <v>1.1000000000000001E-3</v>
      </c>
      <c r="G560" s="5">
        <v>0.1103</v>
      </c>
    </row>
    <row r="561" spans="1:7" x14ac:dyDescent="0.25">
      <c r="A561" s="1">
        <v>45428</v>
      </c>
      <c r="B561" s="4" t="s">
        <v>248</v>
      </c>
      <c r="C561" s="4" t="s">
        <v>1534</v>
      </c>
      <c r="D561" s="4" t="s">
        <v>1535</v>
      </c>
      <c r="E561" s="4" t="s">
        <v>1536</v>
      </c>
      <c r="F561" s="5">
        <v>-6.9999999999999999E-4</v>
      </c>
      <c r="G561" s="5">
        <v>0.109</v>
      </c>
    </row>
    <row r="562" spans="1:7" x14ac:dyDescent="0.25">
      <c r="A562" s="1">
        <v>45427</v>
      </c>
      <c r="B562" s="4" t="s">
        <v>248</v>
      </c>
      <c r="C562" s="4" t="s">
        <v>1537</v>
      </c>
      <c r="D562" s="4" t="s">
        <v>1538</v>
      </c>
      <c r="E562" s="4" t="s">
        <v>1537</v>
      </c>
      <c r="F562" s="5">
        <v>-5.8999999999999999E-3</v>
      </c>
      <c r="G562" s="5">
        <v>0.1099</v>
      </c>
    </row>
    <row r="563" spans="1:7" x14ac:dyDescent="0.25">
      <c r="A563" s="1">
        <v>45426</v>
      </c>
      <c r="B563" s="4" t="s">
        <v>248</v>
      </c>
      <c r="C563" s="4" t="s">
        <v>1539</v>
      </c>
      <c r="D563" s="4" t="s">
        <v>1540</v>
      </c>
      <c r="E563" s="4" t="s">
        <v>1541</v>
      </c>
      <c r="F563" s="5">
        <v>-2.8999999999999998E-3</v>
      </c>
      <c r="G563" s="5">
        <v>0.11650000000000001</v>
      </c>
    </row>
    <row r="564" spans="1:7" x14ac:dyDescent="0.25">
      <c r="A564" s="1">
        <v>45425</v>
      </c>
      <c r="B564" s="4" t="s">
        <v>248</v>
      </c>
      <c r="C564" s="4" t="s">
        <v>1542</v>
      </c>
      <c r="D564" s="4" t="s">
        <v>1543</v>
      </c>
      <c r="E564" s="4" t="s">
        <v>1544</v>
      </c>
      <c r="F564" s="5">
        <v>1.1000000000000001E-3</v>
      </c>
      <c r="G564" s="5">
        <v>0.1198</v>
      </c>
    </row>
    <row r="565" spans="1:7" x14ac:dyDescent="0.25">
      <c r="A565" s="1">
        <v>45422</v>
      </c>
      <c r="B565" s="4" t="s">
        <v>248</v>
      </c>
      <c r="C565" s="4" t="s">
        <v>1545</v>
      </c>
      <c r="D565" s="4" t="s">
        <v>1546</v>
      </c>
      <c r="E565" s="4" t="s">
        <v>1547</v>
      </c>
      <c r="F565" s="5">
        <v>3.5999999999999999E-3</v>
      </c>
      <c r="G565" s="5">
        <v>0.1186</v>
      </c>
    </row>
    <row r="566" spans="1:7" x14ac:dyDescent="0.25">
      <c r="A566" s="1">
        <v>45421</v>
      </c>
      <c r="B566" s="4" t="s">
        <v>248</v>
      </c>
      <c r="C566" s="4" t="s">
        <v>1548</v>
      </c>
      <c r="D566" s="4" t="s">
        <v>1549</v>
      </c>
      <c r="E566" s="4" t="s">
        <v>1550</v>
      </c>
      <c r="F566" s="5">
        <v>4.4000000000000003E-3</v>
      </c>
      <c r="G566" s="5">
        <v>0.11459999999999999</v>
      </c>
    </row>
    <row r="567" spans="1:7" x14ac:dyDescent="0.25">
      <c r="A567" s="1">
        <v>45420</v>
      </c>
      <c r="B567" s="4" t="s">
        <v>248</v>
      </c>
      <c r="C567" s="4" t="s">
        <v>1551</v>
      </c>
      <c r="D567" s="4" t="s">
        <v>1552</v>
      </c>
      <c r="E567" s="4" t="s">
        <v>1553</v>
      </c>
      <c r="F567" s="5">
        <v>3.2000000000000002E-3</v>
      </c>
      <c r="G567" s="5">
        <v>0.1096</v>
      </c>
    </row>
    <row r="568" spans="1:7" x14ac:dyDescent="0.25">
      <c r="A568" s="1">
        <v>45419</v>
      </c>
      <c r="B568" s="4" t="s">
        <v>248</v>
      </c>
      <c r="C568" s="4" t="s">
        <v>1553</v>
      </c>
      <c r="D568" s="4" t="s">
        <v>1554</v>
      </c>
      <c r="E568" s="4" t="s">
        <v>1555</v>
      </c>
      <c r="F568" s="5">
        <v>1E-3</v>
      </c>
      <c r="G568" s="5">
        <v>0.1061</v>
      </c>
    </row>
    <row r="569" spans="1:7" x14ac:dyDescent="0.25">
      <c r="A569" s="1">
        <v>45418</v>
      </c>
      <c r="B569" s="4" t="s">
        <v>248</v>
      </c>
      <c r="C569" s="4" t="s">
        <v>1556</v>
      </c>
      <c r="D569" s="4" t="s">
        <v>1557</v>
      </c>
      <c r="E569" s="4" t="s">
        <v>1558</v>
      </c>
      <c r="F569" s="5">
        <v>-3.0999999999999999E-3</v>
      </c>
      <c r="G569" s="5">
        <v>0.105</v>
      </c>
    </row>
    <row r="570" spans="1:7" x14ac:dyDescent="0.25">
      <c r="A570" s="1">
        <v>45415</v>
      </c>
      <c r="B570" s="4" t="s">
        <v>248</v>
      </c>
      <c r="C570" s="4" t="s">
        <v>1559</v>
      </c>
      <c r="D570" s="4" t="s">
        <v>1560</v>
      </c>
      <c r="E570" s="4" t="s">
        <v>1561</v>
      </c>
      <c r="F570" s="5">
        <v>6.1000000000000004E-3</v>
      </c>
      <c r="G570" s="5">
        <v>0.1084</v>
      </c>
    </row>
    <row r="571" spans="1:7" x14ac:dyDescent="0.25">
      <c r="A571" s="1">
        <v>45414</v>
      </c>
      <c r="B571" s="4" t="s">
        <v>248</v>
      </c>
      <c r="C571" s="4" t="s">
        <v>1561</v>
      </c>
      <c r="D571" s="4" t="s">
        <v>1562</v>
      </c>
      <c r="E571" s="4" t="s">
        <v>1563</v>
      </c>
      <c r="F571" s="5">
        <v>2.9999999999999997E-4</v>
      </c>
      <c r="G571" s="5">
        <v>0.1017</v>
      </c>
    </row>
    <row r="572" spans="1:7" x14ac:dyDescent="0.25">
      <c r="A572" s="1">
        <v>45412</v>
      </c>
      <c r="B572" s="4" t="s">
        <v>248</v>
      </c>
      <c r="C572" s="4" t="s">
        <v>1564</v>
      </c>
      <c r="D572" s="4" t="s">
        <v>1565</v>
      </c>
      <c r="E572" s="4" t="s">
        <v>1566</v>
      </c>
      <c r="F572" s="5">
        <v>-4.1000000000000003E-3</v>
      </c>
      <c r="G572" s="5">
        <v>0.1014</v>
      </c>
    </row>
    <row r="573" spans="1:7" x14ac:dyDescent="0.25">
      <c r="A573" s="1">
        <v>45411</v>
      </c>
      <c r="B573" s="4" t="s">
        <v>248</v>
      </c>
      <c r="C573" s="4" t="s">
        <v>1565</v>
      </c>
      <c r="D573" s="4" t="s">
        <v>1567</v>
      </c>
      <c r="E573" s="4" t="s">
        <v>1568</v>
      </c>
      <c r="F573" s="5">
        <v>1.4E-3</v>
      </c>
      <c r="G573" s="5">
        <v>0.10589999999999999</v>
      </c>
    </row>
    <row r="574" spans="1:7" x14ac:dyDescent="0.25">
      <c r="A574" s="1">
        <v>45408</v>
      </c>
      <c r="B574" s="4" t="s">
        <v>248</v>
      </c>
      <c r="C574" s="4" t="s">
        <v>1569</v>
      </c>
      <c r="D574" s="4" t="s">
        <v>1570</v>
      </c>
      <c r="E574" s="4" t="s">
        <v>1571</v>
      </c>
      <c r="F574" s="5">
        <v>5.9999999999999995E-4</v>
      </c>
      <c r="G574" s="5">
        <v>0.10440000000000001</v>
      </c>
    </row>
    <row r="575" spans="1:7" x14ac:dyDescent="0.25">
      <c r="A575" s="1">
        <v>45407</v>
      </c>
      <c r="B575" s="4" t="s">
        <v>248</v>
      </c>
      <c r="C575" s="4" t="s">
        <v>1572</v>
      </c>
      <c r="D575" s="4" t="s">
        <v>1573</v>
      </c>
      <c r="E575" s="4" t="s">
        <v>1574</v>
      </c>
      <c r="F575" s="5">
        <v>4.8999999999999998E-3</v>
      </c>
      <c r="G575" s="5">
        <v>0.1037</v>
      </c>
    </row>
    <row r="576" spans="1:7" x14ac:dyDescent="0.25">
      <c r="A576" s="1">
        <v>45406</v>
      </c>
      <c r="B576" s="4" t="s">
        <v>248</v>
      </c>
      <c r="C576" s="4" t="s">
        <v>1575</v>
      </c>
      <c r="D576" s="4" t="s">
        <v>1576</v>
      </c>
      <c r="E576" s="4" t="s">
        <v>1577</v>
      </c>
      <c r="F576" s="5">
        <v>2.5999999999999999E-3</v>
      </c>
      <c r="G576" s="5">
        <v>9.8299999999999998E-2</v>
      </c>
    </row>
    <row r="577" spans="1:7" x14ac:dyDescent="0.25">
      <c r="A577" s="1">
        <v>45405</v>
      </c>
      <c r="B577" s="4" t="s">
        <v>248</v>
      </c>
      <c r="C577" s="4" t="s">
        <v>1578</v>
      </c>
      <c r="D577" s="4" t="s">
        <v>1579</v>
      </c>
      <c r="E577" s="4" t="s">
        <v>1580</v>
      </c>
      <c r="F577" s="5">
        <v>-4.1999999999999997E-3</v>
      </c>
      <c r="G577" s="5">
        <v>9.5399999999999999E-2</v>
      </c>
    </row>
    <row r="578" spans="1:7" x14ac:dyDescent="0.25">
      <c r="A578" s="1">
        <v>45404</v>
      </c>
      <c r="B578" s="4" t="s">
        <v>248</v>
      </c>
      <c r="C578" s="4" t="s">
        <v>1579</v>
      </c>
      <c r="D578" s="4" t="s">
        <v>1581</v>
      </c>
      <c r="E578" s="4" t="s">
        <v>1579</v>
      </c>
      <c r="F578" s="5">
        <v>-1.12E-2</v>
      </c>
      <c r="G578" s="5">
        <v>0.1</v>
      </c>
    </row>
    <row r="579" spans="1:7" x14ac:dyDescent="0.25">
      <c r="A579" s="1">
        <v>45401</v>
      </c>
      <c r="B579" s="4" t="s">
        <v>248</v>
      </c>
      <c r="C579" s="4" t="s">
        <v>1582</v>
      </c>
      <c r="D579" s="4" t="s">
        <v>1583</v>
      </c>
      <c r="E579" s="4" t="s">
        <v>1584</v>
      </c>
      <c r="F579" s="5">
        <v>-2.0000000000000001E-4</v>
      </c>
      <c r="G579" s="5">
        <v>0.1125</v>
      </c>
    </row>
    <row r="580" spans="1:7" x14ac:dyDescent="0.25">
      <c r="A580" s="1">
        <v>45400</v>
      </c>
      <c r="B580" s="4" t="s">
        <v>248</v>
      </c>
      <c r="C580" s="4" t="s">
        <v>1585</v>
      </c>
      <c r="D580" s="4" t="s">
        <v>1585</v>
      </c>
      <c r="E580" s="4" t="s">
        <v>1586</v>
      </c>
      <c r="F580" s="5">
        <v>5.3E-3</v>
      </c>
      <c r="G580" s="5">
        <v>0.11269999999999999</v>
      </c>
    </row>
    <row r="581" spans="1:7" x14ac:dyDescent="0.25">
      <c r="A581" s="1">
        <v>45399</v>
      </c>
      <c r="B581" s="4" t="s">
        <v>248</v>
      </c>
      <c r="C581" s="4" t="s">
        <v>1587</v>
      </c>
      <c r="D581" s="4" t="s">
        <v>1588</v>
      </c>
      <c r="E581" s="4" t="s">
        <v>1589</v>
      </c>
      <c r="F581" s="5">
        <v>1.6999999999999999E-3</v>
      </c>
      <c r="G581" s="5">
        <v>0.10680000000000001</v>
      </c>
    </row>
    <row r="582" spans="1:7" x14ac:dyDescent="0.25">
      <c r="A582" s="1">
        <v>45398</v>
      </c>
      <c r="B582" s="4" t="s">
        <v>248</v>
      </c>
      <c r="C582" s="4" t="s">
        <v>1590</v>
      </c>
      <c r="D582" s="4" t="s">
        <v>1591</v>
      </c>
      <c r="E582" s="4" t="s">
        <v>1592</v>
      </c>
      <c r="F582" s="5">
        <v>-8.0000000000000004E-4</v>
      </c>
      <c r="G582" s="5">
        <v>0.105</v>
      </c>
    </row>
    <row r="583" spans="1:7" x14ac:dyDescent="0.25">
      <c r="A583" s="1">
        <v>45397</v>
      </c>
      <c r="B583" s="4" t="s">
        <v>248</v>
      </c>
      <c r="C583" s="4" t="s">
        <v>1593</v>
      </c>
      <c r="D583" s="4" t="s">
        <v>1594</v>
      </c>
      <c r="E583" s="4" t="s">
        <v>1595</v>
      </c>
      <c r="F583" s="5">
        <v>2.3999999999999998E-3</v>
      </c>
      <c r="G583" s="5">
        <v>0.10580000000000001</v>
      </c>
    </row>
    <row r="584" spans="1:7" x14ac:dyDescent="0.25">
      <c r="A584" s="1">
        <v>45391</v>
      </c>
      <c r="B584" s="4" t="s">
        <v>248</v>
      </c>
      <c r="C584" s="4" t="s">
        <v>1596</v>
      </c>
      <c r="D584" s="4" t="s">
        <v>1597</v>
      </c>
      <c r="E584" s="4" t="s">
        <v>1598</v>
      </c>
      <c r="F584" s="5">
        <v>9.1999999999999998E-3</v>
      </c>
      <c r="G584" s="5">
        <v>0.1032</v>
      </c>
    </row>
    <row r="585" spans="1:7" x14ac:dyDescent="0.25">
      <c r="A585" s="1">
        <v>45390</v>
      </c>
      <c r="B585" s="4" t="s">
        <v>248</v>
      </c>
      <c r="C585" s="4" t="s">
        <v>1599</v>
      </c>
      <c r="D585" s="4" t="s">
        <v>1600</v>
      </c>
      <c r="E585" s="4" t="s">
        <v>1601</v>
      </c>
      <c r="F585" s="5">
        <v>7.7000000000000002E-3</v>
      </c>
      <c r="G585" s="5">
        <v>9.3200000000000005E-2</v>
      </c>
    </row>
    <row r="586" spans="1:7" x14ac:dyDescent="0.25">
      <c r="A586" s="1">
        <v>45387</v>
      </c>
      <c r="B586" s="4" t="s">
        <v>248</v>
      </c>
      <c r="C586" s="4" t="s">
        <v>1602</v>
      </c>
      <c r="D586" s="4" t="s">
        <v>1603</v>
      </c>
      <c r="E586" s="4" t="s">
        <v>1604</v>
      </c>
      <c r="F586" s="5">
        <v>8.9999999999999998E-4</v>
      </c>
      <c r="G586" s="5">
        <v>8.48E-2</v>
      </c>
    </row>
    <row r="587" spans="1:7" x14ac:dyDescent="0.25">
      <c r="A587" s="1">
        <v>45386</v>
      </c>
      <c r="B587" s="4" t="s">
        <v>248</v>
      </c>
      <c r="C587" s="4" t="s">
        <v>1605</v>
      </c>
      <c r="D587" s="4" t="s">
        <v>1605</v>
      </c>
      <c r="E587" s="4" t="s">
        <v>1606</v>
      </c>
      <c r="F587" s="5">
        <v>8.0000000000000004E-4</v>
      </c>
      <c r="G587" s="5">
        <v>8.3799999999999999E-2</v>
      </c>
    </row>
    <row r="588" spans="1:7" x14ac:dyDescent="0.25">
      <c r="A588" s="1">
        <v>45385</v>
      </c>
      <c r="B588" s="4" t="s">
        <v>248</v>
      </c>
      <c r="C588" s="4" t="s">
        <v>1607</v>
      </c>
      <c r="D588" s="4" t="s">
        <v>1608</v>
      </c>
      <c r="E588" s="4" t="s">
        <v>1609</v>
      </c>
      <c r="F588" s="5">
        <v>3.2000000000000002E-3</v>
      </c>
      <c r="G588" s="5">
        <v>8.2900000000000001E-2</v>
      </c>
    </row>
    <row r="589" spans="1:7" x14ac:dyDescent="0.25">
      <c r="A589" s="1">
        <v>45384</v>
      </c>
      <c r="B589" s="4" t="s">
        <v>248</v>
      </c>
      <c r="C589" s="4" t="s">
        <v>1610</v>
      </c>
      <c r="D589" s="4" t="s">
        <v>1611</v>
      </c>
      <c r="E589" s="4" t="s">
        <v>1612</v>
      </c>
      <c r="F589" s="5">
        <v>3.5000000000000001E-3</v>
      </c>
      <c r="G589" s="5">
        <v>7.9399999999999998E-2</v>
      </c>
    </row>
    <row r="590" spans="1:7" x14ac:dyDescent="0.25">
      <c r="A590" s="1">
        <v>45383</v>
      </c>
      <c r="B590" s="4" t="s">
        <v>248</v>
      </c>
      <c r="C590" s="4" t="s">
        <v>1613</v>
      </c>
      <c r="D590" s="4" t="s">
        <v>1614</v>
      </c>
      <c r="E590" s="4" t="s">
        <v>1615</v>
      </c>
      <c r="F590" s="5">
        <v>-2.0000000000000001E-4</v>
      </c>
      <c r="G590" s="5">
        <v>7.5600000000000001E-2</v>
      </c>
    </row>
    <row r="591" spans="1:7" x14ac:dyDescent="0.25">
      <c r="A591" s="1">
        <v>45380</v>
      </c>
      <c r="B591" s="4" t="s">
        <v>248</v>
      </c>
      <c r="C591" s="4" t="s">
        <v>1616</v>
      </c>
      <c r="D591" s="4" t="s">
        <v>1617</v>
      </c>
      <c r="E591" s="4" t="s">
        <v>1618</v>
      </c>
      <c r="F591" s="5">
        <v>1.6999999999999999E-3</v>
      </c>
      <c r="G591" s="5">
        <v>7.5800000000000006E-2</v>
      </c>
    </row>
    <row r="592" spans="1:7" x14ac:dyDescent="0.25">
      <c r="A592" s="1">
        <v>45379</v>
      </c>
      <c r="B592" s="4" t="s">
        <v>248</v>
      </c>
      <c r="C592" s="4" t="s">
        <v>1619</v>
      </c>
      <c r="D592" s="4" t="s">
        <v>1620</v>
      </c>
      <c r="E592" s="4" t="s">
        <v>1621</v>
      </c>
      <c r="F592" s="5">
        <v>4.0000000000000002E-4</v>
      </c>
      <c r="G592" s="5">
        <v>7.3899999999999993E-2</v>
      </c>
    </row>
    <row r="593" spans="1:7" x14ac:dyDescent="0.25">
      <c r="A593" s="1">
        <v>45378</v>
      </c>
      <c r="B593" s="4" t="s">
        <v>248</v>
      </c>
      <c r="C593" s="4" t="s">
        <v>1622</v>
      </c>
      <c r="D593" s="4" t="s">
        <v>1623</v>
      </c>
      <c r="E593" s="4" t="s">
        <v>1624</v>
      </c>
      <c r="F593" s="5">
        <v>3.3999999999999998E-3</v>
      </c>
      <c r="G593" s="5">
        <v>7.3499999999999996E-2</v>
      </c>
    </row>
    <row r="594" spans="1:7" x14ac:dyDescent="0.25">
      <c r="A594" s="1">
        <v>45377</v>
      </c>
      <c r="B594" s="4" t="s">
        <v>248</v>
      </c>
      <c r="C594" s="4" t="s">
        <v>1625</v>
      </c>
      <c r="D594" s="4" t="s">
        <v>1626</v>
      </c>
      <c r="E594" s="4" t="s">
        <v>1627</v>
      </c>
      <c r="F594" s="5">
        <v>-1.9E-3</v>
      </c>
      <c r="G594" s="5">
        <v>6.9900000000000004E-2</v>
      </c>
    </row>
    <row r="595" spans="1:7" x14ac:dyDescent="0.25">
      <c r="A595" s="1">
        <v>45376</v>
      </c>
      <c r="B595" s="4" t="s">
        <v>248</v>
      </c>
      <c r="C595" s="4" t="s">
        <v>1628</v>
      </c>
      <c r="D595" s="4" t="s">
        <v>1629</v>
      </c>
      <c r="E595" s="4" t="s">
        <v>1630</v>
      </c>
      <c r="F595" s="5">
        <v>-1.1999999999999999E-3</v>
      </c>
      <c r="G595" s="5">
        <v>7.1999999999999995E-2</v>
      </c>
    </row>
    <row r="596" spans="1:7" x14ac:dyDescent="0.25">
      <c r="A596" s="1">
        <v>45373</v>
      </c>
      <c r="B596" s="4" t="s">
        <v>248</v>
      </c>
      <c r="C596" s="4" t="s">
        <v>1631</v>
      </c>
      <c r="D596" s="4" t="s">
        <v>1632</v>
      </c>
      <c r="E596" s="4" t="s">
        <v>1633</v>
      </c>
      <c r="F596" s="5">
        <v>1E-4</v>
      </c>
      <c r="G596" s="5">
        <v>7.3300000000000004E-2</v>
      </c>
    </row>
    <row r="597" spans="1:7" x14ac:dyDescent="0.25">
      <c r="A597" s="1">
        <v>45372</v>
      </c>
      <c r="B597" s="4" t="s">
        <v>248</v>
      </c>
      <c r="C597" s="4" t="s">
        <v>1634</v>
      </c>
      <c r="D597" s="4" t="s">
        <v>1635</v>
      </c>
      <c r="E597" s="4" t="s">
        <v>1636</v>
      </c>
      <c r="F597" s="5">
        <v>1.1999999999999999E-3</v>
      </c>
      <c r="G597" s="5">
        <v>7.3200000000000001E-2</v>
      </c>
    </row>
    <row r="598" spans="1:7" x14ac:dyDescent="0.25">
      <c r="A598" s="1">
        <v>45371</v>
      </c>
      <c r="B598" s="4" t="s">
        <v>248</v>
      </c>
      <c r="C598" s="4" t="s">
        <v>1637</v>
      </c>
      <c r="D598" s="4" t="s">
        <v>1638</v>
      </c>
      <c r="E598" s="4" t="s">
        <v>1637</v>
      </c>
      <c r="F598" s="5">
        <v>-5.5999999999999999E-3</v>
      </c>
      <c r="G598" s="5">
        <v>7.1900000000000006E-2</v>
      </c>
    </row>
    <row r="599" spans="1:7" x14ac:dyDescent="0.25">
      <c r="A599" s="1">
        <v>45370</v>
      </c>
      <c r="B599" s="4" t="s">
        <v>248</v>
      </c>
      <c r="C599" s="4" t="s">
        <v>1639</v>
      </c>
      <c r="D599" s="4" t="s">
        <v>1640</v>
      </c>
      <c r="E599" s="4" t="s">
        <v>1641</v>
      </c>
      <c r="F599" s="5">
        <v>-3.8999999999999998E-3</v>
      </c>
      <c r="G599" s="5">
        <v>7.7899999999999997E-2</v>
      </c>
    </row>
    <row r="600" spans="1:7" x14ac:dyDescent="0.25">
      <c r="A600" s="1">
        <v>45369</v>
      </c>
      <c r="B600" s="4" t="s">
        <v>248</v>
      </c>
      <c r="C600" s="4" t="s">
        <v>1640</v>
      </c>
      <c r="D600" s="4" t="s">
        <v>1642</v>
      </c>
      <c r="E600" s="4" t="s">
        <v>1643</v>
      </c>
      <c r="F600" s="5">
        <v>1.6999999999999999E-3</v>
      </c>
      <c r="G600" s="5">
        <v>8.2100000000000006E-2</v>
      </c>
    </row>
    <row r="601" spans="1:7" x14ac:dyDescent="0.25">
      <c r="A601" s="1">
        <v>45366</v>
      </c>
      <c r="B601" s="4" t="s">
        <v>248</v>
      </c>
      <c r="C601" s="4" t="s">
        <v>1644</v>
      </c>
      <c r="D601" s="4" t="s">
        <v>1644</v>
      </c>
      <c r="E601" s="4" t="s">
        <v>1645</v>
      </c>
      <c r="F601" s="5">
        <v>7.3000000000000001E-3</v>
      </c>
      <c r="G601" s="5">
        <v>8.0299999999999996E-2</v>
      </c>
    </row>
    <row r="602" spans="1:7" x14ac:dyDescent="0.25">
      <c r="A602" s="1">
        <v>45365</v>
      </c>
      <c r="B602" s="4" t="s">
        <v>248</v>
      </c>
      <c r="C602" s="4" t="s">
        <v>1646</v>
      </c>
      <c r="D602" s="4" t="s">
        <v>1646</v>
      </c>
      <c r="E602" s="4" t="s">
        <v>1647</v>
      </c>
      <c r="F602" s="5">
        <v>6.4000000000000003E-3</v>
      </c>
      <c r="G602" s="5">
        <v>7.2400000000000006E-2</v>
      </c>
    </row>
    <row r="603" spans="1:7" x14ac:dyDescent="0.25">
      <c r="A603" s="1">
        <v>45364</v>
      </c>
      <c r="B603" s="4" t="s">
        <v>248</v>
      </c>
      <c r="C603" s="4" t="s">
        <v>1647</v>
      </c>
      <c r="D603" s="4" t="s">
        <v>1648</v>
      </c>
      <c r="E603" s="4" t="s">
        <v>1649</v>
      </c>
      <c r="F603" s="5">
        <v>3.0999999999999999E-3</v>
      </c>
      <c r="G603" s="5">
        <v>6.5600000000000006E-2</v>
      </c>
    </row>
    <row r="604" spans="1:7" x14ac:dyDescent="0.25">
      <c r="A604" s="1">
        <v>45363</v>
      </c>
      <c r="B604" s="4" t="s">
        <v>248</v>
      </c>
      <c r="C604" s="4" t="s">
        <v>1650</v>
      </c>
      <c r="D604" s="4" t="s">
        <v>1651</v>
      </c>
      <c r="E604" s="4" t="s">
        <v>1652</v>
      </c>
      <c r="F604" s="5">
        <v>-4.0000000000000002E-4</v>
      </c>
      <c r="G604" s="5">
        <v>6.2300000000000001E-2</v>
      </c>
    </row>
    <row r="605" spans="1:7" x14ac:dyDescent="0.25">
      <c r="A605" s="1">
        <v>45362</v>
      </c>
      <c r="B605" s="4" t="s">
        <v>248</v>
      </c>
      <c r="C605" s="4" t="s">
        <v>1653</v>
      </c>
      <c r="D605" s="4" t="s">
        <v>1654</v>
      </c>
      <c r="E605" s="4" t="s">
        <v>1655</v>
      </c>
      <c r="F605" s="5">
        <v>-4.3E-3</v>
      </c>
      <c r="G605" s="5">
        <v>6.2799999999999995E-2</v>
      </c>
    </row>
    <row r="606" spans="1:7" x14ac:dyDescent="0.25">
      <c r="A606" s="1">
        <v>45359</v>
      </c>
      <c r="B606" s="4" t="s">
        <v>248</v>
      </c>
      <c r="C606" s="4" t="s">
        <v>1656</v>
      </c>
      <c r="D606" s="4" t="s">
        <v>1657</v>
      </c>
      <c r="E606" s="4" t="s">
        <v>1658</v>
      </c>
      <c r="F606" s="5">
        <v>2.5000000000000001E-3</v>
      </c>
      <c r="G606" s="5">
        <v>6.7400000000000002E-2</v>
      </c>
    </row>
    <row r="607" spans="1:7" x14ac:dyDescent="0.25">
      <c r="A607" s="1">
        <v>45358</v>
      </c>
      <c r="B607" s="4" t="s">
        <v>248</v>
      </c>
      <c r="C607" s="4" t="s">
        <v>1659</v>
      </c>
      <c r="D607" s="4" t="s">
        <v>1660</v>
      </c>
      <c r="E607" s="4" t="s">
        <v>1661</v>
      </c>
      <c r="F607" s="5">
        <v>-4.7000000000000002E-3</v>
      </c>
      <c r="G607" s="5">
        <v>6.4699999999999994E-2</v>
      </c>
    </row>
    <row r="608" spans="1:7" x14ac:dyDescent="0.25">
      <c r="A608" s="1">
        <v>45357</v>
      </c>
      <c r="B608" s="4" t="s">
        <v>248</v>
      </c>
      <c r="C608" s="4" t="s">
        <v>1662</v>
      </c>
      <c r="D608" s="4" t="s">
        <v>1663</v>
      </c>
      <c r="E608" s="4" t="s">
        <v>1664</v>
      </c>
      <c r="F608" s="5">
        <v>-5.1000000000000004E-3</v>
      </c>
      <c r="G608" s="5">
        <v>6.9699999999999998E-2</v>
      </c>
    </row>
    <row r="609" spans="1:7" x14ac:dyDescent="0.25">
      <c r="A609" s="1">
        <v>45356</v>
      </c>
      <c r="B609" s="4" t="s">
        <v>248</v>
      </c>
      <c r="C609" s="4" t="s">
        <v>1665</v>
      </c>
      <c r="D609" s="4" t="s">
        <v>1666</v>
      </c>
      <c r="E609" s="4" t="s">
        <v>1667</v>
      </c>
      <c r="F609" s="5">
        <v>1E-4</v>
      </c>
      <c r="G609" s="5">
        <v>7.5200000000000003E-2</v>
      </c>
    </row>
    <row r="610" spans="1:7" x14ac:dyDescent="0.25">
      <c r="A610" s="1">
        <v>45355</v>
      </c>
      <c r="B610" s="4" t="s">
        <v>248</v>
      </c>
      <c r="C610" s="4" t="s">
        <v>1668</v>
      </c>
      <c r="D610" s="4" t="s">
        <v>1669</v>
      </c>
      <c r="E610" s="4" t="s">
        <v>1670</v>
      </c>
      <c r="F610" s="5">
        <v>-6.9999999999999999E-4</v>
      </c>
      <c r="G610" s="5">
        <v>7.5200000000000003E-2</v>
      </c>
    </row>
    <row r="611" spans="1:7" x14ac:dyDescent="0.25">
      <c r="A611" s="1">
        <v>45352</v>
      </c>
      <c r="B611" s="4" t="s">
        <v>248</v>
      </c>
      <c r="C611" s="4" t="s">
        <v>1671</v>
      </c>
      <c r="D611" s="4" t="s">
        <v>1672</v>
      </c>
      <c r="E611" s="4" t="s">
        <v>1671</v>
      </c>
      <c r="F611" s="5">
        <v>-1.6000000000000001E-3</v>
      </c>
      <c r="G611" s="5">
        <v>7.5899999999999995E-2</v>
      </c>
    </row>
    <row r="612" spans="1:7" x14ac:dyDescent="0.25">
      <c r="A612" s="1">
        <v>45351</v>
      </c>
      <c r="B612" s="4" t="s">
        <v>248</v>
      </c>
      <c r="C612" s="4" t="s">
        <v>1673</v>
      </c>
      <c r="D612" s="4" t="s">
        <v>1674</v>
      </c>
      <c r="E612" s="4" t="s">
        <v>1673</v>
      </c>
      <c r="F612" s="5">
        <v>-7.7999999999999996E-3</v>
      </c>
      <c r="G612" s="5">
        <v>7.7600000000000002E-2</v>
      </c>
    </row>
    <row r="613" spans="1:7" x14ac:dyDescent="0.25">
      <c r="A613" s="1">
        <v>45350</v>
      </c>
      <c r="B613" s="4" t="s">
        <v>248</v>
      </c>
      <c r="C613" s="4" t="s">
        <v>1675</v>
      </c>
      <c r="D613" s="4" t="s">
        <v>1676</v>
      </c>
      <c r="E613" s="4" t="s">
        <v>1677</v>
      </c>
      <c r="F613" s="5">
        <v>2.7000000000000001E-3</v>
      </c>
      <c r="G613" s="5">
        <v>8.6099999999999996E-2</v>
      </c>
    </row>
    <row r="614" spans="1:7" x14ac:dyDescent="0.25">
      <c r="A614" s="1">
        <v>45349</v>
      </c>
      <c r="B614" s="4" t="s">
        <v>248</v>
      </c>
      <c r="C614" s="4" t="s">
        <v>1678</v>
      </c>
      <c r="D614" s="4" t="s">
        <v>1679</v>
      </c>
      <c r="E614" s="4" t="s">
        <v>1680</v>
      </c>
      <c r="F614" s="5">
        <v>-1.4E-3</v>
      </c>
      <c r="G614" s="5">
        <v>8.3199999999999996E-2</v>
      </c>
    </row>
    <row r="615" spans="1:7" x14ac:dyDescent="0.25">
      <c r="A615" s="1">
        <v>45348</v>
      </c>
      <c r="B615" s="4" t="s">
        <v>248</v>
      </c>
      <c r="C615" s="4" t="s">
        <v>1681</v>
      </c>
      <c r="D615" s="4" t="s">
        <v>1682</v>
      </c>
      <c r="E615" s="4" t="s">
        <v>1683</v>
      </c>
      <c r="F615" s="5">
        <v>2.5999999999999999E-3</v>
      </c>
      <c r="G615" s="5">
        <v>8.4699999999999998E-2</v>
      </c>
    </row>
    <row r="616" spans="1:7" x14ac:dyDescent="0.25">
      <c r="A616" s="1">
        <v>45345</v>
      </c>
      <c r="B616" s="4" t="s">
        <v>248</v>
      </c>
      <c r="C616" s="4" t="s">
        <v>1684</v>
      </c>
      <c r="D616" s="4" t="s">
        <v>1685</v>
      </c>
      <c r="E616" s="4" t="s">
        <v>1686</v>
      </c>
      <c r="F616" s="5">
        <v>7.4000000000000003E-3</v>
      </c>
      <c r="G616" s="5">
        <v>8.1900000000000001E-2</v>
      </c>
    </row>
    <row r="617" spans="1:7" x14ac:dyDescent="0.25">
      <c r="A617" s="1">
        <v>45344</v>
      </c>
      <c r="B617" s="4" t="s">
        <v>248</v>
      </c>
      <c r="C617" s="4" t="s">
        <v>1687</v>
      </c>
      <c r="D617" s="4" t="s">
        <v>1688</v>
      </c>
      <c r="E617" s="4" t="s">
        <v>1689</v>
      </c>
      <c r="F617" s="5">
        <v>2E-3</v>
      </c>
      <c r="G617" s="5">
        <v>7.3899999999999993E-2</v>
      </c>
    </row>
    <row r="618" spans="1:7" x14ac:dyDescent="0.25">
      <c r="A618" s="1">
        <v>45343</v>
      </c>
      <c r="B618" s="4" t="s">
        <v>248</v>
      </c>
      <c r="C618" s="4" t="s">
        <v>1690</v>
      </c>
      <c r="D618" s="4" t="s">
        <v>1691</v>
      </c>
      <c r="E618" s="4" t="s">
        <v>1692</v>
      </c>
      <c r="F618" s="5">
        <v>5.8999999999999999E-3</v>
      </c>
      <c r="G618" s="5">
        <v>7.1800000000000003E-2</v>
      </c>
    </row>
    <row r="619" spans="1:7" x14ac:dyDescent="0.25">
      <c r="A619" s="1">
        <v>45342</v>
      </c>
      <c r="B619" s="4" t="s">
        <v>248</v>
      </c>
      <c r="C619" s="4" t="s">
        <v>1693</v>
      </c>
      <c r="D619" s="4" t="s">
        <v>1694</v>
      </c>
      <c r="E619" s="4" t="s">
        <v>1695</v>
      </c>
      <c r="F619" s="5">
        <v>-2.5999999999999999E-3</v>
      </c>
      <c r="G619" s="5">
        <v>6.5600000000000006E-2</v>
      </c>
    </row>
    <row r="620" spans="1:7" x14ac:dyDescent="0.25">
      <c r="A620" s="1">
        <v>45341</v>
      </c>
      <c r="B620" s="4" t="s">
        <v>248</v>
      </c>
      <c r="C620" s="4" t="s">
        <v>1696</v>
      </c>
      <c r="D620" s="4" t="s">
        <v>1697</v>
      </c>
      <c r="E620" s="4" t="s">
        <v>1698</v>
      </c>
      <c r="F620" s="5">
        <v>3.8E-3</v>
      </c>
      <c r="G620" s="5">
        <v>6.8400000000000002E-2</v>
      </c>
    </row>
    <row r="621" spans="1:7" x14ac:dyDescent="0.25">
      <c r="A621" s="1">
        <v>45338</v>
      </c>
      <c r="B621" s="4" t="s">
        <v>248</v>
      </c>
      <c r="C621" s="4" t="s">
        <v>1698</v>
      </c>
      <c r="D621" s="4" t="s">
        <v>1699</v>
      </c>
      <c r="E621" s="4" t="s">
        <v>1700</v>
      </c>
      <c r="F621" s="5">
        <v>1.1299999999999999E-2</v>
      </c>
      <c r="G621" s="5">
        <v>6.4399999999999999E-2</v>
      </c>
    </row>
    <row r="622" spans="1:7" x14ac:dyDescent="0.25">
      <c r="A622" s="1">
        <v>45337</v>
      </c>
      <c r="B622" s="4" t="s">
        <v>248</v>
      </c>
      <c r="C622" s="4" t="s">
        <v>1701</v>
      </c>
      <c r="D622" s="4" t="s">
        <v>1702</v>
      </c>
      <c r="E622" s="4" t="s">
        <v>1703</v>
      </c>
      <c r="F622" s="5">
        <v>-2.0999999999999999E-3</v>
      </c>
      <c r="G622" s="5">
        <v>5.2499999999999998E-2</v>
      </c>
    </row>
    <row r="623" spans="1:7" x14ac:dyDescent="0.25">
      <c r="A623" s="1">
        <v>45336</v>
      </c>
      <c r="B623" s="4" t="s">
        <v>248</v>
      </c>
      <c r="C623" s="4" t="s">
        <v>1704</v>
      </c>
      <c r="D623" s="4" t="s">
        <v>1705</v>
      </c>
      <c r="E623" s="4" t="s">
        <v>1706</v>
      </c>
      <c r="F623" s="5">
        <v>4.4000000000000003E-3</v>
      </c>
      <c r="G623" s="5">
        <v>5.4699999999999999E-2</v>
      </c>
    </row>
    <row r="624" spans="1:7" x14ac:dyDescent="0.25">
      <c r="A624" s="1">
        <v>45335</v>
      </c>
      <c r="B624" s="4" t="s">
        <v>248</v>
      </c>
      <c r="C624" s="4" t="s">
        <v>1706</v>
      </c>
      <c r="D624" s="4" t="s">
        <v>1707</v>
      </c>
      <c r="E624" s="4" t="s">
        <v>1708</v>
      </c>
      <c r="F624" s="5">
        <v>8.0000000000000004E-4</v>
      </c>
      <c r="G624" s="5">
        <v>5.0099999999999999E-2</v>
      </c>
    </row>
    <row r="625" spans="1:7" x14ac:dyDescent="0.25">
      <c r="A625" s="1">
        <v>45334</v>
      </c>
      <c r="B625" s="4" t="s">
        <v>248</v>
      </c>
      <c r="C625" s="4" t="s">
        <v>1709</v>
      </c>
      <c r="D625" s="4" t="s">
        <v>1710</v>
      </c>
      <c r="E625" s="4" t="s">
        <v>1711</v>
      </c>
      <c r="F625" s="5">
        <v>2.2000000000000001E-3</v>
      </c>
      <c r="G625" s="5">
        <v>4.9200000000000001E-2</v>
      </c>
    </row>
    <row r="626" spans="1:7" x14ac:dyDescent="0.25">
      <c r="A626" s="1">
        <v>45331</v>
      </c>
      <c r="B626" s="4" t="s">
        <v>248</v>
      </c>
      <c r="C626" s="4" t="s">
        <v>1711</v>
      </c>
      <c r="D626" s="4" t="s">
        <v>1712</v>
      </c>
      <c r="E626" s="4" t="s">
        <v>1713</v>
      </c>
      <c r="F626" s="5">
        <v>2.7000000000000001E-3</v>
      </c>
      <c r="G626" s="5">
        <v>4.6899999999999997E-2</v>
      </c>
    </row>
    <row r="627" spans="1:7" x14ac:dyDescent="0.25">
      <c r="A627" s="1">
        <v>45330</v>
      </c>
      <c r="B627" s="4" t="s">
        <v>248</v>
      </c>
      <c r="C627" s="4" t="s">
        <v>1714</v>
      </c>
      <c r="D627" s="4" t="s">
        <v>1715</v>
      </c>
      <c r="E627" s="4" t="s">
        <v>1716</v>
      </c>
      <c r="F627" s="5">
        <v>6.1000000000000004E-3</v>
      </c>
      <c r="G627" s="5">
        <v>4.41E-2</v>
      </c>
    </row>
    <row r="628" spans="1:7" x14ac:dyDescent="0.25">
      <c r="A628" s="1">
        <v>45329</v>
      </c>
      <c r="B628" s="4" t="s">
        <v>248</v>
      </c>
      <c r="C628" s="4" t="s">
        <v>1717</v>
      </c>
      <c r="D628" s="4" t="s">
        <v>1718</v>
      </c>
      <c r="E628" s="4" t="s">
        <v>1719</v>
      </c>
      <c r="F628" s="5">
        <v>1.6000000000000001E-3</v>
      </c>
      <c r="G628" s="5">
        <v>3.78E-2</v>
      </c>
    </row>
    <row r="629" spans="1:7" x14ac:dyDescent="0.25">
      <c r="A629" s="1">
        <v>45328</v>
      </c>
      <c r="B629" s="4" t="s">
        <v>248</v>
      </c>
      <c r="C629" s="4" t="s">
        <v>1720</v>
      </c>
      <c r="D629" s="4" t="s">
        <v>1720</v>
      </c>
      <c r="E629" s="4" t="s">
        <v>1721</v>
      </c>
      <c r="F629" s="5">
        <v>7.0000000000000001E-3</v>
      </c>
      <c r="G629" s="5">
        <v>3.61E-2</v>
      </c>
    </row>
    <row r="630" spans="1:7" x14ac:dyDescent="0.25">
      <c r="A630" s="1">
        <v>45327</v>
      </c>
      <c r="B630" s="4" t="s">
        <v>248</v>
      </c>
      <c r="C630" s="4" t="s">
        <v>1722</v>
      </c>
      <c r="D630" s="4" t="s">
        <v>1723</v>
      </c>
      <c r="E630" s="4" t="s">
        <v>1724</v>
      </c>
      <c r="F630" s="5">
        <v>-4.1000000000000003E-3</v>
      </c>
      <c r="G630" s="5">
        <v>2.8899999999999999E-2</v>
      </c>
    </row>
    <row r="631" spans="1:7" x14ac:dyDescent="0.25">
      <c r="A631" s="1">
        <v>45324</v>
      </c>
      <c r="B631" s="4" t="s">
        <v>248</v>
      </c>
      <c r="C631" s="4" t="s">
        <v>1725</v>
      </c>
      <c r="D631" s="4" t="s">
        <v>1726</v>
      </c>
      <c r="E631" s="4" t="s">
        <v>1727</v>
      </c>
      <c r="F631" s="5">
        <v>8.0000000000000004E-4</v>
      </c>
      <c r="G631" s="5">
        <v>3.3099999999999997E-2</v>
      </c>
    </row>
    <row r="632" spans="1:7" x14ac:dyDescent="0.25">
      <c r="A632" s="1">
        <v>45323</v>
      </c>
      <c r="B632" s="4" t="s">
        <v>248</v>
      </c>
      <c r="C632" s="4" t="s">
        <v>1728</v>
      </c>
      <c r="D632" s="4" t="s">
        <v>1729</v>
      </c>
      <c r="E632" s="4" t="s">
        <v>1730</v>
      </c>
      <c r="F632" s="5">
        <v>1.5E-3</v>
      </c>
      <c r="G632" s="5">
        <v>3.2300000000000002E-2</v>
      </c>
    </row>
    <row r="633" spans="1:7" x14ac:dyDescent="0.25">
      <c r="A633" s="1">
        <v>45322</v>
      </c>
      <c r="B633" s="4" t="s">
        <v>248</v>
      </c>
      <c r="C633" s="4" t="s">
        <v>1731</v>
      </c>
      <c r="D633" s="4" t="s">
        <v>1732</v>
      </c>
      <c r="E633" s="4" t="s">
        <v>1733</v>
      </c>
      <c r="F633" s="5">
        <v>1.6000000000000001E-3</v>
      </c>
      <c r="G633" s="5">
        <v>3.0800000000000001E-2</v>
      </c>
    </row>
    <row r="634" spans="1:7" x14ac:dyDescent="0.25">
      <c r="A634" s="1">
        <v>45321</v>
      </c>
      <c r="B634" s="4" t="s">
        <v>248</v>
      </c>
      <c r="C634" s="4" t="s">
        <v>1734</v>
      </c>
      <c r="D634" s="4" t="s">
        <v>1735</v>
      </c>
      <c r="E634" s="4" t="s">
        <v>1736</v>
      </c>
      <c r="F634" s="5">
        <v>-1E-3</v>
      </c>
      <c r="G634" s="5">
        <v>2.92E-2</v>
      </c>
    </row>
    <row r="635" spans="1:7" x14ac:dyDescent="0.25">
      <c r="A635" s="1">
        <v>45320</v>
      </c>
      <c r="B635" s="4" t="s">
        <v>248</v>
      </c>
      <c r="C635" s="4" t="s">
        <v>1737</v>
      </c>
      <c r="D635" s="4" t="s">
        <v>1738</v>
      </c>
      <c r="E635" s="4" t="s">
        <v>1739</v>
      </c>
      <c r="F635" s="5">
        <v>-1.37E-2</v>
      </c>
      <c r="G635" s="5">
        <v>3.0200000000000001E-2</v>
      </c>
    </row>
    <row r="636" spans="1:7" x14ac:dyDescent="0.25">
      <c r="A636" s="1">
        <v>45317</v>
      </c>
      <c r="B636" s="4" t="s">
        <v>248</v>
      </c>
      <c r="C636" s="4" t="s">
        <v>1740</v>
      </c>
      <c r="D636" s="4" t="s">
        <v>1741</v>
      </c>
      <c r="E636" s="4" t="s">
        <v>1742</v>
      </c>
      <c r="F636" s="5">
        <v>-4.3E-3</v>
      </c>
      <c r="G636" s="5">
        <v>4.4499999999999998E-2</v>
      </c>
    </row>
    <row r="637" spans="1:7" x14ac:dyDescent="0.25">
      <c r="A637" s="1">
        <v>45316</v>
      </c>
      <c r="B637" s="4" t="s">
        <v>248</v>
      </c>
      <c r="C637" s="4" t="s">
        <v>1743</v>
      </c>
      <c r="D637" s="4" t="s">
        <v>1744</v>
      </c>
      <c r="E637" s="4" t="s">
        <v>1745</v>
      </c>
      <c r="F637" s="5">
        <v>-1.6999999999999999E-3</v>
      </c>
      <c r="G637" s="5">
        <v>4.8899999999999999E-2</v>
      </c>
    </row>
    <row r="638" spans="1:7" x14ac:dyDescent="0.25">
      <c r="A638" s="1">
        <v>45315</v>
      </c>
      <c r="B638" s="4" t="s">
        <v>248</v>
      </c>
      <c r="C638" s="4" t="s">
        <v>1746</v>
      </c>
      <c r="D638" s="4" t="s">
        <v>1747</v>
      </c>
      <c r="E638" s="4" t="s">
        <v>1748</v>
      </c>
      <c r="F638" s="5">
        <v>-3.2000000000000002E-3</v>
      </c>
      <c r="G638" s="5">
        <v>5.0799999999999998E-2</v>
      </c>
    </row>
    <row r="639" spans="1:7" x14ac:dyDescent="0.25">
      <c r="A639" s="1">
        <v>45314</v>
      </c>
      <c r="B639" s="4" t="s">
        <v>248</v>
      </c>
      <c r="C639" s="4" t="s">
        <v>1749</v>
      </c>
      <c r="D639" s="4" t="s">
        <v>1750</v>
      </c>
      <c r="E639" s="4" t="s">
        <v>1751</v>
      </c>
      <c r="F639" s="5">
        <v>2.0999999999999999E-3</v>
      </c>
      <c r="G639" s="5">
        <v>5.4100000000000002E-2</v>
      </c>
    </row>
    <row r="640" spans="1:7" x14ac:dyDescent="0.25">
      <c r="A640" s="1">
        <v>45313</v>
      </c>
      <c r="B640" s="4" t="s">
        <v>248</v>
      </c>
      <c r="C640" s="4" t="s">
        <v>1752</v>
      </c>
      <c r="D640" s="4" t="s">
        <v>1753</v>
      </c>
      <c r="E640" s="4" t="s">
        <v>1754</v>
      </c>
      <c r="F640" s="5">
        <v>2.8E-3</v>
      </c>
      <c r="G640" s="5">
        <v>5.1900000000000002E-2</v>
      </c>
    </row>
    <row r="641" spans="1:7" x14ac:dyDescent="0.25">
      <c r="A641" s="1">
        <v>45310</v>
      </c>
      <c r="B641" s="4" t="s">
        <v>248</v>
      </c>
      <c r="C641" s="4" t="s">
        <v>1755</v>
      </c>
      <c r="D641" s="4" t="s">
        <v>1756</v>
      </c>
      <c r="E641" s="4" t="s">
        <v>1757</v>
      </c>
      <c r="F641" s="5">
        <v>3.0000000000000001E-3</v>
      </c>
      <c r="G641" s="5">
        <v>4.9000000000000002E-2</v>
      </c>
    </row>
    <row r="642" spans="1:7" x14ac:dyDescent="0.25">
      <c r="A642" s="1">
        <v>45309</v>
      </c>
      <c r="B642" s="4" t="s">
        <v>248</v>
      </c>
      <c r="C642" s="4" t="s">
        <v>1758</v>
      </c>
      <c r="D642" s="4" t="s">
        <v>1759</v>
      </c>
      <c r="E642" s="4" t="s">
        <v>1760</v>
      </c>
      <c r="F642" s="5">
        <v>4.1000000000000003E-3</v>
      </c>
      <c r="G642" s="5">
        <v>4.58E-2</v>
      </c>
    </row>
    <row r="643" spans="1:7" x14ac:dyDescent="0.25">
      <c r="A643" s="1">
        <v>45308</v>
      </c>
      <c r="B643" s="4" t="s">
        <v>248</v>
      </c>
      <c r="C643" s="4" t="s">
        <v>1761</v>
      </c>
      <c r="D643" s="4" t="s">
        <v>1762</v>
      </c>
      <c r="E643" s="4" t="s">
        <v>1763</v>
      </c>
      <c r="F643" s="5">
        <v>3.7000000000000002E-3</v>
      </c>
      <c r="G643" s="5">
        <v>4.1500000000000002E-2</v>
      </c>
    </row>
    <row r="644" spans="1:7" x14ac:dyDescent="0.25">
      <c r="A644" s="1">
        <v>45307</v>
      </c>
      <c r="B644" s="4" t="s">
        <v>248</v>
      </c>
      <c r="C644" s="4" t="s">
        <v>1764</v>
      </c>
      <c r="D644" s="4" t="s">
        <v>1765</v>
      </c>
      <c r="E644" s="4" t="s">
        <v>1766</v>
      </c>
      <c r="F644" s="5">
        <v>7.7000000000000002E-3</v>
      </c>
      <c r="G644" s="5">
        <v>3.7699999999999997E-2</v>
      </c>
    </row>
    <row r="645" spans="1:7" x14ac:dyDescent="0.25">
      <c r="A645" s="1">
        <v>45306</v>
      </c>
      <c r="B645" s="4" t="s">
        <v>248</v>
      </c>
      <c r="C645" s="4" t="s">
        <v>1767</v>
      </c>
      <c r="D645" s="4" t="s">
        <v>1768</v>
      </c>
      <c r="E645" s="4" t="s">
        <v>1734</v>
      </c>
      <c r="F645" s="5">
        <v>-3.8999999999999998E-3</v>
      </c>
      <c r="G645" s="5">
        <v>2.98E-2</v>
      </c>
    </row>
    <row r="646" spans="1:7" x14ac:dyDescent="0.25">
      <c r="A646" s="1">
        <v>45303</v>
      </c>
      <c r="B646" s="4" t="s">
        <v>248</v>
      </c>
      <c r="C646" s="4" t="s">
        <v>1769</v>
      </c>
      <c r="D646" s="4" t="s">
        <v>1770</v>
      </c>
      <c r="E646" s="4" t="s">
        <v>1771</v>
      </c>
      <c r="F646" s="5">
        <v>1.6999999999999999E-3</v>
      </c>
      <c r="G646" s="5">
        <v>3.3799999999999997E-2</v>
      </c>
    </row>
    <row r="647" spans="1:7" x14ac:dyDescent="0.25">
      <c r="A647" s="1">
        <v>45301</v>
      </c>
      <c r="B647" s="4" t="s">
        <v>248</v>
      </c>
      <c r="C647" s="4" t="s">
        <v>1772</v>
      </c>
      <c r="D647" s="4" t="s">
        <v>1773</v>
      </c>
      <c r="E647" s="4" t="s">
        <v>1774</v>
      </c>
      <c r="F647" s="5">
        <v>3.3999999999999998E-3</v>
      </c>
      <c r="G647" s="5">
        <v>3.2000000000000001E-2</v>
      </c>
    </row>
    <row r="648" spans="1:7" x14ac:dyDescent="0.25">
      <c r="A648" s="1">
        <v>45300</v>
      </c>
      <c r="B648" s="4" t="s">
        <v>248</v>
      </c>
      <c r="C648" s="4" t="s">
        <v>1775</v>
      </c>
      <c r="D648" s="4" t="s">
        <v>1776</v>
      </c>
      <c r="E648" s="4" t="s">
        <v>1777</v>
      </c>
      <c r="F648" s="5">
        <v>4.4999999999999997E-3</v>
      </c>
      <c r="G648" s="5">
        <v>2.8500000000000001E-2</v>
      </c>
    </row>
    <row r="649" spans="1:7" x14ac:dyDescent="0.25">
      <c r="A649" s="1">
        <v>45299</v>
      </c>
      <c r="B649" s="4" t="s">
        <v>248</v>
      </c>
      <c r="C649" s="4" t="s">
        <v>1778</v>
      </c>
      <c r="D649" s="4" t="s">
        <v>1779</v>
      </c>
      <c r="E649" s="4" t="s">
        <v>1780</v>
      </c>
      <c r="F649" s="5">
        <v>1.1000000000000001E-3</v>
      </c>
      <c r="G649" s="5">
        <v>2.3900000000000001E-2</v>
      </c>
    </row>
    <row r="650" spans="1:7" x14ac:dyDescent="0.25">
      <c r="A650" s="1">
        <v>45296</v>
      </c>
      <c r="B650" s="4" t="s">
        <v>248</v>
      </c>
      <c r="C650" s="4" t="s">
        <v>1781</v>
      </c>
      <c r="D650" s="4" t="s">
        <v>1782</v>
      </c>
      <c r="E650" s="4" t="s">
        <v>1783</v>
      </c>
      <c r="F650" s="5">
        <v>7.1999999999999998E-3</v>
      </c>
      <c r="G650" s="5">
        <v>2.2800000000000001E-2</v>
      </c>
    </row>
    <row r="651" spans="1:7" x14ac:dyDescent="0.25">
      <c r="A651" s="1">
        <v>45295</v>
      </c>
      <c r="B651" s="4" t="s">
        <v>248</v>
      </c>
      <c r="C651" s="4" t="s">
        <v>1784</v>
      </c>
      <c r="D651" s="4" t="s">
        <v>1785</v>
      </c>
      <c r="E651" s="4" t="s">
        <v>1786</v>
      </c>
      <c r="F651" s="5">
        <v>4.1000000000000003E-3</v>
      </c>
      <c r="G651" s="5">
        <v>1.55E-2</v>
      </c>
    </row>
    <row r="652" spans="1:7" x14ac:dyDescent="0.25">
      <c r="A652" s="1">
        <v>45294</v>
      </c>
      <c r="B652" s="4" t="s">
        <v>248</v>
      </c>
      <c r="C652" s="4" t="s">
        <v>1787</v>
      </c>
      <c r="D652" s="4" t="s">
        <v>1788</v>
      </c>
      <c r="E652" s="4" t="s">
        <v>1789</v>
      </c>
      <c r="F652" s="5">
        <v>7.3000000000000001E-3</v>
      </c>
      <c r="G652" s="5">
        <v>1.14E-2</v>
      </c>
    </row>
    <row r="653" spans="1:7" x14ac:dyDescent="0.25">
      <c r="A653" s="1">
        <v>45293</v>
      </c>
      <c r="B653" s="4" t="s">
        <v>248</v>
      </c>
      <c r="C653" s="4" t="s">
        <v>1790</v>
      </c>
      <c r="D653" s="4" t="s">
        <v>1791</v>
      </c>
      <c r="E653" s="4" t="s">
        <v>1792</v>
      </c>
      <c r="F653" s="5">
        <v>4.0000000000000001E-3</v>
      </c>
      <c r="G653" s="5">
        <v>4.0000000000000001E-3</v>
      </c>
    </row>
    <row r="654" spans="1:7" x14ac:dyDescent="0.25">
      <c r="A654" s="1">
        <v>45289</v>
      </c>
      <c r="B654" s="4" t="s">
        <v>248</v>
      </c>
      <c r="C654" s="4" t="s">
        <v>1793</v>
      </c>
      <c r="D654" s="4" t="s">
        <v>1794</v>
      </c>
      <c r="E654" s="4" t="s">
        <v>1795</v>
      </c>
      <c r="F654" s="5">
        <v>3.8E-3</v>
      </c>
      <c r="G654" s="5">
        <v>0.128</v>
      </c>
    </row>
    <row r="655" spans="1:7" x14ac:dyDescent="0.25">
      <c r="A655" s="1">
        <v>45288</v>
      </c>
      <c r="B655" s="4" t="s">
        <v>248</v>
      </c>
      <c r="C655" s="4" t="s">
        <v>1796</v>
      </c>
      <c r="D655" s="4" t="s">
        <v>1797</v>
      </c>
      <c r="E655" s="4" t="s">
        <v>1796</v>
      </c>
      <c r="F655" s="5">
        <v>-4.7000000000000002E-3</v>
      </c>
      <c r="G655" s="5">
        <v>0.1237</v>
      </c>
    </row>
    <row r="656" spans="1:7" x14ac:dyDescent="0.25">
      <c r="A656" s="1">
        <v>45287</v>
      </c>
      <c r="B656" s="4" t="s">
        <v>248</v>
      </c>
      <c r="C656" s="4" t="s">
        <v>1798</v>
      </c>
      <c r="D656" s="4" t="s">
        <v>1799</v>
      </c>
      <c r="E656" s="4" t="s">
        <v>1800</v>
      </c>
      <c r="F656" s="5">
        <v>1.5E-3</v>
      </c>
      <c r="G656" s="5">
        <v>0.12909999999999999</v>
      </c>
    </row>
    <row r="657" spans="1:7" x14ac:dyDescent="0.25">
      <c r="A657" s="1">
        <v>45286</v>
      </c>
      <c r="B657" s="4" t="s">
        <v>248</v>
      </c>
      <c r="C657" s="4" t="s">
        <v>1801</v>
      </c>
      <c r="D657" s="4" t="s">
        <v>1802</v>
      </c>
      <c r="E657" s="4" t="s">
        <v>1801</v>
      </c>
      <c r="F657" s="5">
        <v>-5.1000000000000004E-3</v>
      </c>
      <c r="G657" s="5">
        <v>0.1273</v>
      </c>
    </row>
    <row r="658" spans="1:7" x14ac:dyDescent="0.25">
      <c r="A658" s="1">
        <v>45285</v>
      </c>
      <c r="B658" s="4" t="s">
        <v>248</v>
      </c>
      <c r="C658" s="4" t="s">
        <v>1803</v>
      </c>
      <c r="D658" s="4" t="s">
        <v>1804</v>
      </c>
      <c r="E658" s="4" t="s">
        <v>1803</v>
      </c>
      <c r="F658" s="5">
        <v>-2.8999999999999998E-3</v>
      </c>
      <c r="G658" s="5">
        <v>0.1331</v>
      </c>
    </row>
    <row r="659" spans="1:7" x14ac:dyDescent="0.25">
      <c r="A659" s="1">
        <v>45282</v>
      </c>
      <c r="B659" s="4" t="s">
        <v>248</v>
      </c>
      <c r="C659" s="4" t="s">
        <v>1805</v>
      </c>
      <c r="D659" s="4" t="s">
        <v>1806</v>
      </c>
      <c r="E659" s="4" t="s">
        <v>1807</v>
      </c>
      <c r="F659" s="5">
        <v>-1E-4</v>
      </c>
      <c r="G659" s="5">
        <v>0.13639999999999999</v>
      </c>
    </row>
    <row r="660" spans="1:7" x14ac:dyDescent="0.25">
      <c r="A660" s="1">
        <v>45281</v>
      </c>
      <c r="B660" s="4" t="s">
        <v>248</v>
      </c>
      <c r="C660" s="4" t="s">
        <v>1808</v>
      </c>
      <c r="D660" s="4" t="s">
        <v>1809</v>
      </c>
      <c r="E660" s="4" t="s">
        <v>1808</v>
      </c>
      <c r="F660" s="5">
        <v>-5.1999999999999998E-3</v>
      </c>
      <c r="G660" s="5">
        <v>0.13639999999999999</v>
      </c>
    </row>
    <row r="661" spans="1:7" x14ac:dyDescent="0.25">
      <c r="A661" s="1">
        <v>45280</v>
      </c>
      <c r="B661" s="4" t="s">
        <v>248</v>
      </c>
      <c r="C661" s="4" t="s">
        <v>1810</v>
      </c>
      <c r="D661" s="4" t="s">
        <v>1811</v>
      </c>
      <c r="E661" s="4" t="s">
        <v>1812</v>
      </c>
      <c r="F661" s="5">
        <v>2.8E-3</v>
      </c>
      <c r="G661" s="5">
        <v>0.14230000000000001</v>
      </c>
    </row>
    <row r="662" spans="1:7" x14ac:dyDescent="0.25">
      <c r="A662" s="1">
        <v>45279</v>
      </c>
      <c r="B662" s="4" t="s">
        <v>248</v>
      </c>
      <c r="C662" s="4" t="s">
        <v>1813</v>
      </c>
      <c r="D662" s="4" t="s">
        <v>1814</v>
      </c>
      <c r="E662" s="4" t="s">
        <v>1815</v>
      </c>
      <c r="F662" s="5">
        <v>3.3E-3</v>
      </c>
      <c r="G662" s="5">
        <v>0.1391</v>
      </c>
    </row>
    <row r="663" spans="1:7" x14ac:dyDescent="0.25">
      <c r="A663" s="1">
        <v>45278</v>
      </c>
      <c r="B663" s="4" t="s">
        <v>248</v>
      </c>
      <c r="C663" s="4" t="s">
        <v>1816</v>
      </c>
      <c r="D663" s="4" t="s">
        <v>1817</v>
      </c>
      <c r="E663" s="4" t="s">
        <v>1818</v>
      </c>
      <c r="F663" s="5">
        <v>3.7000000000000002E-3</v>
      </c>
      <c r="G663" s="5">
        <v>0.13539999999999999</v>
      </c>
    </row>
    <row r="664" spans="1:7" x14ac:dyDescent="0.25">
      <c r="A664" s="1">
        <v>45275</v>
      </c>
      <c r="B664" s="4" t="s">
        <v>248</v>
      </c>
      <c r="C664" s="4" t="s">
        <v>1819</v>
      </c>
      <c r="D664" s="4" t="s">
        <v>1820</v>
      </c>
      <c r="E664" s="4" t="s">
        <v>1821</v>
      </c>
      <c r="F664" s="5">
        <v>-5.9999999999999995E-4</v>
      </c>
      <c r="G664" s="5">
        <v>0.13120000000000001</v>
      </c>
    </row>
    <row r="665" spans="1:7" x14ac:dyDescent="0.25">
      <c r="A665" s="1">
        <v>45274</v>
      </c>
      <c r="B665" s="4" t="s">
        <v>248</v>
      </c>
      <c r="C665" s="4" t="s">
        <v>1822</v>
      </c>
      <c r="D665" s="4" t="s">
        <v>1823</v>
      </c>
      <c r="E665" s="4" t="s">
        <v>1824</v>
      </c>
      <c r="F665" s="5">
        <v>1.6000000000000001E-3</v>
      </c>
      <c r="G665" s="5">
        <v>0.13189999999999999</v>
      </c>
    </row>
    <row r="666" spans="1:7" x14ac:dyDescent="0.25">
      <c r="A666" s="1">
        <v>45273</v>
      </c>
      <c r="B666" s="4" t="s">
        <v>248</v>
      </c>
      <c r="C666" s="4" t="s">
        <v>1825</v>
      </c>
      <c r="D666" s="4" t="s">
        <v>1826</v>
      </c>
      <c r="E666" s="4" t="s">
        <v>1827</v>
      </c>
      <c r="F666" s="5">
        <v>0.01</v>
      </c>
      <c r="G666" s="5">
        <v>0.13009999999999999</v>
      </c>
    </row>
    <row r="667" spans="1:7" x14ac:dyDescent="0.25">
      <c r="A667" s="1">
        <v>45272</v>
      </c>
      <c r="B667" s="4" t="s">
        <v>248</v>
      </c>
      <c r="C667" s="4" t="s">
        <v>1828</v>
      </c>
      <c r="D667" s="4" t="s">
        <v>1829</v>
      </c>
      <c r="E667" s="4" t="s">
        <v>1830</v>
      </c>
      <c r="F667" s="5">
        <v>3.5999999999999999E-3</v>
      </c>
      <c r="G667" s="5">
        <v>0.11890000000000001</v>
      </c>
    </row>
    <row r="668" spans="1:7" x14ac:dyDescent="0.25">
      <c r="A668" s="1">
        <v>45271</v>
      </c>
      <c r="B668" s="4" t="s">
        <v>248</v>
      </c>
      <c r="C668" s="4" t="s">
        <v>1831</v>
      </c>
      <c r="D668" s="4" t="s">
        <v>1831</v>
      </c>
      <c r="E668" s="4" t="s">
        <v>1832</v>
      </c>
      <c r="F668" s="5">
        <v>5.5999999999999999E-3</v>
      </c>
      <c r="G668" s="5">
        <v>0.1149</v>
      </c>
    </row>
    <row r="669" spans="1:7" x14ac:dyDescent="0.25">
      <c r="A669" s="1">
        <v>45268</v>
      </c>
      <c r="B669" s="4" t="s">
        <v>248</v>
      </c>
      <c r="C669" s="4" t="s">
        <v>1833</v>
      </c>
      <c r="D669" s="4" t="s">
        <v>1833</v>
      </c>
      <c r="E669" s="4" t="s">
        <v>1834</v>
      </c>
      <c r="F669" s="5">
        <v>4.8999999999999998E-3</v>
      </c>
      <c r="G669" s="5">
        <v>0.1087</v>
      </c>
    </row>
    <row r="670" spans="1:7" x14ac:dyDescent="0.25">
      <c r="A670" s="1">
        <v>45267</v>
      </c>
      <c r="B670" s="4" t="s">
        <v>248</v>
      </c>
      <c r="C670" s="4" t="s">
        <v>1835</v>
      </c>
      <c r="D670" s="4" t="s">
        <v>1835</v>
      </c>
      <c r="E670" s="4" t="s">
        <v>1836</v>
      </c>
      <c r="F670" s="5">
        <v>5.8999999999999999E-3</v>
      </c>
      <c r="G670" s="5">
        <v>0.1032</v>
      </c>
    </row>
    <row r="671" spans="1:7" x14ac:dyDescent="0.25">
      <c r="A671" s="1">
        <v>45266</v>
      </c>
      <c r="B671" s="4" t="s">
        <v>248</v>
      </c>
      <c r="C671" s="4" t="s">
        <v>1836</v>
      </c>
      <c r="D671" s="4" t="s">
        <v>1837</v>
      </c>
      <c r="E671" s="4" t="s">
        <v>1838</v>
      </c>
      <c r="F671" s="5">
        <v>-2.0000000000000001E-4</v>
      </c>
      <c r="G671" s="5">
        <v>9.6799999999999997E-2</v>
      </c>
    </row>
    <row r="672" spans="1:7" x14ac:dyDescent="0.25">
      <c r="A672" s="1">
        <v>45265</v>
      </c>
      <c r="B672" s="4" t="s">
        <v>248</v>
      </c>
      <c r="C672" s="4" t="s">
        <v>1839</v>
      </c>
      <c r="D672" s="4" t="s">
        <v>1840</v>
      </c>
      <c r="E672" s="4" t="s">
        <v>1841</v>
      </c>
      <c r="F672" s="5">
        <v>2.7000000000000001E-3</v>
      </c>
      <c r="G672" s="5">
        <v>9.69E-2</v>
      </c>
    </row>
    <row r="673" spans="1:7" x14ac:dyDescent="0.25">
      <c r="A673" s="1">
        <v>45264</v>
      </c>
      <c r="B673" s="4" t="s">
        <v>248</v>
      </c>
      <c r="C673" s="4" t="s">
        <v>1842</v>
      </c>
      <c r="D673" s="4" t="s">
        <v>1843</v>
      </c>
      <c r="E673" s="4" t="s">
        <v>1844</v>
      </c>
      <c r="F673" s="5">
        <v>-1.6999999999999999E-3</v>
      </c>
      <c r="G673" s="5">
        <v>9.4E-2</v>
      </c>
    </row>
    <row r="674" spans="1:7" x14ac:dyDescent="0.25">
      <c r="A674" s="1">
        <v>45261</v>
      </c>
      <c r="B674" s="4" t="s">
        <v>248</v>
      </c>
      <c r="C674" s="4" t="s">
        <v>1845</v>
      </c>
      <c r="D674" s="4" t="s">
        <v>1846</v>
      </c>
      <c r="E674" s="4" t="s">
        <v>1847</v>
      </c>
      <c r="F674" s="5">
        <v>-2.8E-3</v>
      </c>
      <c r="G674" s="5">
        <v>9.5899999999999999E-2</v>
      </c>
    </row>
    <row r="675" spans="1:7" x14ac:dyDescent="0.25">
      <c r="A675" s="1">
        <v>45260</v>
      </c>
      <c r="B675" s="4" t="s">
        <v>248</v>
      </c>
      <c r="C675" s="4" t="s">
        <v>1848</v>
      </c>
      <c r="D675" s="4" t="s">
        <v>1849</v>
      </c>
      <c r="E675" s="4" t="s">
        <v>1850</v>
      </c>
      <c r="F675" s="5">
        <v>-2.0000000000000001E-4</v>
      </c>
      <c r="G675" s="5">
        <v>9.9000000000000005E-2</v>
      </c>
    </row>
    <row r="676" spans="1:7" x14ac:dyDescent="0.25">
      <c r="A676" s="1">
        <v>45259</v>
      </c>
      <c r="B676" s="4" t="s">
        <v>248</v>
      </c>
      <c r="C676" s="4" t="s">
        <v>1851</v>
      </c>
      <c r="D676" s="4" t="s">
        <v>1852</v>
      </c>
      <c r="E676" s="4" t="s">
        <v>1853</v>
      </c>
      <c r="F676" s="5">
        <v>8.0000000000000004E-4</v>
      </c>
      <c r="G676" s="5">
        <v>9.9299999999999999E-2</v>
      </c>
    </row>
    <row r="677" spans="1:7" x14ac:dyDescent="0.25">
      <c r="A677" s="1">
        <v>45258</v>
      </c>
      <c r="B677" s="4" t="s">
        <v>248</v>
      </c>
      <c r="C677" s="4" t="s">
        <v>1854</v>
      </c>
      <c r="D677" s="4" t="s">
        <v>1855</v>
      </c>
      <c r="E677" s="4" t="s">
        <v>1856</v>
      </c>
      <c r="F677" s="5">
        <v>-5.7999999999999996E-3</v>
      </c>
      <c r="G677" s="5">
        <v>9.8400000000000001E-2</v>
      </c>
    </row>
    <row r="678" spans="1:7" x14ac:dyDescent="0.25">
      <c r="A678" s="1">
        <v>45257</v>
      </c>
      <c r="B678" s="4" t="s">
        <v>248</v>
      </c>
      <c r="C678" s="4" t="s">
        <v>1857</v>
      </c>
      <c r="D678" s="4" t="s">
        <v>1858</v>
      </c>
      <c r="E678" s="4" t="s">
        <v>1859</v>
      </c>
      <c r="F678" s="5">
        <v>-9.4999999999999998E-3</v>
      </c>
      <c r="G678" s="5">
        <v>0.1048</v>
      </c>
    </row>
    <row r="679" spans="1:7" x14ac:dyDescent="0.25">
      <c r="A679" s="1">
        <v>45254</v>
      </c>
      <c r="B679" s="4" t="s">
        <v>248</v>
      </c>
      <c r="C679" s="4" t="s">
        <v>1860</v>
      </c>
      <c r="D679" s="4" t="s">
        <v>1861</v>
      </c>
      <c r="E679" s="4" t="s">
        <v>1862</v>
      </c>
      <c r="F679" s="5">
        <v>-1.5E-3</v>
      </c>
      <c r="G679" s="5">
        <v>0.1154</v>
      </c>
    </row>
    <row r="680" spans="1:7" x14ac:dyDescent="0.25">
      <c r="A680" s="1">
        <v>45253</v>
      </c>
      <c r="B680" s="4" t="s">
        <v>248</v>
      </c>
      <c r="C680" s="4" t="s">
        <v>1863</v>
      </c>
      <c r="D680" s="4" t="s">
        <v>1864</v>
      </c>
      <c r="E680" s="4" t="s">
        <v>1865</v>
      </c>
      <c r="F680" s="5">
        <v>-2E-3</v>
      </c>
      <c r="G680" s="5">
        <v>0.1172</v>
      </c>
    </row>
    <row r="681" spans="1:7" x14ac:dyDescent="0.25">
      <c r="A681" s="1">
        <v>45252</v>
      </c>
      <c r="B681" s="4" t="s">
        <v>248</v>
      </c>
      <c r="C681" s="4" t="s">
        <v>1866</v>
      </c>
      <c r="D681" s="4" t="s">
        <v>1867</v>
      </c>
      <c r="E681" s="4" t="s">
        <v>1868</v>
      </c>
      <c r="F681" s="5">
        <v>2E-3</v>
      </c>
      <c r="G681" s="5">
        <v>0.1193</v>
      </c>
    </row>
    <row r="682" spans="1:7" x14ac:dyDescent="0.25">
      <c r="A682" s="1">
        <v>45251</v>
      </c>
      <c r="B682" s="4" t="s">
        <v>248</v>
      </c>
      <c r="C682" s="4" t="s">
        <v>1869</v>
      </c>
      <c r="D682" s="4" t="s">
        <v>1870</v>
      </c>
      <c r="E682" s="4" t="s">
        <v>1871</v>
      </c>
      <c r="F682" s="5">
        <v>-2.9999999999999997E-4</v>
      </c>
      <c r="G682" s="5">
        <v>0.1172</v>
      </c>
    </row>
    <row r="683" spans="1:7" x14ac:dyDescent="0.25">
      <c r="A683" s="1">
        <v>45250</v>
      </c>
      <c r="B683" s="4" t="s">
        <v>248</v>
      </c>
      <c r="C683" s="4" t="s">
        <v>1872</v>
      </c>
      <c r="D683" s="4" t="s">
        <v>1873</v>
      </c>
      <c r="E683" s="4" t="s">
        <v>1874</v>
      </c>
      <c r="F683" s="5">
        <v>2.7000000000000001E-3</v>
      </c>
      <c r="G683" s="5">
        <v>0.11749999999999999</v>
      </c>
    </row>
    <row r="684" spans="1:7" x14ac:dyDescent="0.25">
      <c r="A684" s="1">
        <v>45247</v>
      </c>
      <c r="B684" s="4" t="s">
        <v>248</v>
      </c>
      <c r="C684" s="4" t="s">
        <v>1875</v>
      </c>
      <c r="D684" s="4" t="s">
        <v>1876</v>
      </c>
      <c r="E684" s="4" t="s">
        <v>1877</v>
      </c>
      <c r="F684" s="5">
        <v>-1.9E-3</v>
      </c>
      <c r="G684" s="5">
        <v>0.1145</v>
      </c>
    </row>
    <row r="685" spans="1:7" x14ac:dyDescent="0.25">
      <c r="A685" s="1">
        <v>45246</v>
      </c>
      <c r="B685" s="4" t="s">
        <v>248</v>
      </c>
      <c r="C685" s="4" t="s">
        <v>1878</v>
      </c>
      <c r="D685" s="4" t="s">
        <v>1878</v>
      </c>
      <c r="E685" s="4" t="s">
        <v>1879</v>
      </c>
      <c r="F685" s="5">
        <v>6.3E-3</v>
      </c>
      <c r="G685" s="5">
        <v>0.1166</v>
      </c>
    </row>
    <row r="686" spans="1:7" x14ac:dyDescent="0.25">
      <c r="A686" s="1">
        <v>45245</v>
      </c>
      <c r="B686" s="4" t="s">
        <v>248</v>
      </c>
      <c r="C686" s="4" t="s">
        <v>1880</v>
      </c>
      <c r="D686" s="4" t="s">
        <v>1881</v>
      </c>
      <c r="E686" s="4" t="s">
        <v>1882</v>
      </c>
      <c r="F686" s="5">
        <v>-6.4999999999999997E-3</v>
      </c>
      <c r="G686" s="5">
        <v>0.1096</v>
      </c>
    </row>
    <row r="687" spans="1:7" x14ac:dyDescent="0.25">
      <c r="A687" s="1">
        <v>45244</v>
      </c>
      <c r="B687" s="4" t="s">
        <v>248</v>
      </c>
      <c r="C687" s="4" t="s">
        <v>1881</v>
      </c>
      <c r="D687" s="4" t="s">
        <v>1883</v>
      </c>
      <c r="E687" s="4" t="s">
        <v>1884</v>
      </c>
      <c r="F687" s="5">
        <v>2.0000000000000001E-4</v>
      </c>
      <c r="G687" s="5">
        <v>0.1169</v>
      </c>
    </row>
    <row r="688" spans="1:7" x14ac:dyDescent="0.25">
      <c r="A688" s="1">
        <v>45243</v>
      </c>
      <c r="B688" s="4" t="s">
        <v>248</v>
      </c>
      <c r="C688" s="4" t="s">
        <v>1885</v>
      </c>
      <c r="D688" s="4" t="s">
        <v>1886</v>
      </c>
      <c r="E688" s="4" t="s">
        <v>1887</v>
      </c>
      <c r="F688" s="5">
        <v>1.9E-3</v>
      </c>
      <c r="G688" s="5">
        <v>0.1167</v>
      </c>
    </row>
    <row r="689" spans="1:7" x14ac:dyDescent="0.25">
      <c r="A689" s="1">
        <v>45240</v>
      </c>
      <c r="B689" s="4" t="s">
        <v>248</v>
      </c>
      <c r="C689" s="4" t="s">
        <v>1888</v>
      </c>
      <c r="D689" s="4" t="s">
        <v>1889</v>
      </c>
      <c r="E689" s="4" t="s">
        <v>1890</v>
      </c>
      <c r="F689" s="5">
        <v>1E-4</v>
      </c>
      <c r="G689" s="5">
        <v>0.11459999999999999</v>
      </c>
    </row>
    <row r="690" spans="1:7" x14ac:dyDescent="0.25">
      <c r="A690" s="1">
        <v>45239</v>
      </c>
      <c r="B690" s="4" t="s">
        <v>248</v>
      </c>
      <c r="C690" s="4" t="s">
        <v>1891</v>
      </c>
      <c r="D690" s="4" t="s">
        <v>1892</v>
      </c>
      <c r="E690" s="4" t="s">
        <v>1893</v>
      </c>
      <c r="F690" s="5">
        <v>-1.1999999999999999E-3</v>
      </c>
      <c r="G690" s="5">
        <v>0.1144</v>
      </c>
    </row>
    <row r="691" spans="1:7" x14ac:dyDescent="0.25">
      <c r="A691" s="1">
        <v>45238</v>
      </c>
      <c r="B691" s="4" t="s">
        <v>248</v>
      </c>
      <c r="C691" s="4" t="s">
        <v>1894</v>
      </c>
      <c r="D691" s="4" t="s">
        <v>1895</v>
      </c>
      <c r="E691" s="4" t="s">
        <v>1896</v>
      </c>
      <c r="F691" s="5">
        <v>-2.3E-3</v>
      </c>
      <c r="G691" s="5">
        <v>0.1158</v>
      </c>
    </row>
    <row r="692" spans="1:7" x14ac:dyDescent="0.25">
      <c r="A692" s="1">
        <v>45237</v>
      </c>
      <c r="B692" s="4" t="s">
        <v>248</v>
      </c>
      <c r="C692" s="4" t="s">
        <v>1897</v>
      </c>
      <c r="D692" s="4" t="s">
        <v>1898</v>
      </c>
      <c r="E692" s="4" t="s">
        <v>1899</v>
      </c>
      <c r="F692" s="5">
        <v>1E-3</v>
      </c>
      <c r="G692" s="5">
        <v>0.1183</v>
      </c>
    </row>
    <row r="693" spans="1:7" x14ac:dyDescent="0.25">
      <c r="A693" s="1">
        <v>45233</v>
      </c>
      <c r="B693" s="4" t="s">
        <v>248</v>
      </c>
      <c r="C693" s="4" t="s">
        <v>1900</v>
      </c>
      <c r="D693" s="4" t="s">
        <v>1901</v>
      </c>
      <c r="E693" s="4" t="s">
        <v>1902</v>
      </c>
      <c r="F693" s="5">
        <v>-2.5000000000000001E-3</v>
      </c>
      <c r="G693" s="5">
        <v>0.1173</v>
      </c>
    </row>
    <row r="694" spans="1:7" x14ac:dyDescent="0.25">
      <c r="A694" s="1">
        <v>45232</v>
      </c>
      <c r="B694" s="4" t="s">
        <v>248</v>
      </c>
      <c r="C694" s="4" t="s">
        <v>1903</v>
      </c>
      <c r="D694" s="4" t="s">
        <v>1904</v>
      </c>
      <c r="E694" s="4" t="s">
        <v>1905</v>
      </c>
      <c r="F694" s="5">
        <v>-1.9E-3</v>
      </c>
      <c r="G694" s="5">
        <v>0.1201</v>
      </c>
    </row>
    <row r="695" spans="1:7" x14ac:dyDescent="0.25">
      <c r="A695" s="1">
        <v>45231</v>
      </c>
      <c r="B695" s="4" t="s">
        <v>248</v>
      </c>
      <c r="C695" s="4" t="s">
        <v>1904</v>
      </c>
      <c r="D695" s="4" t="s">
        <v>1906</v>
      </c>
      <c r="E695" s="4" t="s">
        <v>1907</v>
      </c>
      <c r="F695" s="5">
        <v>6.9999999999999999E-4</v>
      </c>
      <c r="G695" s="5">
        <v>0.1222</v>
      </c>
    </row>
    <row r="696" spans="1:7" x14ac:dyDescent="0.25">
      <c r="A696" s="1">
        <v>45230</v>
      </c>
      <c r="B696" s="4" t="s">
        <v>248</v>
      </c>
      <c r="C696" s="4" t="s">
        <v>1908</v>
      </c>
      <c r="D696" s="4" t="s">
        <v>1909</v>
      </c>
      <c r="E696" s="4" t="s">
        <v>1910</v>
      </c>
      <c r="F696" s="5">
        <v>8.0999999999999996E-3</v>
      </c>
      <c r="G696" s="5">
        <v>0.12139999999999999</v>
      </c>
    </row>
    <row r="697" spans="1:7" x14ac:dyDescent="0.25">
      <c r="A697" s="1">
        <v>45229</v>
      </c>
      <c r="B697" s="4" t="s">
        <v>248</v>
      </c>
      <c r="C697" s="4" t="s">
        <v>1911</v>
      </c>
      <c r="D697" s="4" t="s">
        <v>1912</v>
      </c>
      <c r="E697" s="4" t="s">
        <v>1913</v>
      </c>
      <c r="F697" s="5">
        <v>-5.1999999999999998E-3</v>
      </c>
      <c r="G697" s="5">
        <v>0.1124</v>
      </c>
    </row>
    <row r="698" spans="1:7" x14ac:dyDescent="0.25">
      <c r="A698" s="1">
        <v>45226</v>
      </c>
      <c r="B698" s="4" t="s">
        <v>248</v>
      </c>
      <c r="C698" s="4" t="s">
        <v>1914</v>
      </c>
      <c r="D698" s="4" t="s">
        <v>1915</v>
      </c>
      <c r="E698" s="4" t="s">
        <v>1916</v>
      </c>
      <c r="F698" s="5">
        <v>-3.8999999999999998E-3</v>
      </c>
      <c r="G698" s="5">
        <v>0.1182</v>
      </c>
    </row>
    <row r="699" spans="1:7" x14ac:dyDescent="0.25">
      <c r="A699" s="1">
        <v>45225</v>
      </c>
      <c r="B699" s="4" t="s">
        <v>248</v>
      </c>
      <c r="C699" s="4" t="s">
        <v>1915</v>
      </c>
      <c r="D699" s="4" t="s">
        <v>1917</v>
      </c>
      <c r="E699" s="4" t="s">
        <v>1918</v>
      </c>
      <c r="F699" s="5">
        <v>-8.8000000000000005E-3</v>
      </c>
      <c r="G699" s="5">
        <v>0.1227</v>
      </c>
    </row>
    <row r="700" spans="1:7" x14ac:dyDescent="0.25">
      <c r="A700" s="1">
        <v>45224</v>
      </c>
      <c r="B700" s="4" t="s">
        <v>248</v>
      </c>
      <c r="C700" s="4" t="s">
        <v>1919</v>
      </c>
      <c r="D700" s="4" t="s">
        <v>1920</v>
      </c>
      <c r="E700" s="4" t="s">
        <v>1921</v>
      </c>
      <c r="F700" s="5">
        <v>-5.7999999999999996E-3</v>
      </c>
      <c r="G700" s="5">
        <v>0.1326</v>
      </c>
    </row>
    <row r="701" spans="1:7" x14ac:dyDescent="0.25">
      <c r="A701" s="1">
        <v>45223</v>
      </c>
      <c r="B701" s="4" t="s">
        <v>248</v>
      </c>
      <c r="C701" s="4" t="s">
        <v>1922</v>
      </c>
      <c r="D701" s="4" t="s">
        <v>1923</v>
      </c>
      <c r="E701" s="4" t="s">
        <v>1924</v>
      </c>
      <c r="F701" s="5">
        <v>-2.5999999999999999E-3</v>
      </c>
      <c r="G701" s="5">
        <v>0.1391</v>
      </c>
    </row>
    <row r="702" spans="1:7" x14ac:dyDescent="0.25">
      <c r="A702" s="1">
        <v>45222</v>
      </c>
      <c r="B702" s="4" t="s">
        <v>248</v>
      </c>
      <c r="C702" s="4" t="s">
        <v>1925</v>
      </c>
      <c r="D702" s="4" t="s">
        <v>1925</v>
      </c>
      <c r="E702" s="4" t="s">
        <v>1926</v>
      </c>
      <c r="F702" s="5">
        <v>5.9999999999999995E-4</v>
      </c>
      <c r="G702" s="5">
        <v>0.1421</v>
      </c>
    </row>
    <row r="703" spans="1:7" x14ac:dyDescent="0.25">
      <c r="A703" s="1">
        <v>45219</v>
      </c>
      <c r="B703" s="4" t="s">
        <v>248</v>
      </c>
      <c r="C703" s="4" t="s">
        <v>1927</v>
      </c>
      <c r="D703" s="4" t="s">
        <v>1928</v>
      </c>
      <c r="E703" s="4" t="s">
        <v>1929</v>
      </c>
      <c r="F703" s="5">
        <v>-2.2000000000000001E-3</v>
      </c>
      <c r="G703" s="5">
        <v>0.1414</v>
      </c>
    </row>
    <row r="704" spans="1:7" x14ac:dyDescent="0.25">
      <c r="A704" s="1">
        <v>45218</v>
      </c>
      <c r="B704" s="4" t="s">
        <v>248</v>
      </c>
      <c r="C704" s="4" t="s">
        <v>1930</v>
      </c>
      <c r="D704" s="4" t="s">
        <v>1931</v>
      </c>
      <c r="E704" s="4" t="s">
        <v>1932</v>
      </c>
      <c r="F704" s="5">
        <v>1E-3</v>
      </c>
      <c r="G704" s="5">
        <v>0.1439</v>
      </c>
    </row>
    <row r="705" spans="1:7" x14ac:dyDescent="0.25">
      <c r="A705" s="1">
        <v>45217</v>
      </c>
      <c r="B705" s="4" t="s">
        <v>248</v>
      </c>
      <c r="C705" s="4" t="s">
        <v>1933</v>
      </c>
      <c r="D705" s="4" t="s">
        <v>1934</v>
      </c>
      <c r="E705" s="4" t="s">
        <v>1935</v>
      </c>
      <c r="F705" s="5">
        <v>9.2999999999999992E-3</v>
      </c>
      <c r="G705" s="5">
        <v>0.14269999999999999</v>
      </c>
    </row>
    <row r="706" spans="1:7" x14ac:dyDescent="0.25">
      <c r="A706" s="1">
        <v>45216</v>
      </c>
      <c r="B706" s="4" t="s">
        <v>248</v>
      </c>
      <c r="C706" s="4" t="s">
        <v>1936</v>
      </c>
      <c r="D706" s="4" t="s">
        <v>1937</v>
      </c>
      <c r="E706" s="4" t="s">
        <v>1938</v>
      </c>
      <c r="F706" s="5">
        <v>-4.5999999999999999E-3</v>
      </c>
      <c r="G706" s="5">
        <v>0.1321</v>
      </c>
    </row>
    <row r="707" spans="1:7" x14ac:dyDescent="0.25">
      <c r="A707" s="1">
        <v>45215</v>
      </c>
      <c r="B707" s="4" t="s">
        <v>248</v>
      </c>
      <c r="C707" s="4" t="s">
        <v>1939</v>
      </c>
      <c r="D707" s="4" t="s">
        <v>1940</v>
      </c>
      <c r="E707" s="4" t="s">
        <v>1941</v>
      </c>
      <c r="F707" s="5">
        <v>-3.5999999999999999E-3</v>
      </c>
      <c r="G707" s="5">
        <v>0.13739999999999999</v>
      </c>
    </row>
    <row r="708" spans="1:7" x14ac:dyDescent="0.25">
      <c r="A708" s="1">
        <v>45212</v>
      </c>
      <c r="B708" s="4" t="s">
        <v>248</v>
      </c>
      <c r="C708" s="4" t="s">
        <v>1942</v>
      </c>
      <c r="D708" s="4" t="s">
        <v>1943</v>
      </c>
      <c r="E708" s="4" t="s">
        <v>1944</v>
      </c>
      <c r="F708" s="5">
        <v>-2.5999999999999999E-3</v>
      </c>
      <c r="G708" s="5">
        <v>0.14149999999999999</v>
      </c>
    </row>
    <row r="709" spans="1:7" x14ac:dyDescent="0.25">
      <c r="A709" s="1">
        <v>45211</v>
      </c>
      <c r="B709" s="4" t="s">
        <v>248</v>
      </c>
      <c r="C709" s="4" t="s">
        <v>1945</v>
      </c>
      <c r="D709" s="4" t="s">
        <v>1946</v>
      </c>
      <c r="E709" s="4" t="s">
        <v>1947</v>
      </c>
      <c r="F709" s="5">
        <v>-8.0000000000000004E-4</v>
      </c>
      <c r="G709" s="5">
        <v>0.14449999999999999</v>
      </c>
    </row>
    <row r="710" spans="1:7" x14ac:dyDescent="0.25">
      <c r="A710" s="1">
        <v>45210</v>
      </c>
      <c r="B710" s="4" t="s">
        <v>248</v>
      </c>
      <c r="C710" s="4" t="s">
        <v>1946</v>
      </c>
      <c r="D710" s="4" t="s">
        <v>1946</v>
      </c>
      <c r="E710" s="4" t="s">
        <v>1948</v>
      </c>
      <c r="F710" s="5">
        <v>4.4000000000000003E-3</v>
      </c>
      <c r="G710" s="5">
        <v>0.1454</v>
      </c>
    </row>
    <row r="711" spans="1:7" x14ac:dyDescent="0.25">
      <c r="A711" s="1">
        <v>45209</v>
      </c>
      <c r="B711" s="4" t="s">
        <v>248</v>
      </c>
      <c r="C711" s="4" t="s">
        <v>1949</v>
      </c>
      <c r="D711" s="4" t="s">
        <v>1950</v>
      </c>
      <c r="E711" s="4" t="s">
        <v>1951</v>
      </c>
      <c r="F711" s="5">
        <v>-2.9999999999999997E-4</v>
      </c>
      <c r="G711" s="5">
        <v>0.1404</v>
      </c>
    </row>
    <row r="712" spans="1:7" x14ac:dyDescent="0.25">
      <c r="A712" s="1">
        <v>45208</v>
      </c>
      <c r="B712" s="4" t="s">
        <v>248</v>
      </c>
      <c r="C712" s="4" t="s">
        <v>1952</v>
      </c>
      <c r="D712" s="4" t="s">
        <v>1953</v>
      </c>
      <c r="E712" s="4" t="s">
        <v>1954</v>
      </c>
      <c r="F712" s="5">
        <v>-5.3E-3</v>
      </c>
      <c r="G712" s="5">
        <v>0.14080000000000001</v>
      </c>
    </row>
    <row r="713" spans="1:7" x14ac:dyDescent="0.25">
      <c r="A713" s="1">
        <v>45205</v>
      </c>
      <c r="B713" s="4" t="s">
        <v>248</v>
      </c>
      <c r="C713" s="4" t="s">
        <v>1955</v>
      </c>
      <c r="D713" s="4" t="s">
        <v>1956</v>
      </c>
      <c r="E713" s="4" t="s">
        <v>1957</v>
      </c>
      <c r="F713" s="5">
        <v>3.3999999999999998E-3</v>
      </c>
      <c r="G713" s="5">
        <v>0.14680000000000001</v>
      </c>
    </row>
    <row r="714" spans="1:7" x14ac:dyDescent="0.25">
      <c r="A714" s="1">
        <v>45204</v>
      </c>
      <c r="B714" s="4" t="s">
        <v>248</v>
      </c>
      <c r="C714" s="4" t="s">
        <v>1957</v>
      </c>
      <c r="D714" s="4" t="s">
        <v>1957</v>
      </c>
      <c r="E714" s="4" t="s">
        <v>1958</v>
      </c>
      <c r="F714" s="5">
        <v>5.0799999999999998E-2</v>
      </c>
      <c r="G714" s="5">
        <v>0.1429</v>
      </c>
    </row>
    <row r="715" spans="1:7" x14ac:dyDescent="0.25">
      <c r="A715" s="1">
        <v>45203</v>
      </c>
      <c r="B715" s="4" t="s">
        <v>248</v>
      </c>
      <c r="C715" s="4" t="s">
        <v>1958</v>
      </c>
      <c r="D715" s="4" t="s">
        <v>1959</v>
      </c>
      <c r="E715" s="4" t="s">
        <v>1960</v>
      </c>
      <c r="F715" s="5">
        <v>-4.7000000000000002E-3</v>
      </c>
      <c r="G715" s="5">
        <v>8.77E-2</v>
      </c>
    </row>
    <row r="716" spans="1:7" x14ac:dyDescent="0.25">
      <c r="A716" s="1">
        <v>45202</v>
      </c>
      <c r="B716" s="4" t="s">
        <v>248</v>
      </c>
      <c r="C716" s="4" t="s">
        <v>1961</v>
      </c>
      <c r="D716" s="4" t="s">
        <v>1962</v>
      </c>
      <c r="E716" s="4" t="s">
        <v>1963</v>
      </c>
      <c r="F716" s="5">
        <v>-6.1999999999999998E-3</v>
      </c>
      <c r="G716" s="5">
        <v>9.2799999999999994E-2</v>
      </c>
    </row>
    <row r="717" spans="1:7" x14ac:dyDescent="0.25">
      <c r="A717" s="1">
        <v>45201</v>
      </c>
      <c r="B717" s="4" t="s">
        <v>248</v>
      </c>
      <c r="C717" s="4" t="s">
        <v>1964</v>
      </c>
      <c r="D717" s="4" t="s">
        <v>1965</v>
      </c>
      <c r="E717" s="4" t="s">
        <v>1966</v>
      </c>
      <c r="F717" s="5">
        <v>-6.4000000000000003E-3</v>
      </c>
      <c r="G717" s="5">
        <v>9.9699999999999997E-2</v>
      </c>
    </row>
    <row r="718" spans="1:7" x14ac:dyDescent="0.25">
      <c r="A718" s="1">
        <v>45196</v>
      </c>
      <c r="B718" s="4" t="s">
        <v>248</v>
      </c>
      <c r="C718" s="4" t="s">
        <v>1967</v>
      </c>
      <c r="D718" s="4" t="s">
        <v>1968</v>
      </c>
      <c r="E718" s="4" t="s">
        <v>1969</v>
      </c>
      <c r="F718" s="5">
        <v>1E-3</v>
      </c>
      <c r="G718" s="5">
        <v>0.10680000000000001</v>
      </c>
    </row>
    <row r="719" spans="1:7" x14ac:dyDescent="0.25">
      <c r="A719" s="1">
        <v>45195</v>
      </c>
      <c r="B719" s="4" t="s">
        <v>248</v>
      </c>
      <c r="C719" s="4" t="s">
        <v>1970</v>
      </c>
      <c r="D719" s="4" t="s">
        <v>1971</v>
      </c>
      <c r="E719" s="4" t="s">
        <v>1972</v>
      </c>
      <c r="F719" s="5">
        <v>3.2000000000000002E-3</v>
      </c>
      <c r="G719" s="5">
        <v>0.1057</v>
      </c>
    </row>
    <row r="720" spans="1:7" x14ac:dyDescent="0.25">
      <c r="A720" s="1">
        <v>45194</v>
      </c>
      <c r="B720" s="4" t="s">
        <v>248</v>
      </c>
      <c r="C720" s="4" t="s">
        <v>1973</v>
      </c>
      <c r="D720" s="4" t="s">
        <v>1973</v>
      </c>
      <c r="E720" s="4" t="s">
        <v>1974</v>
      </c>
      <c r="F720" s="5">
        <v>3.3E-3</v>
      </c>
      <c r="G720" s="5">
        <v>0.1023</v>
      </c>
    </row>
    <row r="721" spans="1:7" x14ac:dyDescent="0.25">
      <c r="A721" s="1">
        <v>45191</v>
      </c>
      <c r="B721" s="4" t="s">
        <v>248</v>
      </c>
      <c r="C721" s="4" t="s">
        <v>1975</v>
      </c>
      <c r="D721" s="4" t="s">
        <v>1976</v>
      </c>
      <c r="E721" s="4" t="s">
        <v>1977</v>
      </c>
      <c r="F721" s="5">
        <v>6.9999999999999999E-4</v>
      </c>
      <c r="G721" s="5">
        <v>9.8699999999999996E-2</v>
      </c>
    </row>
    <row r="722" spans="1:7" x14ac:dyDescent="0.25">
      <c r="A722" s="1">
        <v>45190</v>
      </c>
      <c r="B722" s="4" t="s">
        <v>248</v>
      </c>
      <c r="C722" s="4" t="s">
        <v>1978</v>
      </c>
      <c r="D722" s="4" t="s">
        <v>1979</v>
      </c>
      <c r="E722" s="4" t="s">
        <v>1980</v>
      </c>
      <c r="F722" s="5">
        <v>-2.0000000000000001E-4</v>
      </c>
      <c r="G722" s="5">
        <v>9.7900000000000001E-2</v>
      </c>
    </row>
    <row r="723" spans="1:7" x14ac:dyDescent="0.25">
      <c r="A723" s="1">
        <v>45189</v>
      </c>
      <c r="B723" s="4" t="s">
        <v>248</v>
      </c>
      <c r="C723" s="4" t="s">
        <v>1981</v>
      </c>
      <c r="D723" s="4" t="s">
        <v>1982</v>
      </c>
      <c r="E723" s="4" t="s">
        <v>1983</v>
      </c>
      <c r="F723" s="5">
        <v>-2.3E-3</v>
      </c>
      <c r="G723" s="5">
        <v>9.8100000000000007E-2</v>
      </c>
    </row>
    <row r="724" spans="1:7" x14ac:dyDescent="0.25">
      <c r="A724" s="1">
        <v>45188</v>
      </c>
      <c r="B724" s="4" t="s">
        <v>248</v>
      </c>
      <c r="C724" s="4" t="s">
        <v>1984</v>
      </c>
      <c r="D724" s="4" t="s">
        <v>1985</v>
      </c>
      <c r="E724" s="4" t="s">
        <v>1986</v>
      </c>
      <c r="F724" s="5">
        <v>-6.9999999999999999E-4</v>
      </c>
      <c r="G724" s="5">
        <v>0.1007</v>
      </c>
    </row>
    <row r="725" spans="1:7" x14ac:dyDescent="0.25">
      <c r="A725" s="1">
        <v>45187</v>
      </c>
      <c r="B725" s="4" t="s">
        <v>248</v>
      </c>
      <c r="C725" s="4" t="s">
        <v>1987</v>
      </c>
      <c r="D725" s="4" t="s">
        <v>1988</v>
      </c>
      <c r="E725" s="4" t="s">
        <v>1989</v>
      </c>
      <c r="F725" s="5">
        <v>3.2000000000000002E-3</v>
      </c>
      <c r="G725" s="5">
        <v>0.1014</v>
      </c>
    </row>
    <row r="726" spans="1:7" x14ac:dyDescent="0.25">
      <c r="A726" s="1">
        <v>45184</v>
      </c>
      <c r="B726" s="4" t="s">
        <v>248</v>
      </c>
      <c r="C726" s="4" t="s">
        <v>1990</v>
      </c>
      <c r="D726" s="4" t="s">
        <v>1991</v>
      </c>
      <c r="E726" s="4" t="s">
        <v>1992</v>
      </c>
      <c r="F726" s="5">
        <v>-5.0000000000000001E-4</v>
      </c>
      <c r="G726" s="5">
        <v>9.7900000000000001E-2</v>
      </c>
    </row>
    <row r="727" spans="1:7" x14ac:dyDescent="0.25">
      <c r="A727" s="1">
        <v>45183</v>
      </c>
      <c r="B727" s="4" t="s">
        <v>248</v>
      </c>
      <c r="C727" s="4" t="s">
        <v>1993</v>
      </c>
      <c r="D727" s="4" t="s">
        <v>1994</v>
      </c>
      <c r="E727" s="4" t="s">
        <v>1995</v>
      </c>
      <c r="F727" s="5">
        <v>3.5000000000000001E-3</v>
      </c>
      <c r="G727" s="5">
        <v>9.8400000000000001E-2</v>
      </c>
    </row>
    <row r="728" spans="1:7" x14ac:dyDescent="0.25">
      <c r="A728" s="1">
        <v>45182</v>
      </c>
      <c r="B728" s="4" t="s">
        <v>248</v>
      </c>
      <c r="C728" s="4" t="s">
        <v>1996</v>
      </c>
      <c r="D728" s="4" t="s">
        <v>1997</v>
      </c>
      <c r="E728" s="4" t="s">
        <v>1998</v>
      </c>
      <c r="F728" s="5">
        <v>-2.0000000000000001E-4</v>
      </c>
      <c r="G728" s="5">
        <v>9.4600000000000004E-2</v>
      </c>
    </row>
    <row r="729" spans="1:7" x14ac:dyDescent="0.25">
      <c r="A729" s="1">
        <v>45181</v>
      </c>
      <c r="B729" s="4" t="s">
        <v>248</v>
      </c>
      <c r="C729" s="4" t="s">
        <v>1999</v>
      </c>
      <c r="D729" s="4" t="s">
        <v>2000</v>
      </c>
      <c r="E729" s="4" t="s">
        <v>2001</v>
      </c>
      <c r="F729" s="5">
        <v>8.9999999999999998E-4</v>
      </c>
      <c r="G729" s="5">
        <v>9.4799999999999995E-2</v>
      </c>
    </row>
    <row r="730" spans="1:7" x14ac:dyDescent="0.25">
      <c r="A730" s="1">
        <v>45180</v>
      </c>
      <c r="B730" s="4" t="s">
        <v>248</v>
      </c>
      <c r="C730" s="4" t="s">
        <v>2001</v>
      </c>
      <c r="D730" s="4" t="s">
        <v>2002</v>
      </c>
      <c r="E730" s="4" t="s">
        <v>2003</v>
      </c>
      <c r="F730" s="5">
        <v>1.1000000000000001E-3</v>
      </c>
      <c r="G730" s="5">
        <v>9.3799999999999994E-2</v>
      </c>
    </row>
    <row r="731" spans="1:7" x14ac:dyDescent="0.25">
      <c r="A731" s="1">
        <v>45177</v>
      </c>
      <c r="B731" s="4" t="s">
        <v>248</v>
      </c>
      <c r="C731" s="4" t="s">
        <v>2004</v>
      </c>
      <c r="D731" s="4" t="s">
        <v>2005</v>
      </c>
      <c r="E731" s="4" t="s">
        <v>2006</v>
      </c>
      <c r="F731" s="5">
        <v>-3.3999999999999998E-3</v>
      </c>
      <c r="G731" s="5">
        <v>9.2499999999999999E-2</v>
      </c>
    </row>
    <row r="732" spans="1:7" x14ac:dyDescent="0.25">
      <c r="A732" s="1">
        <v>45176</v>
      </c>
      <c r="B732" s="4" t="s">
        <v>248</v>
      </c>
      <c r="C732" s="4" t="s">
        <v>2007</v>
      </c>
      <c r="D732" s="4" t="s">
        <v>2008</v>
      </c>
      <c r="E732" s="4" t="s">
        <v>2009</v>
      </c>
      <c r="F732" s="5">
        <v>5.9999999999999995E-4</v>
      </c>
      <c r="G732" s="5">
        <v>9.6299999999999997E-2</v>
      </c>
    </row>
    <row r="733" spans="1:7" x14ac:dyDescent="0.25">
      <c r="A733" s="1">
        <v>45175</v>
      </c>
      <c r="B733" s="4" t="s">
        <v>248</v>
      </c>
      <c r="C733" s="4" t="s">
        <v>2010</v>
      </c>
      <c r="D733" s="4" t="s">
        <v>2011</v>
      </c>
      <c r="E733" s="4" t="s">
        <v>2012</v>
      </c>
      <c r="F733" s="5">
        <v>-8.9999999999999993E-3</v>
      </c>
      <c r="G733" s="5">
        <v>9.5600000000000004E-2</v>
      </c>
    </row>
    <row r="734" spans="1:7" x14ac:dyDescent="0.25">
      <c r="A734" s="1">
        <v>45174</v>
      </c>
      <c r="B734" s="4" t="s">
        <v>248</v>
      </c>
      <c r="C734" s="4" t="s">
        <v>2013</v>
      </c>
      <c r="D734" s="4" t="s">
        <v>2014</v>
      </c>
      <c r="E734" s="4" t="s">
        <v>2013</v>
      </c>
      <c r="F734" s="5">
        <v>-1.6000000000000001E-3</v>
      </c>
      <c r="G734" s="5">
        <v>0.1056</v>
      </c>
    </row>
    <row r="735" spans="1:7" x14ac:dyDescent="0.25">
      <c r="A735" s="1">
        <v>45173</v>
      </c>
      <c r="B735" s="4" t="s">
        <v>248</v>
      </c>
      <c r="C735" s="4" t="s">
        <v>2015</v>
      </c>
      <c r="D735" s="4" t="s">
        <v>2016</v>
      </c>
      <c r="E735" s="4" t="s">
        <v>2017</v>
      </c>
      <c r="F735" s="5">
        <v>-1.2999999999999999E-3</v>
      </c>
      <c r="G735" s="5">
        <v>0.1074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Data_masi</vt:lpstr>
      <vt:lpstr>data calculs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BOUKHNIF Fouad</dc:creator>
  <cp:lastModifiedBy>BOUKHNIF Fouad</cp:lastModifiedBy>
  <dcterms:created xsi:type="dcterms:W3CDTF">2026-09-02T07:49:49Z</dcterms:created>
  <dcterms:modified xsi:type="dcterms:W3CDTF">2026-09-05T21:52:16Z</dcterms:modified>
</cp:coreProperties>
</file>